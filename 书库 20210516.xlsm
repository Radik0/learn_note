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5.xml" ContentType="application/vnd.openxmlformats-officedocument.drawing+xml"/>
  <Override PartName="/xl/tables/table7.xml" ContentType="application/vnd.openxmlformats-officedocument.spreadsheetml.table+xml"/>
  <Override PartName="/xl/charts/chart7.xml" ContentType="application/vnd.openxmlformats-officedocument.drawingml.chart+xml"/>
  <Override PartName="/xl/drawings/drawing16.xml" ContentType="application/vnd.openxmlformats-officedocument.drawing+xml"/>
  <Override PartName="/xl/charts/chartEx3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做面\"/>
    </mc:Choice>
  </mc:AlternateContent>
  <xr:revisionPtr revIDLastSave="0" documentId="8_{1DE1CC79-5D6B-4648-A61C-F4EB1007C0D7}" xr6:coauthVersionLast="47" xr6:coauthVersionMax="47" xr10:uidLastSave="{00000000-0000-0000-0000-000000000000}"/>
  <bookViews>
    <workbookView xWindow="-108" yWindow="-108" windowWidth="23256" windowHeight="12720" tabRatio="871" activeTab="2" xr2:uid="{00000000-000D-0000-FFFF-FFFF00000000}"/>
  </bookViews>
  <sheets>
    <sheet name="书库" sheetId="1" r:id="rId1"/>
    <sheet name="Sheet1" sheetId="39" state="hidden" r:id="rId2"/>
    <sheet name="基本信息" sheetId="5" r:id="rId3"/>
    <sheet name="Sheet2" sheetId="40" r:id="rId4"/>
    <sheet name="出版社" sheetId="23" r:id="rId5"/>
    <sheet name="类别" sheetId="6" r:id="rId6"/>
    <sheet name="系列" sheetId="30" r:id="rId7"/>
    <sheet name="图书公司" sheetId="14" r:id="rId8"/>
    <sheet name="作者" sheetId="12" r:id="rId9"/>
    <sheet name="译者" sheetId="33" r:id="rId10"/>
    <sheet name="编者" sheetId="34" r:id="rId11"/>
    <sheet name="版印" sheetId="36" r:id="rId12"/>
    <sheet name="页数" sheetId="21" r:id="rId13"/>
    <sheet name="字数" sheetId="38" r:id="rId14"/>
    <sheet name="装帧" sheetId="37" r:id="rId15"/>
    <sheet name="购入时间" sheetId="31" r:id="rId16"/>
    <sheet name="购入方式" sheetId="9" r:id="rId17"/>
    <sheet name="价格" sheetId="19" r:id="rId18"/>
  </sheets>
  <functionGroups builtInGroupCount="19"/>
  <externalReferences>
    <externalReference r:id="rId19"/>
  </externalReferences>
  <definedNames>
    <definedName name="_xlnm._FilterDatabase" localSheetId="16" hidden="1">购入方式!#REF!</definedName>
    <definedName name="_xlnm._FilterDatabase" localSheetId="2" hidden="1">#REF!</definedName>
    <definedName name="_xlnm._FilterDatabase" localSheetId="5" hidden="1">类别!$C$2:$I$27</definedName>
    <definedName name="_xlnm._FilterDatabase" localSheetId="0" hidden="1">书库!$AD$8:$AG$8</definedName>
    <definedName name="_xlnm._FilterDatabase" localSheetId="7" hidden="1">图书公司!$A$2:$G$68</definedName>
    <definedName name="_xlchart.v1.0" hidden="1">书库!$L$2:$L$6</definedName>
    <definedName name="_xlchart.v1.1" hidden="1">书库!$L$7:$L$62219</definedName>
    <definedName name="_xlchart.v1.2" hidden="1">书库!$M$2:$M$6</definedName>
    <definedName name="_xlchart.v1.3" hidden="1">书库!$M$7:$M$62219</definedName>
    <definedName name="_xlchart.v1.4" hidden="1">书库!$T$2:$T$6</definedName>
    <definedName name="_xlchart.v1.5" hidden="1">书库!$T$7:$T$62219</definedName>
    <definedName name="购入时间统计" localSheetId="11">购入时间!#REF!</definedName>
    <definedName name="购入时间统计" localSheetId="14">购入时间!#REF!</definedName>
    <definedName name="购入时间统计" localSheetId="13">购入时间!#REF!</definedName>
    <definedName name="购入时间统计">购入时间!#REF!</definedName>
    <definedName name="排版" localSheetId="13">购入时间!#REF!</definedName>
    <definedName name="排版">购入时间!#REF!</definedName>
  </definedNames>
  <calcPr calcId="191029"/>
  <pivotCaches>
    <pivotCache cacheId="1251" r:id="rId20"/>
  </pivotCaches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4" i="1" l="1"/>
  <c r="B7" i="23"/>
  <c r="B6" i="23"/>
  <c r="B6" i="6"/>
  <c r="U9" i="1"/>
  <c r="U10" i="1"/>
  <c r="U11" i="1"/>
  <c r="U12" i="1"/>
  <c r="U13" i="1"/>
  <c r="U15" i="1"/>
  <c r="B6" i="14"/>
  <c r="B6" i="30"/>
  <c r="U7" i="12"/>
  <c r="V7" i="12" s="1"/>
  <c r="T7" i="12"/>
  <c r="S7" i="12"/>
  <c r="O9" i="12"/>
  <c r="P9" i="12" s="1"/>
  <c r="O7" i="12"/>
  <c r="P7" i="12" s="1"/>
  <c r="N9" i="12"/>
  <c r="N7" i="12"/>
  <c r="M9" i="12"/>
  <c r="M7" i="12"/>
  <c r="U8" i="1"/>
  <c r="AA21" i="1" l="1"/>
  <c r="AA22" i="1"/>
  <c r="AA23" i="1"/>
  <c r="AA24" i="1"/>
  <c r="AA25" i="1"/>
  <c r="AA26" i="1"/>
  <c r="AA27" i="1"/>
  <c r="AA28" i="1"/>
  <c r="AA29" i="1"/>
  <c r="AA30" i="1"/>
  <c r="AA31" i="1"/>
  <c r="AA32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C21" i="1"/>
  <c r="AD21" i="1" s="1"/>
  <c r="AC22" i="1"/>
  <c r="AE22" i="1" s="1"/>
  <c r="AC23" i="1"/>
  <c r="AD23" i="1" s="1"/>
  <c r="AG23" i="1" s="1"/>
  <c r="AC24" i="1"/>
  <c r="AE24" i="1" s="1"/>
  <c r="AC25" i="1"/>
  <c r="AD25" i="1" s="1"/>
  <c r="AG25" i="1" s="1"/>
  <c r="AC26" i="1"/>
  <c r="AD26" i="1" s="1"/>
  <c r="AG26" i="1" s="1"/>
  <c r="AC27" i="1"/>
  <c r="AC28" i="1"/>
  <c r="AC29" i="1"/>
  <c r="AD29" i="1" s="1"/>
  <c r="AG29" i="1" s="1"/>
  <c r="AC30" i="1"/>
  <c r="AD30" i="1" s="1"/>
  <c r="AG30" i="1" s="1"/>
  <c r="AC31" i="1"/>
  <c r="AD31" i="1" s="1"/>
  <c r="AG31" i="1" s="1"/>
  <c r="AC32" i="1"/>
  <c r="AD32" i="1" s="1"/>
  <c r="AD27" i="1"/>
  <c r="AG27" i="1" s="1"/>
  <c r="AD28" i="1"/>
  <c r="AG28" i="1" s="1"/>
  <c r="AE23" i="1"/>
  <c r="AE25" i="1"/>
  <c r="AE27" i="1"/>
  <c r="AE28" i="1"/>
  <c r="AF25" i="1"/>
  <c r="AF27" i="1"/>
  <c r="AF28" i="1"/>
  <c r="AH21" i="1"/>
  <c r="AI21" i="1" s="1"/>
  <c r="AH22" i="1"/>
  <c r="AI22" i="1" s="1"/>
  <c r="AH23" i="1"/>
  <c r="AL23" i="1" s="1"/>
  <c r="AH24" i="1"/>
  <c r="AI24" i="1" s="1"/>
  <c r="AH25" i="1"/>
  <c r="AI25" i="1" s="1"/>
  <c r="AH26" i="1"/>
  <c r="AI26" i="1" s="1"/>
  <c r="AH27" i="1"/>
  <c r="AI27" i="1" s="1"/>
  <c r="AH28" i="1"/>
  <c r="AJ28" i="1" s="1"/>
  <c r="AH29" i="1"/>
  <c r="AI29" i="1" s="1"/>
  <c r="AH30" i="1"/>
  <c r="AI30" i="1" s="1"/>
  <c r="AH31" i="1"/>
  <c r="AI31" i="1" s="1"/>
  <c r="AH32" i="1"/>
  <c r="AL32" i="1" s="1"/>
  <c r="AK27" i="1"/>
  <c r="AL25" i="1"/>
  <c r="AL27" i="1"/>
  <c r="AM21" i="1"/>
  <c r="AN21" i="1" s="1"/>
  <c r="AM22" i="1"/>
  <c r="AO22" i="1" s="1"/>
  <c r="AM23" i="1"/>
  <c r="AN23" i="1" s="1"/>
  <c r="AM24" i="1"/>
  <c r="AO24" i="1" s="1"/>
  <c r="AM25" i="1"/>
  <c r="AN25" i="1" s="1"/>
  <c r="AM26" i="1"/>
  <c r="AN26" i="1" s="1"/>
  <c r="AM27" i="1"/>
  <c r="AN27" i="1" s="1"/>
  <c r="AM28" i="1"/>
  <c r="AP28" i="1" s="1"/>
  <c r="AM29" i="1"/>
  <c r="AO29" i="1" s="1"/>
  <c r="AM30" i="1"/>
  <c r="AN30" i="1" s="1"/>
  <c r="AM31" i="1"/>
  <c r="AN31" i="1" s="1"/>
  <c r="AM32" i="1"/>
  <c r="AN32" i="1" s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A19" i="1"/>
  <c r="AA20" i="1"/>
  <c r="AB19" i="1"/>
  <c r="AB20" i="1"/>
  <c r="AC19" i="1"/>
  <c r="AE19" i="1" s="1"/>
  <c r="AC20" i="1"/>
  <c r="AD20" i="1" s="1"/>
  <c r="AG20" i="1" s="1"/>
  <c r="AH19" i="1"/>
  <c r="AI19" i="1" s="1"/>
  <c r="AH20" i="1"/>
  <c r="AI20" i="1" s="1"/>
  <c r="AM19" i="1"/>
  <c r="AN19" i="1" s="1"/>
  <c r="AM20" i="1"/>
  <c r="AP20" i="1" s="1"/>
  <c r="AQ19" i="1"/>
  <c r="AQ20" i="1"/>
  <c r="AR19" i="1"/>
  <c r="AR20" i="1"/>
  <c r="AA17" i="1"/>
  <c r="AA18" i="1"/>
  <c r="AB17" i="1"/>
  <c r="AB18" i="1"/>
  <c r="AC17" i="1"/>
  <c r="AE17" i="1" s="1"/>
  <c r="AC18" i="1"/>
  <c r="AD18" i="1" s="1"/>
  <c r="AG18" i="1" s="1"/>
  <c r="AH17" i="1"/>
  <c r="AI17" i="1" s="1"/>
  <c r="AH18" i="1"/>
  <c r="AI18" i="1" s="1"/>
  <c r="AM17" i="1"/>
  <c r="AN17" i="1" s="1"/>
  <c r="AM18" i="1"/>
  <c r="AN18" i="1" s="1"/>
  <c r="AQ17" i="1"/>
  <c r="AQ18" i="1"/>
  <c r="AR17" i="1"/>
  <c r="AR18" i="1"/>
  <c r="AA11" i="1"/>
  <c r="AA16" i="1"/>
  <c r="AB11" i="1"/>
  <c r="AB16" i="1"/>
  <c r="AC11" i="1"/>
  <c r="AE11" i="1" s="1"/>
  <c r="AC16" i="1"/>
  <c r="AD16" i="1" s="1"/>
  <c r="AG16" i="1" s="1"/>
  <c r="AH11" i="1"/>
  <c r="AI11" i="1" s="1"/>
  <c r="AH16" i="1"/>
  <c r="AI16" i="1" s="1"/>
  <c r="AM11" i="1"/>
  <c r="AN11" i="1" s="1"/>
  <c r="AM16" i="1"/>
  <c r="AO16" i="1" s="1"/>
  <c r="AQ11" i="1"/>
  <c r="AQ16" i="1"/>
  <c r="AR11" i="1"/>
  <c r="AR16" i="1"/>
  <c r="AA9" i="1"/>
  <c r="AA10" i="1"/>
  <c r="AB9" i="1"/>
  <c r="AB10" i="1"/>
  <c r="AC9" i="1"/>
  <c r="AE9" i="1" s="1"/>
  <c r="AC10" i="1"/>
  <c r="AD10" i="1" s="1"/>
  <c r="AG10" i="1" s="1"/>
  <c r="AH9" i="1"/>
  <c r="AI9" i="1" s="1"/>
  <c r="AH10" i="1"/>
  <c r="AI10" i="1" s="1"/>
  <c r="AM9" i="1"/>
  <c r="AN9" i="1" s="1"/>
  <c r="AM10" i="1"/>
  <c r="AN10" i="1" s="1"/>
  <c r="AQ9" i="1"/>
  <c r="AQ10" i="1"/>
  <c r="AR9" i="1"/>
  <c r="AR10" i="1"/>
  <c r="AA15" i="1"/>
  <c r="AA8" i="1"/>
  <c r="AB15" i="1"/>
  <c r="AB8" i="1"/>
  <c r="AC15" i="1"/>
  <c r="AC8" i="1"/>
  <c r="AD8" i="1" s="1"/>
  <c r="AH15" i="1"/>
  <c r="AI15" i="1" s="1"/>
  <c r="AH8" i="1"/>
  <c r="AI8" i="1" s="1"/>
  <c r="AM15" i="1"/>
  <c r="AN15" i="1" s="1"/>
  <c r="AM8" i="1"/>
  <c r="AO8" i="1" s="1"/>
  <c r="AQ15" i="1"/>
  <c r="AQ8" i="1"/>
  <c r="AR15" i="1"/>
  <c r="AR8" i="1"/>
  <c r="AA14" i="1"/>
  <c r="AB14" i="1"/>
  <c r="AC14" i="1"/>
  <c r="AD14" i="1" s="1"/>
  <c r="AH14" i="1"/>
  <c r="AI14" i="1" s="1"/>
  <c r="AM14" i="1"/>
  <c r="AP14" i="1" s="1"/>
  <c r="AQ14" i="1"/>
  <c r="AR14" i="1"/>
  <c r="AA13" i="1"/>
  <c r="AB13" i="1"/>
  <c r="AC13" i="1"/>
  <c r="AD13" i="1" s="1"/>
  <c r="AH13" i="1"/>
  <c r="AI13" i="1" s="1"/>
  <c r="AM13" i="1"/>
  <c r="AP13" i="1" s="1"/>
  <c r="AQ13" i="1"/>
  <c r="AR13" i="1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653" i="30"/>
  <c r="B652" i="30"/>
  <c r="B651" i="30"/>
  <c r="B650" i="30"/>
  <c r="B649" i="30"/>
  <c r="B648" i="30"/>
  <c r="B647" i="30"/>
  <c r="B646" i="30"/>
  <c r="B645" i="30"/>
  <c r="B644" i="30"/>
  <c r="B643" i="30"/>
  <c r="B642" i="30"/>
  <c r="B641" i="30"/>
  <c r="B640" i="30"/>
  <c r="B639" i="30"/>
  <c r="B638" i="30"/>
  <c r="B637" i="30"/>
  <c r="B636" i="30"/>
  <c r="B635" i="30"/>
  <c r="B634" i="30"/>
  <c r="B633" i="30"/>
  <c r="B632" i="30"/>
  <c r="B631" i="30"/>
  <c r="B630" i="30"/>
  <c r="B629" i="30"/>
  <c r="B628" i="30"/>
  <c r="B627" i="30"/>
  <c r="B626" i="30"/>
  <c r="B625" i="30"/>
  <c r="B624" i="30"/>
  <c r="B623" i="30"/>
  <c r="B622" i="30"/>
  <c r="B621" i="30"/>
  <c r="B620" i="30"/>
  <c r="B619" i="30"/>
  <c r="B618" i="30"/>
  <c r="B617" i="30"/>
  <c r="B616" i="30"/>
  <c r="B615" i="30"/>
  <c r="B614" i="30"/>
  <c r="B613" i="30"/>
  <c r="B612" i="30"/>
  <c r="B611" i="30"/>
  <c r="B610" i="30"/>
  <c r="B609" i="30"/>
  <c r="B608" i="30"/>
  <c r="B607" i="30"/>
  <c r="B606" i="30"/>
  <c r="B605" i="30"/>
  <c r="B604" i="30"/>
  <c r="B603" i="30"/>
  <c r="B602" i="30"/>
  <c r="B601" i="30"/>
  <c r="B600" i="30"/>
  <c r="B599" i="30"/>
  <c r="B598" i="30"/>
  <c r="B597" i="30"/>
  <c r="B596" i="30"/>
  <c r="B595" i="30"/>
  <c r="B594" i="30"/>
  <c r="B593" i="30"/>
  <c r="B592" i="30"/>
  <c r="B591" i="30"/>
  <c r="B590" i="30"/>
  <c r="B589" i="30"/>
  <c r="B588" i="30"/>
  <c r="B587" i="30"/>
  <c r="B586" i="30"/>
  <c r="B585" i="30"/>
  <c r="B584" i="30"/>
  <c r="B583" i="30"/>
  <c r="B582" i="30"/>
  <c r="B581" i="30"/>
  <c r="B580" i="30"/>
  <c r="B579" i="30"/>
  <c r="B578" i="30"/>
  <c r="B577" i="30"/>
  <c r="B576" i="30"/>
  <c r="B575" i="30"/>
  <c r="B574" i="30"/>
  <c r="B573" i="30"/>
  <c r="B572" i="30"/>
  <c r="B571" i="30"/>
  <c r="B570" i="30"/>
  <c r="B569" i="30"/>
  <c r="B568" i="30"/>
  <c r="B567" i="30"/>
  <c r="B566" i="30"/>
  <c r="B565" i="30"/>
  <c r="B564" i="30"/>
  <c r="B563" i="30"/>
  <c r="B562" i="30"/>
  <c r="B561" i="30"/>
  <c r="B560" i="30"/>
  <c r="B559" i="30"/>
  <c r="B558" i="30"/>
  <c r="B557" i="30"/>
  <c r="B556" i="30"/>
  <c r="B555" i="30"/>
  <c r="B554" i="30"/>
  <c r="B553" i="30"/>
  <c r="B552" i="30"/>
  <c r="B551" i="30"/>
  <c r="B550" i="30"/>
  <c r="B549" i="30"/>
  <c r="B548" i="30"/>
  <c r="B547" i="30"/>
  <c r="B546" i="30"/>
  <c r="B545" i="30"/>
  <c r="B544" i="30"/>
  <c r="B543" i="30"/>
  <c r="B542" i="30"/>
  <c r="B541" i="30"/>
  <c r="B540" i="30"/>
  <c r="B539" i="30"/>
  <c r="B538" i="30"/>
  <c r="B537" i="30"/>
  <c r="B536" i="30"/>
  <c r="B535" i="30"/>
  <c r="B534" i="30"/>
  <c r="B533" i="30"/>
  <c r="B532" i="30"/>
  <c r="B531" i="30"/>
  <c r="B530" i="30"/>
  <c r="B529" i="30"/>
  <c r="B528" i="30"/>
  <c r="B527" i="30"/>
  <c r="B526" i="30"/>
  <c r="B525" i="30"/>
  <c r="B524" i="30"/>
  <c r="B523" i="30"/>
  <c r="B522" i="30"/>
  <c r="B521" i="30"/>
  <c r="B520" i="30"/>
  <c r="B519" i="30"/>
  <c r="B518" i="30"/>
  <c r="B517" i="30"/>
  <c r="B516" i="30"/>
  <c r="B515" i="30"/>
  <c r="B514" i="30"/>
  <c r="B513" i="30"/>
  <c r="B512" i="30"/>
  <c r="B511" i="30"/>
  <c r="B510" i="30"/>
  <c r="B509" i="30"/>
  <c r="B508" i="30"/>
  <c r="B507" i="30"/>
  <c r="B506" i="30"/>
  <c r="B505" i="30"/>
  <c r="B504" i="30"/>
  <c r="B503" i="30"/>
  <c r="B502" i="30"/>
  <c r="B501" i="30"/>
  <c r="B500" i="30"/>
  <c r="B499" i="30"/>
  <c r="B498" i="30"/>
  <c r="B497" i="30"/>
  <c r="B496" i="30"/>
  <c r="B495" i="30"/>
  <c r="B494" i="30"/>
  <c r="B493" i="30"/>
  <c r="B492" i="30"/>
  <c r="B491" i="30"/>
  <c r="B490" i="30"/>
  <c r="B489" i="30"/>
  <c r="B488" i="30"/>
  <c r="B487" i="30"/>
  <c r="B486" i="30"/>
  <c r="B485" i="30"/>
  <c r="B484" i="30"/>
  <c r="B483" i="30"/>
  <c r="B482" i="30"/>
  <c r="B481" i="30"/>
  <c r="B480" i="30"/>
  <c r="B479" i="30"/>
  <c r="B478" i="30"/>
  <c r="B477" i="30"/>
  <c r="B476" i="30"/>
  <c r="B475" i="30"/>
  <c r="B474" i="30"/>
  <c r="B473" i="30"/>
  <c r="B472" i="30"/>
  <c r="B471" i="30"/>
  <c r="B470" i="30"/>
  <c r="B469" i="30"/>
  <c r="B468" i="30"/>
  <c r="B467" i="30"/>
  <c r="B466" i="30"/>
  <c r="B465" i="30"/>
  <c r="B464" i="30"/>
  <c r="B463" i="30"/>
  <c r="B462" i="30"/>
  <c r="B461" i="30"/>
  <c r="B460" i="30"/>
  <c r="B459" i="30"/>
  <c r="B458" i="30"/>
  <c r="B457" i="30"/>
  <c r="B456" i="30"/>
  <c r="B455" i="30"/>
  <c r="B454" i="30"/>
  <c r="B453" i="30"/>
  <c r="B452" i="30"/>
  <c r="B451" i="30"/>
  <c r="B450" i="30"/>
  <c r="B449" i="30"/>
  <c r="B448" i="30"/>
  <c r="B447" i="30"/>
  <c r="B446" i="30"/>
  <c r="B445" i="30"/>
  <c r="B444" i="30"/>
  <c r="B443" i="30"/>
  <c r="B442" i="30"/>
  <c r="B441" i="30"/>
  <c r="B440" i="30"/>
  <c r="B439" i="30"/>
  <c r="B438" i="30"/>
  <c r="B437" i="30"/>
  <c r="B436" i="30"/>
  <c r="B435" i="30"/>
  <c r="B434" i="30"/>
  <c r="B433" i="30"/>
  <c r="B432" i="30"/>
  <c r="B431" i="30"/>
  <c r="B430" i="30"/>
  <c r="B429" i="30"/>
  <c r="B428" i="30"/>
  <c r="B427" i="30"/>
  <c r="B426" i="30"/>
  <c r="B425" i="30"/>
  <c r="B424" i="30"/>
  <c r="B423" i="30"/>
  <c r="B422" i="30"/>
  <c r="B421" i="30"/>
  <c r="B420" i="30"/>
  <c r="B419" i="30"/>
  <c r="B418" i="30"/>
  <c r="B417" i="30"/>
  <c r="B416" i="30"/>
  <c r="B415" i="30"/>
  <c r="B414" i="30"/>
  <c r="B413" i="30"/>
  <c r="B412" i="30"/>
  <c r="B411" i="30"/>
  <c r="B410" i="30"/>
  <c r="B409" i="30"/>
  <c r="B408" i="30"/>
  <c r="B407" i="30"/>
  <c r="B406" i="30"/>
  <c r="B405" i="30"/>
  <c r="B404" i="30"/>
  <c r="B403" i="30"/>
  <c r="B402" i="30"/>
  <c r="B401" i="30"/>
  <c r="B400" i="30"/>
  <c r="B399" i="30"/>
  <c r="B398" i="30"/>
  <c r="B397" i="30"/>
  <c r="B396" i="30"/>
  <c r="B395" i="30"/>
  <c r="B394" i="30"/>
  <c r="B393" i="30"/>
  <c r="B392" i="30"/>
  <c r="B391" i="30"/>
  <c r="B390" i="30"/>
  <c r="B389" i="30"/>
  <c r="B388" i="30"/>
  <c r="B387" i="30"/>
  <c r="B386" i="30"/>
  <c r="B385" i="30"/>
  <c r="B384" i="30"/>
  <c r="B383" i="30"/>
  <c r="B382" i="30"/>
  <c r="B381" i="30"/>
  <c r="B380" i="30"/>
  <c r="B379" i="30"/>
  <c r="B378" i="30"/>
  <c r="B377" i="30"/>
  <c r="B376" i="30"/>
  <c r="B375" i="30"/>
  <c r="B374" i="30"/>
  <c r="B373" i="30"/>
  <c r="B372" i="30"/>
  <c r="B371" i="30"/>
  <c r="B370" i="30"/>
  <c r="B369" i="30"/>
  <c r="B368" i="30"/>
  <c r="B367" i="30"/>
  <c r="B366" i="30"/>
  <c r="B365" i="30"/>
  <c r="B364" i="30"/>
  <c r="B363" i="30"/>
  <c r="B362" i="30"/>
  <c r="B361" i="30"/>
  <c r="B360" i="30"/>
  <c r="B359" i="30"/>
  <c r="B358" i="30"/>
  <c r="B357" i="30"/>
  <c r="B356" i="30"/>
  <c r="B355" i="30"/>
  <c r="B354" i="30"/>
  <c r="B353" i="30"/>
  <c r="B352" i="30"/>
  <c r="B351" i="30"/>
  <c r="B350" i="30"/>
  <c r="B349" i="30"/>
  <c r="B348" i="30"/>
  <c r="B347" i="30"/>
  <c r="B346" i="30"/>
  <c r="B345" i="30"/>
  <c r="B344" i="30"/>
  <c r="B343" i="30"/>
  <c r="B342" i="30"/>
  <c r="B341" i="30"/>
  <c r="B340" i="30"/>
  <c r="B339" i="30"/>
  <c r="B338" i="30"/>
  <c r="B337" i="30"/>
  <c r="B336" i="30"/>
  <c r="B335" i="30"/>
  <c r="B334" i="30"/>
  <c r="B333" i="30"/>
  <c r="B332" i="30"/>
  <c r="B331" i="30"/>
  <c r="B330" i="30"/>
  <c r="B329" i="30"/>
  <c r="B328" i="30"/>
  <c r="B327" i="30"/>
  <c r="B326" i="30"/>
  <c r="B325" i="30"/>
  <c r="B324" i="30"/>
  <c r="B323" i="30"/>
  <c r="B322" i="30"/>
  <c r="B321" i="30"/>
  <c r="B320" i="30"/>
  <c r="B319" i="30"/>
  <c r="B318" i="30"/>
  <c r="B317" i="30"/>
  <c r="B316" i="30"/>
  <c r="B315" i="30"/>
  <c r="B314" i="30"/>
  <c r="B313" i="30"/>
  <c r="B312" i="30"/>
  <c r="B311" i="30"/>
  <c r="B310" i="30"/>
  <c r="B309" i="30"/>
  <c r="B308" i="30"/>
  <c r="B307" i="30"/>
  <c r="B306" i="30"/>
  <c r="B305" i="30"/>
  <c r="B304" i="30"/>
  <c r="B303" i="30"/>
  <c r="B302" i="30"/>
  <c r="B301" i="30"/>
  <c r="B300" i="30"/>
  <c r="B299" i="30"/>
  <c r="B298" i="30"/>
  <c r="B297" i="30"/>
  <c r="B296" i="30"/>
  <c r="B295" i="30"/>
  <c r="B294" i="30"/>
  <c r="B293" i="30"/>
  <c r="B292" i="30"/>
  <c r="B291" i="30"/>
  <c r="B290" i="30"/>
  <c r="B289" i="30"/>
  <c r="B288" i="30"/>
  <c r="B287" i="30"/>
  <c r="B286" i="30"/>
  <c r="B285" i="30"/>
  <c r="B284" i="30"/>
  <c r="B283" i="30"/>
  <c r="B282" i="30"/>
  <c r="B281" i="30"/>
  <c r="B280" i="30"/>
  <c r="B279" i="30"/>
  <c r="B278" i="30"/>
  <c r="B277" i="30"/>
  <c r="B276" i="30"/>
  <c r="B275" i="30"/>
  <c r="B274" i="30"/>
  <c r="B273" i="30"/>
  <c r="B272" i="30"/>
  <c r="B271" i="30"/>
  <c r="B270" i="30"/>
  <c r="B269" i="30"/>
  <c r="B268" i="30"/>
  <c r="B267" i="30"/>
  <c r="B266" i="30"/>
  <c r="B265" i="30"/>
  <c r="B264" i="30"/>
  <c r="B263" i="30"/>
  <c r="B262" i="30"/>
  <c r="B261" i="30"/>
  <c r="B260" i="30"/>
  <c r="B259" i="30"/>
  <c r="B258" i="30"/>
  <c r="B257" i="30"/>
  <c r="B256" i="30"/>
  <c r="B255" i="30"/>
  <c r="B254" i="30"/>
  <c r="B253" i="30"/>
  <c r="B252" i="30"/>
  <c r="B251" i="30"/>
  <c r="B250" i="30"/>
  <c r="B249" i="30"/>
  <c r="B248" i="30"/>
  <c r="B247" i="30"/>
  <c r="B246" i="30"/>
  <c r="B245" i="30"/>
  <c r="B244" i="30"/>
  <c r="B243" i="30"/>
  <c r="B242" i="30"/>
  <c r="B241" i="30"/>
  <c r="B240" i="30"/>
  <c r="B239" i="30"/>
  <c r="B238" i="30"/>
  <c r="B237" i="30"/>
  <c r="B236" i="30"/>
  <c r="B235" i="30"/>
  <c r="B234" i="30"/>
  <c r="B233" i="30"/>
  <c r="B232" i="30"/>
  <c r="B231" i="30"/>
  <c r="B230" i="30"/>
  <c r="B229" i="30"/>
  <c r="B228" i="30"/>
  <c r="B227" i="30"/>
  <c r="B226" i="30"/>
  <c r="B225" i="30"/>
  <c r="B224" i="30"/>
  <c r="B223" i="30"/>
  <c r="B222" i="30"/>
  <c r="B221" i="30"/>
  <c r="B220" i="30"/>
  <c r="B219" i="30"/>
  <c r="B218" i="30"/>
  <c r="B217" i="30"/>
  <c r="B216" i="30"/>
  <c r="B215" i="30"/>
  <c r="B214" i="30"/>
  <c r="B213" i="30"/>
  <c r="B212" i="30"/>
  <c r="B211" i="30"/>
  <c r="B210" i="30"/>
  <c r="B209" i="30"/>
  <c r="B208" i="30"/>
  <c r="B207" i="30"/>
  <c r="B206" i="30"/>
  <c r="B205" i="30"/>
  <c r="B204" i="30"/>
  <c r="B203" i="30"/>
  <c r="B202" i="30"/>
  <c r="B201" i="30"/>
  <c r="B200" i="30"/>
  <c r="B199" i="30"/>
  <c r="B198" i="30"/>
  <c r="B197" i="30"/>
  <c r="B196" i="30"/>
  <c r="B195" i="30"/>
  <c r="B194" i="30"/>
  <c r="B193" i="30"/>
  <c r="B192" i="30"/>
  <c r="B191" i="30"/>
  <c r="B190" i="30"/>
  <c r="B189" i="30"/>
  <c r="B188" i="30"/>
  <c r="B187" i="30"/>
  <c r="B186" i="30"/>
  <c r="B185" i="30"/>
  <c r="B184" i="30"/>
  <c r="B183" i="30"/>
  <c r="B182" i="30"/>
  <c r="B181" i="30"/>
  <c r="B180" i="30"/>
  <c r="B179" i="30"/>
  <c r="B178" i="30"/>
  <c r="B177" i="30"/>
  <c r="B176" i="30"/>
  <c r="B175" i="30"/>
  <c r="B174" i="30"/>
  <c r="B173" i="30"/>
  <c r="B172" i="30"/>
  <c r="B171" i="30"/>
  <c r="B170" i="30"/>
  <c r="B169" i="30"/>
  <c r="B168" i="30"/>
  <c r="B167" i="30"/>
  <c r="B166" i="30"/>
  <c r="B165" i="30"/>
  <c r="B164" i="30"/>
  <c r="B163" i="30"/>
  <c r="B162" i="30"/>
  <c r="B161" i="30"/>
  <c r="B160" i="30"/>
  <c r="B159" i="30"/>
  <c r="B158" i="30"/>
  <c r="B157" i="30"/>
  <c r="B156" i="30"/>
  <c r="B155" i="30"/>
  <c r="B154" i="30"/>
  <c r="B153" i="30"/>
  <c r="B152" i="30"/>
  <c r="B151" i="30"/>
  <c r="B150" i="30"/>
  <c r="B149" i="30"/>
  <c r="B148" i="30"/>
  <c r="B147" i="30"/>
  <c r="B146" i="30"/>
  <c r="B145" i="30"/>
  <c r="B144" i="30"/>
  <c r="B143" i="30"/>
  <c r="B142" i="30"/>
  <c r="B141" i="30"/>
  <c r="B140" i="30"/>
  <c r="B139" i="30"/>
  <c r="B138" i="30"/>
  <c r="B137" i="30"/>
  <c r="B136" i="30"/>
  <c r="B135" i="30"/>
  <c r="B134" i="30"/>
  <c r="B133" i="30"/>
  <c r="B132" i="30"/>
  <c r="B131" i="30"/>
  <c r="B130" i="30"/>
  <c r="B129" i="30"/>
  <c r="B128" i="30"/>
  <c r="B127" i="30"/>
  <c r="B126" i="30"/>
  <c r="B125" i="30"/>
  <c r="B124" i="30"/>
  <c r="B123" i="30"/>
  <c r="B122" i="30"/>
  <c r="B121" i="30"/>
  <c r="B120" i="30"/>
  <c r="B119" i="30"/>
  <c r="B118" i="30"/>
  <c r="B117" i="30"/>
  <c r="B116" i="30"/>
  <c r="B115" i="30"/>
  <c r="B114" i="30"/>
  <c r="B113" i="30"/>
  <c r="B112" i="30"/>
  <c r="B111" i="30"/>
  <c r="B110" i="30"/>
  <c r="B109" i="30"/>
  <c r="B108" i="30"/>
  <c r="B107" i="30"/>
  <c r="B106" i="30"/>
  <c r="B105" i="30"/>
  <c r="B104" i="30"/>
  <c r="B103" i="30"/>
  <c r="B102" i="30"/>
  <c r="B101" i="30"/>
  <c r="B100" i="30"/>
  <c r="B99" i="30"/>
  <c r="B98" i="30"/>
  <c r="B97" i="30"/>
  <c r="B96" i="30"/>
  <c r="B95" i="30"/>
  <c r="B94" i="30"/>
  <c r="B93" i="30"/>
  <c r="B92" i="30"/>
  <c r="B91" i="30"/>
  <c r="B90" i="30"/>
  <c r="B89" i="30"/>
  <c r="B88" i="30"/>
  <c r="B87" i="30"/>
  <c r="B86" i="30"/>
  <c r="B85" i="30"/>
  <c r="B84" i="30"/>
  <c r="B83" i="30"/>
  <c r="B82" i="30"/>
  <c r="B81" i="30"/>
  <c r="B80" i="30"/>
  <c r="B79" i="30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21" i="30"/>
  <c r="B20" i="30"/>
  <c r="B19" i="30"/>
  <c r="B18" i="30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6"/>
  <c r="B27" i="6"/>
  <c r="B26" i="6"/>
  <c r="B25" i="6"/>
  <c r="B24" i="6"/>
  <c r="B23" i="6"/>
  <c r="B22" i="6"/>
  <c r="B21" i="6"/>
  <c r="AF29" i="1" l="1"/>
  <c r="AE21" i="1"/>
  <c r="AE29" i="1"/>
  <c r="AG8" i="1"/>
  <c r="E9" i="12"/>
  <c r="E7" i="12"/>
  <c r="AF23" i="1"/>
  <c r="AF21" i="1"/>
  <c r="AD22" i="1"/>
  <c r="AG22" i="1" s="1"/>
  <c r="AG21" i="1"/>
  <c r="AP22" i="1"/>
  <c r="AN22" i="1"/>
  <c r="AP30" i="1"/>
  <c r="AL26" i="1"/>
  <c r="AK26" i="1"/>
  <c r="AJ29" i="1"/>
  <c r="AJ26" i="1"/>
  <c r="AJ21" i="1"/>
  <c r="AP31" i="1"/>
  <c r="AO30" i="1"/>
  <c r="AJ25" i="1"/>
  <c r="AF31" i="1"/>
  <c r="AK25" i="1"/>
  <c r="AN29" i="1"/>
  <c r="AO31" i="1"/>
  <c r="AL21" i="1"/>
  <c r="AJ23" i="1"/>
  <c r="AF22" i="1"/>
  <c r="AO27" i="1"/>
  <c r="AF30" i="1"/>
  <c r="AE30" i="1"/>
  <c r="AO23" i="1"/>
  <c r="AI23" i="1"/>
  <c r="AL29" i="1"/>
  <c r="AK23" i="1"/>
  <c r="AO21" i="1"/>
  <c r="AP21" i="1"/>
  <c r="AK31" i="1"/>
  <c r="AJ27" i="1"/>
  <c r="AO28" i="1"/>
  <c r="AN28" i="1"/>
  <c r="AJ32" i="1"/>
  <c r="AI32" i="1"/>
  <c r="AP27" i="1"/>
  <c r="AJ31" i="1"/>
  <c r="AL30" i="1"/>
  <c r="AJ22" i="1"/>
  <c r="AK32" i="1"/>
  <c r="AE31" i="1"/>
  <c r="AP29" i="1"/>
  <c r="AL24" i="1"/>
  <c r="AK24" i="1"/>
  <c r="AJ24" i="1"/>
  <c r="AE26" i="1"/>
  <c r="AP23" i="1"/>
  <c r="AO25" i="1"/>
  <c r="AL31" i="1"/>
  <c r="AL22" i="1"/>
  <c r="AJ30" i="1"/>
  <c r="AO26" i="1"/>
  <c r="AL28" i="1"/>
  <c r="AF20" i="1"/>
  <c r="AP26" i="1"/>
  <c r="AK30" i="1"/>
  <c r="AK22" i="1"/>
  <c r="AF26" i="1"/>
  <c r="AO32" i="1"/>
  <c r="AP25" i="1"/>
  <c r="AK29" i="1"/>
  <c r="AK21" i="1"/>
  <c r="AG32" i="1"/>
  <c r="AE32" i="1"/>
  <c r="AO20" i="1"/>
  <c r="AP32" i="1"/>
  <c r="AP24" i="1"/>
  <c r="AN24" i="1"/>
  <c r="AK28" i="1"/>
  <c r="AI28" i="1"/>
  <c r="AF32" i="1"/>
  <c r="AF24" i="1"/>
  <c r="AD24" i="1"/>
  <c r="AG24" i="1" s="1"/>
  <c r="AN20" i="1"/>
  <c r="AP9" i="1"/>
  <c r="AK19" i="1"/>
  <c r="AO19" i="1"/>
  <c r="AJ20" i="1"/>
  <c r="AO9" i="1"/>
  <c r="AL20" i="1"/>
  <c r="AO11" i="1"/>
  <c r="AL19" i="1"/>
  <c r="AP19" i="1"/>
  <c r="AK20" i="1"/>
  <c r="AD19" i="1"/>
  <c r="AG19" i="1" s="1"/>
  <c r="AO10" i="1"/>
  <c r="AF16" i="1"/>
  <c r="AJ19" i="1"/>
  <c r="AF19" i="1"/>
  <c r="AP17" i="1"/>
  <c r="AE20" i="1"/>
  <c r="AO17" i="1"/>
  <c r="AP10" i="1"/>
  <c r="AD9" i="1"/>
  <c r="AG9" i="1" s="1"/>
  <c r="AO18" i="1"/>
  <c r="AD17" i="1"/>
  <c r="AG17" i="1" s="1"/>
  <c r="AL18" i="1"/>
  <c r="AK18" i="1"/>
  <c r="AP18" i="1"/>
  <c r="AN16" i="1"/>
  <c r="AF8" i="1"/>
  <c r="AJ18" i="1"/>
  <c r="AF18" i="1"/>
  <c r="AK17" i="1"/>
  <c r="AL16" i="1"/>
  <c r="AJ17" i="1"/>
  <c r="AF17" i="1"/>
  <c r="AL17" i="1"/>
  <c r="AP16" i="1"/>
  <c r="AL11" i="1"/>
  <c r="AE18" i="1"/>
  <c r="AP11" i="1"/>
  <c r="AK16" i="1"/>
  <c r="AJ16" i="1"/>
  <c r="AD11" i="1"/>
  <c r="AG11" i="1" s="1"/>
  <c r="AJ11" i="1"/>
  <c r="AF11" i="1"/>
  <c r="AK11" i="1"/>
  <c r="AE16" i="1"/>
  <c r="AN8" i="1"/>
  <c r="AL10" i="1"/>
  <c r="AK10" i="1"/>
  <c r="AL8" i="1"/>
  <c r="AJ10" i="1"/>
  <c r="AF10" i="1"/>
  <c r="AP8" i="1"/>
  <c r="AL15" i="1"/>
  <c r="AJ9" i="1"/>
  <c r="AF9" i="1"/>
  <c r="AK9" i="1"/>
  <c r="AP15" i="1"/>
  <c r="AK8" i="1"/>
  <c r="AE10" i="1"/>
  <c r="AL9" i="1"/>
  <c r="AK15" i="1"/>
  <c r="AO15" i="1"/>
  <c r="AJ8" i="1"/>
  <c r="AD15" i="1"/>
  <c r="AG15" i="1" s="1"/>
  <c r="AK14" i="1"/>
  <c r="AJ15" i="1"/>
  <c r="AF15" i="1"/>
  <c r="AE8" i="1"/>
  <c r="D8" i="12" s="1"/>
  <c r="AE15" i="1"/>
  <c r="AO14" i="1"/>
  <c r="AG14" i="1"/>
  <c r="AN14" i="1"/>
  <c r="AF14" i="1"/>
  <c r="AE14" i="1"/>
  <c r="AK13" i="1"/>
  <c r="AL14" i="1"/>
  <c r="AJ14" i="1"/>
  <c r="AO13" i="1"/>
  <c r="AG13" i="1"/>
  <c r="AN13" i="1"/>
  <c r="AF13" i="1"/>
  <c r="AE13" i="1"/>
  <c r="AL13" i="1"/>
  <c r="AJ13" i="1"/>
  <c r="F8" i="12" l="1"/>
  <c r="H8" i="12" s="1"/>
  <c r="F10" i="12"/>
  <c r="H10" i="12" s="1"/>
  <c r="E8" i="12"/>
  <c r="E10" i="12"/>
  <c r="D10" i="12"/>
  <c r="D9" i="12"/>
  <c r="F9" i="12"/>
  <c r="D7" i="12"/>
  <c r="F7" i="12"/>
  <c r="S6" i="12"/>
  <c r="T6" i="12"/>
  <c r="I902" i="12"/>
  <c r="I30" i="12"/>
  <c r="I1859" i="12"/>
  <c r="I506" i="12"/>
  <c r="I642" i="12"/>
  <c r="I1860" i="12"/>
  <c r="I1861" i="12"/>
  <c r="I1862" i="12"/>
  <c r="I1863" i="12"/>
  <c r="I1864" i="12"/>
  <c r="I1865" i="12"/>
  <c r="I1866" i="12"/>
  <c r="I181" i="12"/>
  <c r="I702" i="12"/>
  <c r="I1867" i="12"/>
  <c r="I1868" i="12"/>
  <c r="I270" i="12"/>
  <c r="I1869" i="12"/>
  <c r="I703" i="12"/>
  <c r="I1870" i="12"/>
  <c r="I1871" i="12"/>
  <c r="I183" i="12"/>
  <c r="I643" i="12"/>
  <c r="I644" i="12"/>
  <c r="I1872" i="12"/>
  <c r="I321" i="12"/>
  <c r="I381" i="12"/>
  <c r="I1873" i="12"/>
  <c r="I1874" i="12"/>
  <c r="I645" i="12"/>
  <c r="I1875" i="12"/>
  <c r="I1876" i="12"/>
  <c r="I440" i="12"/>
  <c r="I1877" i="12"/>
  <c r="I646" i="12"/>
  <c r="I1878" i="12"/>
  <c r="I1016" i="12"/>
  <c r="I116" i="12"/>
  <c r="I1879" i="12"/>
  <c r="I1880" i="12"/>
  <c r="I1881" i="12"/>
  <c r="I647" i="12"/>
  <c r="I1882" i="12"/>
  <c r="I1883" i="12"/>
  <c r="I1884" i="12"/>
  <c r="I1885" i="12"/>
  <c r="I796" i="12"/>
  <c r="I648" i="12"/>
  <c r="I76" i="12"/>
  <c r="I1886" i="12"/>
  <c r="I1017" i="12"/>
  <c r="I98" i="12"/>
  <c r="I649" i="12"/>
  <c r="I472" i="12"/>
  <c r="I117" i="12"/>
  <c r="I1887" i="12"/>
  <c r="I299" i="12"/>
  <c r="I650" i="12"/>
  <c r="I234" i="12"/>
  <c r="I903" i="12"/>
  <c r="I1888" i="12"/>
  <c r="I254" i="12"/>
  <c r="I1889" i="12"/>
  <c r="I704" i="12"/>
  <c r="I651" i="12"/>
  <c r="I1890" i="12"/>
  <c r="I1891" i="12"/>
  <c r="I382" i="12"/>
  <c r="I441" i="12"/>
  <c r="I652" i="12"/>
  <c r="I1892" i="12"/>
  <c r="I1893" i="12"/>
  <c r="I1018" i="12"/>
  <c r="I331" i="12"/>
  <c r="I1894" i="12"/>
  <c r="I383" i="12"/>
  <c r="I454" i="12"/>
  <c r="I134" i="12"/>
  <c r="I507" i="12"/>
  <c r="I778" i="12"/>
  <c r="I1895" i="12"/>
  <c r="I1896" i="12"/>
  <c r="I1019" i="12"/>
  <c r="I1897" i="12"/>
  <c r="I235" i="12"/>
  <c r="I904" i="12"/>
  <c r="I62" i="12"/>
  <c r="I1898" i="12"/>
  <c r="I1899" i="12"/>
  <c r="I1900" i="12"/>
  <c r="I713" i="12"/>
  <c r="I1901" i="12"/>
  <c r="I1902" i="12"/>
  <c r="I1903" i="12"/>
  <c r="I779" i="12"/>
  <c r="I1904" i="12"/>
  <c r="I1905" i="12"/>
  <c r="I1906" i="12"/>
  <c r="I1907" i="12"/>
  <c r="I1908" i="12"/>
  <c r="I1909" i="12"/>
  <c r="I1910" i="12"/>
  <c r="I1911" i="12"/>
  <c r="I1912" i="12"/>
  <c r="I1913" i="12"/>
  <c r="I1914" i="12"/>
  <c r="I1915" i="12"/>
  <c r="I1916" i="12"/>
  <c r="I1917" i="12"/>
  <c r="I1918" i="12"/>
  <c r="I1919" i="12"/>
  <c r="I442" i="12"/>
  <c r="I653" i="12"/>
  <c r="I654" i="12"/>
  <c r="I1920" i="12"/>
  <c r="I1921" i="12"/>
  <c r="I1922" i="12"/>
  <c r="I905" i="12"/>
  <c r="I508" i="12"/>
  <c r="I127" i="12"/>
  <c r="I1923" i="12"/>
  <c r="I1924" i="12"/>
  <c r="I1925" i="12"/>
  <c r="I1926" i="12"/>
  <c r="I1927" i="12"/>
  <c r="I1928" i="12"/>
  <c r="I1929" i="12"/>
  <c r="I1930" i="12"/>
  <c r="I1931" i="12"/>
  <c r="I1932" i="12"/>
  <c r="I1933" i="12"/>
  <c r="I1934" i="12"/>
  <c r="I1935" i="12"/>
  <c r="I1936" i="12"/>
  <c r="I1937" i="12"/>
  <c r="I443" i="12"/>
  <c r="I1938" i="12"/>
  <c r="I444" i="12"/>
  <c r="I906" i="12"/>
  <c r="I1939" i="12"/>
  <c r="I907" i="12"/>
  <c r="I322" i="12"/>
  <c r="I817" i="12"/>
  <c r="I1940" i="12"/>
  <c r="I1941" i="12"/>
  <c r="I1942" i="12"/>
  <c r="I1943" i="12"/>
  <c r="I1944" i="12"/>
  <c r="I1945" i="12"/>
  <c r="I1946" i="12"/>
  <c r="I1947" i="12"/>
  <c r="I1948" i="12"/>
  <c r="I1949" i="12"/>
  <c r="I1950" i="12"/>
  <c r="I1951" i="12"/>
  <c r="I1952" i="12"/>
  <c r="J902" i="12"/>
  <c r="J30" i="12"/>
  <c r="J1859" i="12"/>
  <c r="J506" i="12"/>
  <c r="J642" i="12"/>
  <c r="J1860" i="12"/>
  <c r="J1861" i="12"/>
  <c r="J1862" i="12"/>
  <c r="J1863" i="12"/>
  <c r="J1864" i="12"/>
  <c r="J1865" i="12"/>
  <c r="J1866" i="12"/>
  <c r="J181" i="12"/>
  <c r="J702" i="12"/>
  <c r="J1867" i="12"/>
  <c r="J1868" i="12"/>
  <c r="J270" i="12"/>
  <c r="J1869" i="12"/>
  <c r="J703" i="12"/>
  <c r="J1870" i="12"/>
  <c r="J1871" i="12"/>
  <c r="J183" i="12"/>
  <c r="J643" i="12"/>
  <c r="J644" i="12"/>
  <c r="J1872" i="12"/>
  <c r="J321" i="12"/>
  <c r="J381" i="12"/>
  <c r="J1873" i="12"/>
  <c r="J1874" i="12"/>
  <c r="J645" i="12"/>
  <c r="J1875" i="12"/>
  <c r="J1876" i="12"/>
  <c r="J440" i="12"/>
  <c r="J1877" i="12"/>
  <c r="J646" i="12"/>
  <c r="J1878" i="12"/>
  <c r="J1016" i="12"/>
  <c r="J116" i="12"/>
  <c r="J1879" i="12"/>
  <c r="J1880" i="12"/>
  <c r="J1881" i="12"/>
  <c r="J647" i="12"/>
  <c r="J1882" i="12"/>
  <c r="J1883" i="12"/>
  <c r="J1884" i="12"/>
  <c r="J1885" i="12"/>
  <c r="J796" i="12"/>
  <c r="J648" i="12"/>
  <c r="J76" i="12"/>
  <c r="J1886" i="12"/>
  <c r="J1017" i="12"/>
  <c r="J98" i="12"/>
  <c r="J649" i="12"/>
  <c r="J472" i="12"/>
  <c r="J117" i="12"/>
  <c r="J1887" i="12"/>
  <c r="J299" i="12"/>
  <c r="J650" i="12"/>
  <c r="J234" i="12"/>
  <c r="J903" i="12"/>
  <c r="J1888" i="12"/>
  <c r="J254" i="12"/>
  <c r="J1889" i="12"/>
  <c r="J704" i="12"/>
  <c r="J651" i="12"/>
  <c r="J1890" i="12"/>
  <c r="J1891" i="12"/>
  <c r="J382" i="12"/>
  <c r="J441" i="12"/>
  <c r="J652" i="12"/>
  <c r="J1892" i="12"/>
  <c r="J1893" i="12"/>
  <c r="J1018" i="12"/>
  <c r="J331" i="12"/>
  <c r="J1894" i="12"/>
  <c r="J383" i="12"/>
  <c r="J454" i="12"/>
  <c r="J134" i="12"/>
  <c r="J507" i="12"/>
  <c r="J778" i="12"/>
  <c r="J1895" i="12"/>
  <c r="J1896" i="12"/>
  <c r="J1019" i="12"/>
  <c r="J1897" i="12"/>
  <c r="J235" i="12"/>
  <c r="J904" i="12"/>
  <c r="J62" i="12"/>
  <c r="J1898" i="12"/>
  <c r="J1899" i="12"/>
  <c r="J1900" i="12"/>
  <c r="J713" i="12"/>
  <c r="J1901" i="12"/>
  <c r="J1902" i="12"/>
  <c r="J1903" i="12"/>
  <c r="J779" i="12"/>
  <c r="J1904" i="12"/>
  <c r="J1905" i="12"/>
  <c r="J1906" i="12"/>
  <c r="J1907" i="12"/>
  <c r="J1908" i="12"/>
  <c r="J1909" i="12"/>
  <c r="J1910" i="12"/>
  <c r="J1911" i="12"/>
  <c r="J1912" i="12"/>
  <c r="J1913" i="12"/>
  <c r="J1914" i="12"/>
  <c r="J1915" i="12"/>
  <c r="J1916" i="12"/>
  <c r="J1917" i="12"/>
  <c r="J1918" i="12"/>
  <c r="J1919" i="12"/>
  <c r="J442" i="12"/>
  <c r="J653" i="12"/>
  <c r="J654" i="12"/>
  <c r="J1920" i="12"/>
  <c r="J1921" i="12"/>
  <c r="J1922" i="12"/>
  <c r="J905" i="12"/>
  <c r="J508" i="12"/>
  <c r="J127" i="12"/>
  <c r="J1923" i="12"/>
  <c r="J1924" i="12"/>
  <c r="J1925" i="12"/>
  <c r="J1926" i="12"/>
  <c r="J1927" i="12"/>
  <c r="J1928" i="12"/>
  <c r="J1929" i="12"/>
  <c r="J1930" i="12"/>
  <c r="J1931" i="12"/>
  <c r="J1932" i="12"/>
  <c r="J1933" i="12"/>
  <c r="J1934" i="12"/>
  <c r="J1935" i="12"/>
  <c r="J1936" i="12"/>
  <c r="J1937" i="12"/>
  <c r="J443" i="12"/>
  <c r="J1938" i="12"/>
  <c r="J444" i="12"/>
  <c r="J906" i="12"/>
  <c r="J1939" i="12"/>
  <c r="J907" i="12"/>
  <c r="J322" i="12"/>
  <c r="J817" i="12"/>
  <c r="J1940" i="12"/>
  <c r="J1941" i="12"/>
  <c r="J1942" i="12"/>
  <c r="J1943" i="12"/>
  <c r="J1944" i="12"/>
  <c r="J1945" i="12"/>
  <c r="J1946" i="12"/>
  <c r="J1947" i="12"/>
  <c r="J1948" i="12"/>
  <c r="J1949" i="12"/>
  <c r="J1950" i="12"/>
  <c r="J1951" i="12"/>
  <c r="J1952" i="12"/>
  <c r="G10" i="12" l="1"/>
  <c r="G8" i="12"/>
  <c r="H7" i="12"/>
  <c r="G7" i="12"/>
  <c r="H9" i="12"/>
  <c r="G9" i="12"/>
  <c r="AB12" i="1"/>
  <c r="AC12" i="1"/>
  <c r="AH12" i="1"/>
  <c r="AL12" i="1" s="1"/>
  <c r="AM12" i="1"/>
  <c r="AN12" i="1" s="1"/>
  <c r="AQ12" i="1"/>
  <c r="AR12" i="1"/>
  <c r="U6" i="12" l="1"/>
  <c r="V6" i="12" s="1"/>
  <c r="AP12" i="1"/>
  <c r="AF12" i="1"/>
  <c r="AD12" i="1"/>
  <c r="AE12" i="1"/>
  <c r="AO12" i="1"/>
  <c r="AK12" i="1"/>
  <c r="AJ12" i="1"/>
  <c r="AI12" i="1"/>
  <c r="AA12" i="1"/>
  <c r="AG12" i="1" l="1"/>
  <c r="I1838" i="12" l="1"/>
  <c r="I1839" i="12"/>
  <c r="I1840" i="12"/>
  <c r="I113" i="12"/>
  <c r="I114" i="12"/>
  <c r="I1841" i="12"/>
  <c r="I1842" i="12"/>
  <c r="I1843" i="12"/>
  <c r="I1844" i="12"/>
  <c r="I115" i="12"/>
  <c r="I1845" i="12"/>
  <c r="I1846" i="12"/>
  <c r="I1119" i="12"/>
  <c r="I176" i="12"/>
  <c r="I1120" i="12"/>
  <c r="I1847" i="12"/>
  <c r="I1098" i="12"/>
  <c r="I1848" i="12"/>
  <c r="I1849" i="12"/>
  <c r="I1850" i="12"/>
  <c r="I641" i="12"/>
  <c r="I1851" i="12"/>
  <c r="I1852" i="12"/>
  <c r="I1853" i="12"/>
  <c r="I1854" i="12"/>
  <c r="I1855" i="12"/>
  <c r="I1856" i="12"/>
  <c r="I1857" i="12"/>
  <c r="I1858" i="12"/>
  <c r="I70" i="12"/>
  <c r="J1838" i="12"/>
  <c r="J1839" i="12"/>
  <c r="J1840" i="12"/>
  <c r="J113" i="12"/>
  <c r="J114" i="12"/>
  <c r="J1841" i="12"/>
  <c r="J1842" i="12"/>
  <c r="J1843" i="12"/>
  <c r="J1844" i="12"/>
  <c r="J115" i="12"/>
  <c r="J1845" i="12"/>
  <c r="J1846" i="12"/>
  <c r="J1119" i="12"/>
  <c r="J176" i="12"/>
  <c r="J1120" i="12"/>
  <c r="J1847" i="12"/>
  <c r="J1098" i="12"/>
  <c r="J1848" i="12"/>
  <c r="J1849" i="12"/>
  <c r="J1850" i="12"/>
  <c r="J641" i="12"/>
  <c r="J1851" i="12"/>
  <c r="J1852" i="12"/>
  <c r="J1853" i="12"/>
  <c r="J1854" i="12"/>
  <c r="J1855" i="12"/>
  <c r="J1856" i="12"/>
  <c r="J1857" i="12"/>
  <c r="J1858" i="12"/>
  <c r="J70" i="12"/>
  <c r="I1825" i="12" l="1"/>
  <c r="I1265" i="12"/>
  <c r="I380" i="12"/>
  <c r="I1826" i="12"/>
  <c r="I471" i="12"/>
  <c r="I16" i="12"/>
  <c r="I1827" i="12"/>
  <c r="I1828" i="12"/>
  <c r="I1829" i="12"/>
  <c r="I1830" i="12"/>
  <c r="I1831" i="12"/>
  <c r="I638" i="12"/>
  <c r="I439" i="12"/>
  <c r="I765" i="12"/>
  <c r="I777" i="12"/>
  <c r="I1238" i="12"/>
  <c r="I639" i="12"/>
  <c r="I1832" i="12"/>
  <c r="I640" i="12"/>
  <c r="I191" i="12"/>
  <c r="I1833" i="12"/>
  <c r="I1834" i="12"/>
  <c r="I851" i="12"/>
  <c r="I1187" i="12"/>
  <c r="I272" i="12"/>
  <c r="I657" i="12"/>
  <c r="I670" i="12"/>
  <c r="I957" i="12"/>
  <c r="I145" i="12"/>
  <c r="I1835" i="12"/>
  <c r="I1836" i="12"/>
  <c r="I486" i="12"/>
  <c r="I194" i="12"/>
  <c r="I845" i="12"/>
  <c r="I714" i="12"/>
  <c r="I1837" i="12"/>
  <c r="I1015" i="12"/>
  <c r="I410" i="12"/>
  <c r="I669" i="12"/>
  <c r="I210" i="12"/>
  <c r="I237" i="12"/>
  <c r="I351" i="12"/>
  <c r="I364" i="12"/>
  <c r="I1192" i="12"/>
  <c r="I475" i="12"/>
  <c r="J1825" i="12"/>
  <c r="J1265" i="12"/>
  <c r="J380" i="12"/>
  <c r="J1826" i="12"/>
  <c r="J471" i="12"/>
  <c r="J16" i="12"/>
  <c r="J1827" i="12"/>
  <c r="J1828" i="12"/>
  <c r="J1829" i="12"/>
  <c r="J1830" i="12"/>
  <c r="J1831" i="12"/>
  <c r="J638" i="12"/>
  <c r="J439" i="12"/>
  <c r="J765" i="12"/>
  <c r="J777" i="12"/>
  <c r="J1238" i="12"/>
  <c r="J639" i="12"/>
  <c r="J1832" i="12"/>
  <c r="J640" i="12"/>
  <c r="J191" i="12"/>
  <c r="J1833" i="12"/>
  <c r="J1834" i="12"/>
  <c r="J851" i="12"/>
  <c r="J1187" i="12"/>
  <c r="J272" i="12"/>
  <c r="J657" i="12"/>
  <c r="J670" i="12"/>
  <c r="J957" i="12"/>
  <c r="J145" i="12"/>
  <c r="J1835" i="12"/>
  <c r="J1836" i="12"/>
  <c r="J486" i="12"/>
  <c r="J194" i="12"/>
  <c r="J845" i="12"/>
  <c r="J714" i="12"/>
  <c r="J1837" i="12"/>
  <c r="J1015" i="12"/>
  <c r="J410" i="12"/>
  <c r="J669" i="12"/>
  <c r="J210" i="12"/>
  <c r="J237" i="12"/>
  <c r="J351" i="12"/>
  <c r="J364" i="12"/>
  <c r="J1192" i="12"/>
  <c r="J475" i="12"/>
  <c r="I1118" i="12" l="1"/>
  <c r="I524" i="12"/>
  <c r="I974" i="12"/>
  <c r="I570" i="12"/>
  <c r="I1223" i="12"/>
  <c r="I946" i="12"/>
  <c r="I279" i="12"/>
  <c r="I732" i="12"/>
  <c r="I518" i="12"/>
  <c r="I350" i="12"/>
  <c r="I29" i="12"/>
  <c r="I349" i="12"/>
  <c r="I1309" i="12"/>
  <c r="I1402" i="12"/>
  <c r="I1034" i="12"/>
  <c r="I221" i="12"/>
  <c r="I42" i="12"/>
  <c r="I102" i="12"/>
  <c r="I525" i="12"/>
  <c r="I921" i="12"/>
  <c r="I924" i="12"/>
  <c r="I135" i="12"/>
  <c r="I1269" i="12"/>
  <c r="I1403" i="12"/>
  <c r="I1126" i="12"/>
  <c r="I1404" i="12"/>
  <c r="I1405" i="12"/>
  <c r="I333" i="12"/>
  <c r="I171" i="12"/>
  <c r="I47" i="12"/>
  <c r="I1091" i="12"/>
  <c r="I1032" i="12"/>
  <c r="I416" i="12"/>
  <c r="I1376" i="12"/>
  <c r="I207" i="12"/>
  <c r="I353" i="12"/>
  <c r="I783" i="12"/>
  <c r="I862" i="12"/>
  <c r="I698" i="12"/>
  <c r="I673" i="12"/>
  <c r="I754" i="12"/>
  <c r="I214" i="12"/>
  <c r="I562" i="12"/>
  <c r="I1084" i="12"/>
  <c r="I64" i="12"/>
  <c r="I150" i="12"/>
  <c r="I1094" i="12"/>
  <c r="I962" i="12"/>
  <c r="I911" i="12"/>
  <c r="I414" i="12"/>
  <c r="I422" i="12"/>
  <c r="I1157" i="12"/>
  <c r="I161" i="12"/>
  <c r="I785" i="12"/>
  <c r="I1077" i="12"/>
  <c r="I265" i="12"/>
  <c r="I988" i="12"/>
  <c r="I539" i="12"/>
  <c r="I288" i="12"/>
  <c r="I1342" i="12"/>
  <c r="I1370" i="12"/>
  <c r="I1411" i="12"/>
  <c r="J1118" i="12"/>
  <c r="J524" i="12"/>
  <c r="J974" i="12"/>
  <c r="J570" i="12"/>
  <c r="J1223" i="12"/>
  <c r="J946" i="12"/>
  <c r="J279" i="12"/>
  <c r="J732" i="12"/>
  <c r="J518" i="12"/>
  <c r="J350" i="12"/>
  <c r="J29" i="12"/>
  <c r="J349" i="12"/>
  <c r="J1309" i="12"/>
  <c r="J1402" i="12"/>
  <c r="J1034" i="12"/>
  <c r="J221" i="12"/>
  <c r="J42" i="12"/>
  <c r="J102" i="12"/>
  <c r="J525" i="12"/>
  <c r="J921" i="12"/>
  <c r="J924" i="12"/>
  <c r="J135" i="12"/>
  <c r="J1269" i="12"/>
  <c r="J1403" i="12"/>
  <c r="J1126" i="12"/>
  <c r="J1404" i="12"/>
  <c r="J1405" i="12"/>
  <c r="J333" i="12"/>
  <c r="J171" i="12"/>
  <c r="J47" i="12"/>
  <c r="J1091" i="12"/>
  <c r="J1032" i="12"/>
  <c r="J416" i="12"/>
  <c r="J1376" i="12"/>
  <c r="J207" i="12"/>
  <c r="J353" i="12"/>
  <c r="J783" i="12"/>
  <c r="J862" i="12"/>
  <c r="J698" i="12"/>
  <c r="J673" i="12"/>
  <c r="J754" i="12"/>
  <c r="J214" i="12"/>
  <c r="J562" i="12"/>
  <c r="J1084" i="12"/>
  <c r="J64" i="12"/>
  <c r="J150" i="12"/>
  <c r="J1094" i="12"/>
  <c r="J962" i="12"/>
  <c r="J911" i="12"/>
  <c r="J414" i="12"/>
  <c r="J422" i="12"/>
  <c r="J1157" i="12"/>
  <c r="J161" i="12"/>
  <c r="J785" i="12"/>
  <c r="J1077" i="12"/>
  <c r="J265" i="12"/>
  <c r="J988" i="12"/>
  <c r="J539" i="12"/>
  <c r="J288" i="12"/>
  <c r="J1342" i="12"/>
  <c r="J1370" i="12"/>
  <c r="J1411" i="12"/>
  <c r="I75" i="12" l="1"/>
  <c r="I687" i="12"/>
  <c r="I1090" i="12"/>
  <c r="I873" i="12"/>
  <c r="I1391" i="12"/>
  <c r="I1523" i="12"/>
  <c r="I1315" i="12"/>
  <c r="I1137" i="12"/>
  <c r="I212" i="12"/>
  <c r="I837" i="12"/>
  <c r="I200" i="12"/>
  <c r="I1812" i="12"/>
  <c r="I1304" i="12"/>
  <c r="I556" i="12"/>
  <c r="I1306" i="12"/>
  <c r="I1559" i="12"/>
  <c r="I1336" i="12"/>
  <c r="I1151" i="12"/>
  <c r="I1367" i="12"/>
  <c r="I1204" i="12"/>
  <c r="I1516" i="12"/>
  <c r="I378" i="12"/>
  <c r="I1813" i="12"/>
  <c r="I933" i="12"/>
  <c r="I1814" i="12"/>
  <c r="I866" i="12"/>
  <c r="I695" i="12"/>
  <c r="I1459" i="12"/>
  <c r="I1290" i="12"/>
  <c r="I1383" i="12"/>
  <c r="I446" i="12"/>
  <c r="I1186" i="12"/>
  <c r="I1401" i="12"/>
  <c r="I1815" i="12"/>
  <c r="I1816" i="12"/>
  <c r="I253" i="12"/>
  <c r="I202" i="12"/>
  <c r="I805" i="12"/>
  <c r="I1817" i="12"/>
  <c r="I951" i="12"/>
  <c r="I1560" i="12"/>
  <c r="I1302" i="12"/>
  <c r="I1271" i="12"/>
  <c r="I335" i="12"/>
  <c r="I392" i="12"/>
  <c r="I1152" i="12"/>
  <c r="I557" i="12"/>
  <c r="I755" i="12"/>
  <c r="I1326" i="12"/>
  <c r="I1105" i="12"/>
  <c r="I776" i="12"/>
  <c r="I1818" i="12"/>
  <c r="I1561" i="12"/>
  <c r="I300" i="12"/>
  <c r="I1819" i="12"/>
  <c r="I1820" i="12"/>
  <c r="I45" i="12"/>
  <c r="I379" i="12"/>
  <c r="I991" i="12"/>
  <c r="I945" i="12"/>
  <c r="I829" i="12"/>
  <c r="I260" i="12"/>
  <c r="I280" i="12"/>
  <c r="I35" i="12"/>
  <c r="I1222" i="12"/>
  <c r="I1821" i="12"/>
  <c r="I832" i="12"/>
  <c r="I490" i="12"/>
  <c r="I864" i="12"/>
  <c r="I1822" i="12"/>
  <c r="I1056" i="12"/>
  <c r="I1823" i="12"/>
  <c r="I1824" i="12"/>
  <c r="I961" i="12"/>
  <c r="I1410" i="12"/>
  <c r="I756" i="12"/>
  <c r="I771" i="12"/>
  <c r="I403" i="12"/>
  <c r="I734" i="12"/>
  <c r="I465" i="12"/>
  <c r="I89" i="12"/>
  <c r="I99" i="12"/>
  <c r="I328" i="12"/>
  <c r="I1394" i="12"/>
  <c r="I818" i="12"/>
  <c r="I409" i="12"/>
  <c r="I32" i="12"/>
  <c r="I1030" i="12"/>
  <c r="I993" i="12"/>
  <c r="I1517" i="12"/>
  <c r="J75" i="12"/>
  <c r="J687" i="12"/>
  <c r="J1090" i="12"/>
  <c r="J873" i="12"/>
  <c r="J1391" i="12"/>
  <c r="J1523" i="12"/>
  <c r="J1315" i="12"/>
  <c r="J1137" i="12"/>
  <c r="J212" i="12"/>
  <c r="J837" i="12"/>
  <c r="J200" i="12"/>
  <c r="J1812" i="12"/>
  <c r="J1304" i="12"/>
  <c r="J556" i="12"/>
  <c r="J1306" i="12"/>
  <c r="J1559" i="12"/>
  <c r="J1336" i="12"/>
  <c r="J1151" i="12"/>
  <c r="J1367" i="12"/>
  <c r="J1204" i="12"/>
  <c r="J1516" i="12"/>
  <c r="J378" i="12"/>
  <c r="J1813" i="12"/>
  <c r="J933" i="12"/>
  <c r="J1814" i="12"/>
  <c r="J866" i="12"/>
  <c r="J695" i="12"/>
  <c r="J1459" i="12"/>
  <c r="J1290" i="12"/>
  <c r="J1383" i="12"/>
  <c r="J446" i="12"/>
  <c r="J1186" i="12"/>
  <c r="J1401" i="12"/>
  <c r="J1815" i="12"/>
  <c r="J1816" i="12"/>
  <c r="J253" i="12"/>
  <c r="J202" i="12"/>
  <c r="J805" i="12"/>
  <c r="J1817" i="12"/>
  <c r="J951" i="12"/>
  <c r="J1560" i="12"/>
  <c r="J1302" i="12"/>
  <c r="J1271" i="12"/>
  <c r="J335" i="12"/>
  <c r="J392" i="12"/>
  <c r="J1152" i="12"/>
  <c r="J557" i="12"/>
  <c r="J755" i="12"/>
  <c r="J1326" i="12"/>
  <c r="J1105" i="12"/>
  <c r="J776" i="12"/>
  <c r="J1818" i="12"/>
  <c r="J1561" i="12"/>
  <c r="J300" i="12"/>
  <c r="J1819" i="12"/>
  <c r="J1820" i="12"/>
  <c r="J45" i="12"/>
  <c r="J379" i="12"/>
  <c r="J991" i="12"/>
  <c r="J945" i="12"/>
  <c r="J829" i="12"/>
  <c r="J260" i="12"/>
  <c r="J280" i="12"/>
  <c r="J35" i="12"/>
  <c r="J1222" i="12"/>
  <c r="J1821" i="12"/>
  <c r="J832" i="12"/>
  <c r="J490" i="12"/>
  <c r="J864" i="12"/>
  <c r="J1822" i="12"/>
  <c r="J1056" i="12"/>
  <c r="J1823" i="12"/>
  <c r="J1824" i="12"/>
  <c r="J961" i="12"/>
  <c r="J1410" i="12"/>
  <c r="J756" i="12"/>
  <c r="J771" i="12"/>
  <c r="J403" i="12"/>
  <c r="J734" i="12"/>
  <c r="J465" i="12"/>
  <c r="J89" i="12"/>
  <c r="J99" i="12"/>
  <c r="J328" i="12"/>
  <c r="J1394" i="12"/>
  <c r="J818" i="12"/>
  <c r="J409" i="12"/>
  <c r="J32" i="12"/>
  <c r="J1030" i="12"/>
  <c r="J993" i="12"/>
  <c r="J1517" i="12"/>
  <c r="I709" i="12" l="1"/>
  <c r="I1185" i="12"/>
  <c r="I213" i="12"/>
  <c r="I1305" i="12"/>
  <c r="I1194" i="12"/>
  <c r="I255" i="12"/>
  <c r="I1243" i="12"/>
  <c r="I1291" i="12"/>
  <c r="I1284" i="12"/>
  <c r="I1441" i="12"/>
  <c r="I358" i="12"/>
  <c r="I1521" i="12"/>
  <c r="I311" i="12"/>
  <c r="I1431" i="12"/>
  <c r="I1810" i="12"/>
  <c r="I804" i="12"/>
  <c r="I63" i="12"/>
  <c r="I1479" i="12"/>
  <c r="I1132" i="12"/>
  <c r="I111" i="12"/>
  <c r="I480" i="12"/>
  <c r="I1608" i="12"/>
  <c r="I1811" i="12"/>
  <c r="I458" i="12"/>
  <c r="I1373" i="12"/>
  <c r="I325" i="12"/>
  <c r="I996" i="12"/>
  <c r="I1586" i="12"/>
  <c r="I459" i="12"/>
  <c r="I686" i="12"/>
  <c r="I1387" i="12"/>
  <c r="I285" i="12"/>
  <c r="I389" i="12"/>
  <c r="I971" i="12"/>
  <c r="I1390" i="12"/>
  <c r="I1134" i="12"/>
  <c r="I1450" i="12"/>
  <c r="I109" i="12"/>
  <c r="I801" i="12"/>
  <c r="I1428" i="12"/>
  <c r="I1564" i="12"/>
  <c r="I1444" i="12"/>
  <c r="I155" i="12"/>
  <c r="J709" i="12"/>
  <c r="J1185" i="12"/>
  <c r="J213" i="12"/>
  <c r="J1305" i="12"/>
  <c r="J1194" i="12"/>
  <c r="J255" i="12"/>
  <c r="J1243" i="12"/>
  <c r="J1291" i="12"/>
  <c r="J1284" i="12"/>
  <c r="J1441" i="12"/>
  <c r="J358" i="12"/>
  <c r="J1521" i="12"/>
  <c r="J311" i="12"/>
  <c r="J1431" i="12"/>
  <c r="J1810" i="12"/>
  <c r="J804" i="12"/>
  <c r="J63" i="12"/>
  <c r="J1479" i="12"/>
  <c r="J1132" i="12"/>
  <c r="J111" i="12"/>
  <c r="J480" i="12"/>
  <c r="J1608" i="12"/>
  <c r="J1811" i="12"/>
  <c r="J458" i="12"/>
  <c r="J1373" i="12"/>
  <c r="J325" i="12"/>
  <c r="J996" i="12"/>
  <c r="J1586" i="12"/>
  <c r="J459" i="12"/>
  <c r="J686" i="12"/>
  <c r="J1387" i="12"/>
  <c r="J285" i="12"/>
  <c r="J389" i="12"/>
  <c r="J971" i="12"/>
  <c r="J1390" i="12"/>
  <c r="J1134" i="12"/>
  <c r="J1450" i="12"/>
  <c r="J109" i="12"/>
  <c r="J801" i="12"/>
  <c r="J1428" i="12"/>
  <c r="J1564" i="12"/>
  <c r="J1444" i="12"/>
  <c r="J155" i="12"/>
  <c r="D26" i="37" l="1"/>
  <c r="D27" i="37"/>
  <c r="D28" i="37"/>
  <c r="D22" i="37"/>
  <c r="I743" i="12" l="1"/>
  <c r="I567" i="12"/>
  <c r="I1240" i="12"/>
  <c r="I852" i="12"/>
  <c r="I275" i="12"/>
  <c r="I552" i="12"/>
  <c r="I1190" i="12"/>
  <c r="I1636" i="12"/>
  <c r="I256" i="12"/>
  <c r="I849" i="12"/>
  <c r="I469" i="12"/>
  <c r="I1453" i="12"/>
  <c r="I112" i="12"/>
  <c r="I108" i="12"/>
  <c r="I1809" i="12"/>
  <c r="I1298" i="12"/>
  <c r="I1687" i="12"/>
  <c r="I897" i="12"/>
  <c r="I190" i="12"/>
  <c r="I1054" i="12"/>
  <c r="I48" i="12"/>
  <c r="I20" i="12"/>
  <c r="I1412" i="12"/>
  <c r="I857" i="12"/>
  <c r="I575" i="12"/>
  <c r="I249" i="12"/>
  <c r="I282" i="12"/>
  <c r="I1454" i="12"/>
  <c r="I417" i="12"/>
  <c r="I1558" i="12"/>
  <c r="I1280" i="12"/>
  <c r="I861" i="12"/>
  <c r="I688" i="12"/>
  <c r="I1348" i="12"/>
  <c r="I1520" i="12"/>
  <c r="I1088" i="12"/>
  <c r="I750" i="12"/>
  <c r="I672" i="12"/>
  <c r="I677" i="12"/>
  <c r="I1502" i="12"/>
  <c r="I1543" i="12"/>
  <c r="I1233" i="12"/>
  <c r="I66" i="12"/>
  <c r="I430" i="12"/>
  <c r="I983" i="12"/>
  <c r="I1668" i="12"/>
  <c r="I540" i="12"/>
  <c r="I797" i="12"/>
  <c r="I491" i="12"/>
  <c r="I1468" i="12"/>
  <c r="I78" i="12"/>
  <c r="I129" i="12"/>
  <c r="J743" i="12"/>
  <c r="J567" i="12"/>
  <c r="J1240" i="12"/>
  <c r="J852" i="12"/>
  <c r="J275" i="12"/>
  <c r="J552" i="12"/>
  <c r="J1190" i="12"/>
  <c r="J1636" i="12"/>
  <c r="J256" i="12"/>
  <c r="J849" i="12"/>
  <c r="J469" i="12"/>
  <c r="J1453" i="12"/>
  <c r="J112" i="12"/>
  <c r="J108" i="12"/>
  <c r="J1809" i="12"/>
  <c r="J1298" i="12"/>
  <c r="J1687" i="12"/>
  <c r="J897" i="12"/>
  <c r="J190" i="12"/>
  <c r="J1054" i="12"/>
  <c r="J48" i="12"/>
  <c r="J20" i="12"/>
  <c r="J1412" i="12"/>
  <c r="J857" i="12"/>
  <c r="J575" i="12"/>
  <c r="J249" i="12"/>
  <c r="J282" i="12"/>
  <c r="J1454" i="12"/>
  <c r="J417" i="12"/>
  <c r="J1558" i="12"/>
  <c r="J1280" i="12"/>
  <c r="J861" i="12"/>
  <c r="J688" i="12"/>
  <c r="J1348" i="12"/>
  <c r="J1520" i="12"/>
  <c r="J1088" i="12"/>
  <c r="J750" i="12"/>
  <c r="J672" i="12"/>
  <c r="J677" i="12"/>
  <c r="J1502" i="12"/>
  <c r="J1543" i="12"/>
  <c r="J1233" i="12"/>
  <c r="J66" i="12"/>
  <c r="J430" i="12"/>
  <c r="J983" i="12"/>
  <c r="J1668" i="12"/>
  <c r="J540" i="12"/>
  <c r="J797" i="12"/>
  <c r="J491" i="12"/>
  <c r="J1468" i="12"/>
  <c r="J78" i="12"/>
  <c r="J129" i="12"/>
  <c r="I1708" i="12" l="1"/>
  <c r="I1808" i="12"/>
  <c r="I323" i="12"/>
  <c r="I795" i="12"/>
  <c r="I683" i="12"/>
  <c r="I891" i="12"/>
  <c r="I753" i="12"/>
  <c r="I810" i="12"/>
  <c r="I1482" i="12"/>
  <c r="I1469" i="12"/>
  <c r="I912" i="12"/>
  <c r="I291" i="12"/>
  <c r="I1266" i="12"/>
  <c r="I1205" i="12"/>
  <c r="I1063" i="12"/>
  <c r="I1467" i="12"/>
  <c r="I387" i="12"/>
  <c r="I1125" i="12"/>
  <c r="I1104" i="12"/>
  <c r="I72" i="12"/>
  <c r="I1452" i="12"/>
  <c r="I1634" i="12"/>
  <c r="I502" i="12"/>
  <c r="I1611" i="12"/>
  <c r="I761" i="12"/>
  <c r="I1541" i="12"/>
  <c r="I405" i="12"/>
  <c r="I1621" i="12"/>
  <c r="I1698" i="12"/>
  <c r="I981" i="12"/>
  <c r="I1574" i="12"/>
  <c r="I164" i="12"/>
  <c r="I91" i="12"/>
  <c r="I1327" i="12"/>
  <c r="I1300" i="12"/>
  <c r="I1624" i="12"/>
  <c r="J1708" i="12"/>
  <c r="J1808" i="12"/>
  <c r="J323" i="12"/>
  <c r="J795" i="12"/>
  <c r="J683" i="12"/>
  <c r="J891" i="12"/>
  <c r="J753" i="12"/>
  <c r="J810" i="12"/>
  <c r="J1482" i="12"/>
  <c r="J1469" i="12"/>
  <c r="J912" i="12"/>
  <c r="J291" i="12"/>
  <c r="J1266" i="12"/>
  <c r="J1205" i="12"/>
  <c r="J1063" i="12"/>
  <c r="J1467" i="12"/>
  <c r="J387" i="12"/>
  <c r="J1125" i="12"/>
  <c r="J1104" i="12"/>
  <c r="J72" i="12"/>
  <c r="J1452" i="12"/>
  <c r="J1634" i="12"/>
  <c r="J502" i="12"/>
  <c r="J1611" i="12"/>
  <c r="J761" i="12"/>
  <c r="J1541" i="12"/>
  <c r="J405" i="12"/>
  <c r="J1621" i="12"/>
  <c r="J1698" i="12"/>
  <c r="J981" i="12"/>
  <c r="J1574" i="12"/>
  <c r="J164" i="12"/>
  <c r="J91" i="12"/>
  <c r="J1327" i="12"/>
  <c r="J1300" i="12"/>
  <c r="J1624" i="12"/>
  <c r="I1372" i="12" l="1"/>
  <c r="I1191" i="12"/>
  <c r="I1671" i="12"/>
  <c r="I1647" i="12"/>
  <c r="I83" i="12"/>
  <c r="I448" i="12"/>
  <c r="I723" i="12"/>
  <c r="I1388" i="12"/>
  <c r="I1645" i="12"/>
  <c r="I1310" i="12"/>
  <c r="I529" i="12"/>
  <c r="I811" i="12"/>
  <c r="I1380" i="12"/>
  <c r="I854" i="12"/>
  <c r="I420" i="12"/>
  <c r="I421" i="12"/>
  <c r="I1360" i="12"/>
  <c r="I1369" i="12"/>
  <c r="I26" i="12"/>
  <c r="I955" i="12"/>
  <c r="I568" i="12"/>
  <c r="I1268" i="12"/>
  <c r="I85" i="12"/>
  <c r="I868" i="12"/>
  <c r="I710" i="12"/>
  <c r="I88" i="12"/>
  <c r="I1510" i="12"/>
  <c r="I130" i="12"/>
  <c r="I881" i="12"/>
  <c r="I893" i="12"/>
  <c r="I1686" i="12"/>
  <c r="I1281" i="12"/>
  <c r="I1740" i="12"/>
  <c r="I1121" i="12"/>
  <c r="I1319" i="12"/>
  <c r="I741" i="12"/>
  <c r="I1082" i="12"/>
  <c r="I1247" i="12"/>
  <c r="I1807" i="12"/>
  <c r="I266" i="12"/>
  <c r="I463" i="12"/>
  <c r="I1069" i="12"/>
  <c r="I38" i="12"/>
  <c r="I391" i="12"/>
  <c r="I1485" i="12"/>
  <c r="I1413" i="12"/>
  <c r="I1534" i="12"/>
  <c r="I984" i="12"/>
  <c r="I1419" i="12"/>
  <c r="I1501" i="12"/>
  <c r="I767" i="12"/>
  <c r="I294" i="12"/>
  <c r="I1335" i="12"/>
  <c r="I1109" i="12"/>
  <c r="I1049" i="12"/>
  <c r="J1372" i="12"/>
  <c r="J1191" i="12"/>
  <c r="J1671" i="12"/>
  <c r="J1647" i="12"/>
  <c r="J83" i="12"/>
  <c r="J448" i="12"/>
  <c r="J723" i="12"/>
  <c r="J1388" i="12"/>
  <c r="J1645" i="12"/>
  <c r="J1310" i="12"/>
  <c r="J529" i="12"/>
  <c r="J811" i="12"/>
  <c r="J1380" i="12"/>
  <c r="J854" i="12"/>
  <c r="J420" i="12"/>
  <c r="J421" i="12"/>
  <c r="J1360" i="12"/>
  <c r="J1369" i="12"/>
  <c r="J26" i="12"/>
  <c r="J955" i="12"/>
  <c r="J568" i="12"/>
  <c r="J1268" i="12"/>
  <c r="J85" i="12"/>
  <c r="J868" i="12"/>
  <c r="J710" i="12"/>
  <c r="J88" i="12"/>
  <c r="J1510" i="12"/>
  <c r="J130" i="12"/>
  <c r="J881" i="12"/>
  <c r="J893" i="12"/>
  <c r="J1686" i="12"/>
  <c r="J1281" i="12"/>
  <c r="J1740" i="12"/>
  <c r="J1121" i="12"/>
  <c r="J1319" i="12"/>
  <c r="J741" i="12"/>
  <c r="J1082" i="12"/>
  <c r="J1247" i="12"/>
  <c r="J1807" i="12"/>
  <c r="J266" i="12"/>
  <c r="J463" i="12"/>
  <c r="J1069" i="12"/>
  <c r="J38" i="12"/>
  <c r="J391" i="12"/>
  <c r="J1485" i="12"/>
  <c r="J1413" i="12"/>
  <c r="J1534" i="12"/>
  <c r="J984" i="12"/>
  <c r="J1419" i="12"/>
  <c r="J1501" i="12"/>
  <c r="J767" i="12"/>
  <c r="J294" i="12"/>
  <c r="J1335" i="12"/>
  <c r="J1109" i="12"/>
  <c r="J1049" i="12"/>
  <c r="I1744" i="12" l="1"/>
  <c r="I939" i="12"/>
  <c r="I586" i="12"/>
  <c r="I1508" i="12"/>
  <c r="I790" i="12"/>
  <c r="I1582" i="12"/>
  <c r="I154" i="12"/>
  <c r="I1615" i="12"/>
  <c r="I1353" i="12"/>
  <c r="I546" i="12"/>
  <c r="I1513" i="12"/>
  <c r="I1408" i="12"/>
  <c r="I453" i="12"/>
  <c r="I177" i="12"/>
  <c r="I530" i="12"/>
  <c r="I711" i="12"/>
  <c r="I762" i="12"/>
  <c r="I1000" i="12"/>
  <c r="I1473" i="12"/>
  <c r="I1356" i="12"/>
  <c r="I838" i="12"/>
  <c r="I69" i="12"/>
  <c r="I667" i="12"/>
  <c r="I1721" i="12"/>
  <c r="I245" i="12"/>
  <c r="I1588" i="12"/>
  <c r="I764" i="12"/>
  <c r="I1340" i="12"/>
  <c r="I997" i="12"/>
  <c r="I1039" i="12"/>
  <c r="I870" i="12"/>
  <c r="I1661" i="12"/>
  <c r="I622" i="12"/>
  <c r="I1589" i="12"/>
  <c r="I1169" i="12"/>
  <c r="I786" i="12"/>
  <c r="I1629" i="12"/>
  <c r="I1565" i="12"/>
  <c r="I590" i="12"/>
  <c r="I1446" i="12"/>
  <c r="I1430" i="12"/>
  <c r="I712" i="12"/>
  <c r="I1371" i="12"/>
  <c r="I7" i="12"/>
  <c r="I875" i="12"/>
  <c r="I1159" i="12"/>
  <c r="I1623" i="12"/>
  <c r="I943" i="12"/>
  <c r="I1711" i="12"/>
  <c r="I774" i="12"/>
  <c r="I1133" i="12"/>
  <c r="I1003" i="12"/>
  <c r="I1295" i="12"/>
  <c r="I1299" i="12"/>
  <c r="I1095" i="12"/>
  <c r="I511" i="12"/>
  <c r="I1749" i="12"/>
  <c r="I831" i="12"/>
  <c r="I661" i="12"/>
  <c r="I1352" i="12"/>
  <c r="I1174" i="12"/>
  <c r="I839" i="12"/>
  <c r="I478" i="12"/>
  <c r="I1478" i="12"/>
  <c r="I589" i="12"/>
  <c r="I1057" i="12"/>
  <c r="I1498" i="12"/>
  <c r="I290" i="12"/>
  <c r="I103" i="12"/>
  <c r="I306" i="12"/>
  <c r="I143" i="12"/>
  <c r="I966" i="12"/>
  <c r="I784" i="12"/>
  <c r="I1563" i="12"/>
  <c r="I428" i="12"/>
  <c r="I1096" i="12"/>
  <c r="I773" i="12"/>
  <c r="J1744" i="12"/>
  <c r="J939" i="12"/>
  <c r="J586" i="12"/>
  <c r="J1508" i="12"/>
  <c r="J790" i="12"/>
  <c r="J1582" i="12"/>
  <c r="J154" i="12"/>
  <c r="J1615" i="12"/>
  <c r="J1353" i="12"/>
  <c r="J546" i="12"/>
  <c r="J1513" i="12"/>
  <c r="J1408" i="12"/>
  <c r="J453" i="12"/>
  <c r="J177" i="12"/>
  <c r="J530" i="12"/>
  <c r="J711" i="12"/>
  <c r="J762" i="12"/>
  <c r="J1000" i="12"/>
  <c r="J1473" i="12"/>
  <c r="J1356" i="12"/>
  <c r="J838" i="12"/>
  <c r="J69" i="12"/>
  <c r="J667" i="12"/>
  <c r="J1721" i="12"/>
  <c r="J245" i="12"/>
  <c r="J1588" i="12"/>
  <c r="J764" i="12"/>
  <c r="J1340" i="12"/>
  <c r="J997" i="12"/>
  <c r="J1039" i="12"/>
  <c r="J870" i="12"/>
  <c r="J1661" i="12"/>
  <c r="J622" i="12"/>
  <c r="J1589" i="12"/>
  <c r="J1169" i="12"/>
  <c r="J786" i="12"/>
  <c r="J1629" i="12"/>
  <c r="J1565" i="12"/>
  <c r="J590" i="12"/>
  <c r="J1446" i="12"/>
  <c r="J1430" i="12"/>
  <c r="J712" i="12"/>
  <c r="J1371" i="12"/>
  <c r="J7" i="12"/>
  <c r="J875" i="12"/>
  <c r="J1159" i="12"/>
  <c r="J1623" i="12"/>
  <c r="J943" i="12"/>
  <c r="J1711" i="12"/>
  <c r="J774" i="12"/>
  <c r="J1133" i="12"/>
  <c r="J1003" i="12"/>
  <c r="J1295" i="12"/>
  <c r="J1299" i="12"/>
  <c r="J1095" i="12"/>
  <c r="J511" i="12"/>
  <c r="J1749" i="12"/>
  <c r="J831" i="12"/>
  <c r="J661" i="12"/>
  <c r="J1352" i="12"/>
  <c r="J1174" i="12"/>
  <c r="J839" i="12"/>
  <c r="J478" i="12"/>
  <c r="J1478" i="12"/>
  <c r="J589" i="12"/>
  <c r="J1057" i="12"/>
  <c r="J1498" i="12"/>
  <c r="J290" i="12"/>
  <c r="J103" i="12"/>
  <c r="J306" i="12"/>
  <c r="J143" i="12"/>
  <c r="J966" i="12"/>
  <c r="J784" i="12"/>
  <c r="J1563" i="12"/>
  <c r="J428" i="12"/>
  <c r="J1096" i="12"/>
  <c r="J773" i="12"/>
  <c r="D6" i="37" l="1"/>
  <c r="I694" i="12" l="1"/>
  <c r="I720" i="12"/>
  <c r="I1212" i="12"/>
  <c r="I1079" i="12"/>
  <c r="I610" i="12"/>
  <c r="I691" i="12"/>
  <c r="I149" i="12"/>
  <c r="I1087" i="12"/>
  <c r="I1037" i="12"/>
  <c r="I451" i="12"/>
  <c r="I834" i="12"/>
  <c r="I1673" i="12"/>
  <c r="I1282" i="12"/>
  <c r="I1676" i="12"/>
  <c r="I1766" i="12"/>
  <c r="I492" i="12"/>
  <c r="I625" i="12"/>
  <c r="I1250" i="12"/>
  <c r="I619" i="12"/>
  <c r="I1573" i="12"/>
  <c r="I259" i="12"/>
  <c r="I794" i="12"/>
  <c r="I922" i="12"/>
  <c r="I1434" i="12"/>
  <c r="I1500" i="12"/>
  <c r="I1720" i="12"/>
  <c r="I1355" i="12"/>
  <c r="I822" i="12"/>
  <c r="I418" i="12"/>
  <c r="I310" i="12"/>
  <c r="I241" i="12"/>
  <c r="I982" i="12"/>
  <c r="I204" i="12"/>
  <c r="I989" i="12"/>
  <c r="I79" i="12"/>
  <c r="I1129" i="12"/>
  <c r="I823" i="12"/>
  <c r="J694" i="12"/>
  <c r="J720" i="12"/>
  <c r="J1212" i="12"/>
  <c r="J1079" i="12"/>
  <c r="J610" i="12"/>
  <c r="J691" i="12"/>
  <c r="J149" i="12"/>
  <c r="J1087" i="12"/>
  <c r="J1037" i="12"/>
  <c r="J451" i="12"/>
  <c r="J834" i="12"/>
  <c r="J1673" i="12"/>
  <c r="J1282" i="12"/>
  <c r="J1676" i="12"/>
  <c r="J1766" i="12"/>
  <c r="J492" i="12"/>
  <c r="J625" i="12"/>
  <c r="J1250" i="12"/>
  <c r="J619" i="12"/>
  <c r="J1573" i="12"/>
  <c r="J259" i="12"/>
  <c r="J794" i="12"/>
  <c r="J922" i="12"/>
  <c r="J1434" i="12"/>
  <c r="J1500" i="12"/>
  <c r="J1720" i="12"/>
  <c r="J1355" i="12"/>
  <c r="J822" i="12"/>
  <c r="J418" i="12"/>
  <c r="J310" i="12"/>
  <c r="J241" i="12"/>
  <c r="J982" i="12"/>
  <c r="J204" i="12"/>
  <c r="J989" i="12"/>
  <c r="J79" i="12"/>
  <c r="J1129" i="12"/>
  <c r="J823" i="12"/>
  <c r="E7" i="38" l="1" a="1"/>
  <c r="E7" i="38" s="1"/>
  <c r="H7" i="38" s="1"/>
  <c r="E8" i="38" a="1"/>
  <c r="E8" i="38" s="1"/>
  <c r="I8" i="38" s="1"/>
  <c r="E9" i="38" a="1"/>
  <c r="E9" i="38" s="1"/>
  <c r="I9" i="38" s="1"/>
  <c r="L2" i="30"/>
  <c r="D7" i="38" l="1"/>
  <c r="I7" i="38"/>
  <c r="H8" i="38"/>
  <c r="F7" i="38"/>
  <c r="D9" i="38"/>
  <c r="G9" i="38"/>
  <c r="G8" i="38"/>
  <c r="G7" i="38"/>
  <c r="D8" i="38"/>
  <c r="F9" i="38"/>
  <c r="F8" i="38"/>
  <c r="I230" i="12"/>
  <c r="I1492" i="12"/>
  <c r="I1571" i="12"/>
  <c r="I1483" i="12"/>
  <c r="I215" i="12"/>
  <c r="I722" i="12"/>
  <c r="I1279" i="12"/>
  <c r="I60" i="12"/>
  <c r="I457" i="12"/>
  <c r="I549" i="12"/>
  <c r="I1339" i="12"/>
  <c r="I1267" i="12"/>
  <c r="I1806" i="12"/>
  <c r="I700" i="12"/>
  <c r="I77" i="12"/>
  <c r="I1392" i="12"/>
  <c r="I901" i="12"/>
  <c r="I926" i="12"/>
  <c r="I1278" i="12"/>
  <c r="I1337" i="12"/>
  <c r="I1012" i="12"/>
  <c r="I1772" i="12"/>
  <c r="I522" i="12"/>
  <c r="I860" i="12"/>
  <c r="I427" i="12"/>
  <c r="I1762" i="12"/>
  <c r="I914" i="12"/>
  <c r="I1539" i="12"/>
  <c r="I1773" i="12"/>
  <c r="I1048" i="12"/>
  <c r="I830" i="12"/>
  <c r="I1209" i="12"/>
  <c r="I341" i="12"/>
  <c r="I1757" i="12"/>
  <c r="I882" i="12"/>
  <c r="J230" i="12"/>
  <c r="J1492" i="12"/>
  <c r="J1571" i="12"/>
  <c r="J1483" i="12"/>
  <c r="J215" i="12"/>
  <c r="J722" i="12"/>
  <c r="J1279" i="12"/>
  <c r="J60" i="12"/>
  <c r="J457" i="12"/>
  <c r="J549" i="12"/>
  <c r="J1339" i="12"/>
  <c r="J1267" i="12"/>
  <c r="J1806" i="12"/>
  <c r="J700" i="12"/>
  <c r="J77" i="12"/>
  <c r="J1392" i="12"/>
  <c r="J901" i="12"/>
  <c r="J926" i="12"/>
  <c r="J1278" i="12"/>
  <c r="J1337" i="12"/>
  <c r="J1012" i="12"/>
  <c r="J1772" i="12"/>
  <c r="J522" i="12"/>
  <c r="J860" i="12"/>
  <c r="J427" i="12"/>
  <c r="J1762" i="12"/>
  <c r="J914" i="12"/>
  <c r="J1539" i="12"/>
  <c r="J1773" i="12"/>
  <c r="J1048" i="12"/>
  <c r="J830" i="12"/>
  <c r="J1209" i="12"/>
  <c r="J341" i="12"/>
  <c r="J1757" i="12"/>
  <c r="J882" i="12"/>
  <c r="H9" i="38" l="1"/>
  <c r="I1072" i="12" l="1"/>
  <c r="I263" i="12"/>
  <c r="I1723" i="12"/>
  <c r="I593" i="12"/>
  <c r="I1748" i="12"/>
  <c r="I445" i="12"/>
  <c r="I1256" i="12"/>
  <c r="I1220" i="12"/>
  <c r="I377" i="12"/>
  <c r="I515" i="12"/>
  <c r="I1058" i="12"/>
  <c r="I1378" i="12"/>
  <c r="I226" i="12"/>
  <c r="I1685" i="12"/>
  <c r="I71" i="12"/>
  <c r="I541" i="12"/>
  <c r="I9" i="12"/>
  <c r="I1188" i="12"/>
  <c r="I1041" i="12"/>
  <c r="I1457" i="12"/>
  <c r="I1272" i="12"/>
  <c r="I1415" i="12"/>
  <c r="I932" i="12"/>
  <c r="I1765" i="12"/>
  <c r="I684" i="12"/>
  <c r="I1440" i="12"/>
  <c r="I1724" i="12"/>
  <c r="I271" i="12"/>
  <c r="I573" i="12"/>
  <c r="I1481" i="12"/>
  <c r="I1285" i="12"/>
  <c r="I1528" i="12"/>
  <c r="I883" i="12"/>
  <c r="I412" i="12"/>
  <c r="I1470" i="12"/>
  <c r="I880" i="12"/>
  <c r="I1535" i="12"/>
  <c r="I1435" i="12"/>
  <c r="I604" i="12"/>
  <c r="I1219" i="12"/>
  <c r="I1644" i="12"/>
  <c r="I915" i="12"/>
  <c r="I631" i="12"/>
  <c r="I1449" i="12"/>
  <c r="I1011" i="12"/>
  <c r="I1627" i="12"/>
  <c r="I584" i="12"/>
  <c r="I1264" i="12"/>
  <c r="I1257" i="12"/>
  <c r="I6" i="12"/>
  <c r="I1332" i="12"/>
  <c r="I1741" i="12"/>
  <c r="I487" i="12"/>
  <c r="J1072" i="12"/>
  <c r="J263" i="12"/>
  <c r="J1723" i="12"/>
  <c r="J593" i="12"/>
  <c r="J1748" i="12"/>
  <c r="J445" i="12"/>
  <c r="J1256" i="12"/>
  <c r="J1220" i="12"/>
  <c r="J377" i="12"/>
  <c r="J515" i="12"/>
  <c r="J1058" i="12"/>
  <c r="J1378" i="12"/>
  <c r="J226" i="12"/>
  <c r="J1685" i="12"/>
  <c r="J71" i="12"/>
  <c r="J541" i="12"/>
  <c r="J9" i="12"/>
  <c r="J1188" i="12"/>
  <c r="J1041" i="12"/>
  <c r="J1457" i="12"/>
  <c r="J1272" i="12"/>
  <c r="J1415" i="12"/>
  <c r="J932" i="12"/>
  <c r="J1765" i="12"/>
  <c r="J684" i="12"/>
  <c r="J1440" i="12"/>
  <c r="J1724" i="12"/>
  <c r="J271" i="12"/>
  <c r="J573" i="12"/>
  <c r="J1481" i="12"/>
  <c r="J1285" i="12"/>
  <c r="J1528" i="12"/>
  <c r="J883" i="12"/>
  <c r="J412" i="12"/>
  <c r="J1470" i="12"/>
  <c r="J880" i="12"/>
  <c r="J1535" i="12"/>
  <c r="J1435" i="12"/>
  <c r="J604" i="12"/>
  <c r="J1219" i="12"/>
  <c r="J1644" i="12"/>
  <c r="J915" i="12"/>
  <c r="J631" i="12"/>
  <c r="J1449" i="12"/>
  <c r="J1011" i="12"/>
  <c r="J1627" i="12"/>
  <c r="J584" i="12"/>
  <c r="J1264" i="12"/>
  <c r="J1257" i="12"/>
  <c r="J6" i="12"/>
  <c r="J1332" i="12"/>
  <c r="J1741" i="12"/>
  <c r="J487" i="12"/>
  <c r="D11" i="37" l="1"/>
  <c r="B7" i="5" l="1"/>
  <c r="D7" i="5"/>
  <c r="H3" i="30"/>
  <c r="K15" i="5" l="1"/>
  <c r="I5" i="36" a="1"/>
  <c r="I5" i="36" s="1"/>
  <c r="L5" i="36" s="1"/>
  <c r="I6" i="36" a="1"/>
  <c r="I6" i="36" s="1"/>
  <c r="O6" i="36" s="1"/>
  <c r="I4" i="36" a="1"/>
  <c r="I4" i="36" s="1"/>
  <c r="L4" i="36" s="1"/>
  <c r="D14" i="37"/>
  <c r="F15" i="5" a="1"/>
  <c r="F15" i="5" s="1"/>
  <c r="D5" i="36" a="1"/>
  <c r="D5" i="36" s="1"/>
  <c r="I15" i="5"/>
  <c r="H15" i="5"/>
  <c r="D12" i="36" a="1"/>
  <c r="D12" i="36" s="1"/>
  <c r="D11" i="36" a="1"/>
  <c r="D11" i="36" s="1"/>
  <c r="D10" i="36" a="1"/>
  <c r="D10" i="36" s="1"/>
  <c r="D9" i="36" a="1"/>
  <c r="D9" i="36" s="1"/>
  <c r="D7" i="36" a="1"/>
  <c r="D7" i="36" s="1"/>
  <c r="D6" i="36" a="1"/>
  <c r="D6" i="36" s="1"/>
  <c r="D21" i="37"/>
  <c r="D20" i="37"/>
  <c r="D19" i="37"/>
  <c r="D15" i="37"/>
  <c r="D13" i="37"/>
  <c r="D4" i="37"/>
  <c r="D10" i="37"/>
  <c r="D9" i="37"/>
  <c r="D8" i="37"/>
  <c r="D7" i="37"/>
  <c r="H11" i="36" l="1"/>
  <c r="H10" i="36"/>
  <c r="I9" i="36"/>
  <c r="J9" i="36"/>
  <c r="K9" i="36"/>
  <c r="L9" i="36"/>
  <c r="D5" i="37"/>
  <c r="H9" i="36"/>
  <c r="I10" i="36"/>
  <c r="J10" i="36"/>
  <c r="N10" i="36"/>
  <c r="O9" i="36"/>
  <c r="K11" i="36"/>
  <c r="N9" i="36"/>
  <c r="O11" i="36"/>
  <c r="I11" i="36"/>
  <c r="J11" i="36"/>
  <c r="K10" i="36"/>
  <c r="M9" i="36"/>
  <c r="N11" i="36"/>
  <c r="O10" i="36"/>
  <c r="M4" i="36"/>
  <c r="M5" i="36"/>
  <c r="H4" i="36"/>
  <c r="O5" i="36"/>
  <c r="J6" i="36"/>
  <c r="N4" i="36"/>
  <c r="H6" i="36"/>
  <c r="J4" i="36"/>
  <c r="J5" i="36"/>
  <c r="K6" i="36"/>
  <c r="N5" i="36"/>
  <c r="N6" i="36"/>
  <c r="H5" i="36"/>
  <c r="O4" i="36"/>
  <c r="K4" i="36"/>
  <c r="K5" i="36"/>
  <c r="D12" i="37"/>
  <c r="I1697" i="12" l="1"/>
  <c r="I1696" i="12"/>
  <c r="I144" i="12"/>
  <c r="I637" i="12"/>
  <c r="I74" i="12"/>
  <c r="I629" i="12"/>
  <c r="I1124" i="12"/>
  <c r="I59" i="12"/>
  <c r="I361" i="12"/>
  <c r="I429" i="12"/>
  <c r="I733" i="12"/>
  <c r="I736" i="12"/>
  <c r="I1255" i="12"/>
  <c r="I1384" i="12"/>
  <c r="I835" i="12"/>
  <c r="I314" i="12"/>
  <c r="J1697" i="12"/>
  <c r="J1696" i="12"/>
  <c r="J144" i="12"/>
  <c r="J637" i="12"/>
  <c r="J74" i="12"/>
  <c r="J629" i="12"/>
  <c r="J1124" i="12"/>
  <c r="J59" i="12"/>
  <c r="J361" i="12"/>
  <c r="J429" i="12"/>
  <c r="J733" i="12"/>
  <c r="J736" i="12"/>
  <c r="J1255" i="12"/>
  <c r="J1384" i="12"/>
  <c r="J835" i="12"/>
  <c r="J314" i="12"/>
  <c r="I1261" i="12" l="1"/>
  <c r="I1283" i="12"/>
  <c r="I339" i="12"/>
  <c r="I1013" i="12"/>
  <c r="I583" i="12"/>
  <c r="I1345" i="12"/>
  <c r="J1261" i="12"/>
  <c r="J1283" i="12"/>
  <c r="J339" i="12"/>
  <c r="J1013" i="12"/>
  <c r="J583" i="12"/>
  <c r="J1345" i="12"/>
  <c r="I1042" i="12" l="1"/>
  <c r="I1489" i="12"/>
  <c r="I809" i="12"/>
  <c r="I1086" i="12"/>
  <c r="I509" i="12"/>
  <c r="I535" i="12"/>
  <c r="I362" i="12"/>
  <c r="I1546" i="12"/>
  <c r="I1195" i="12"/>
  <c r="I1293" i="12"/>
  <c r="I920" i="12"/>
  <c r="I309" i="12"/>
  <c r="I222" i="12"/>
  <c r="I1619" i="12"/>
  <c r="I1330" i="12"/>
  <c r="I15" i="12"/>
  <c r="J1042" i="12"/>
  <c r="J1489" i="12"/>
  <c r="J809" i="12"/>
  <c r="J1086" i="12"/>
  <c r="J509" i="12"/>
  <c r="J535" i="12"/>
  <c r="J362" i="12"/>
  <c r="J1546" i="12"/>
  <c r="J1195" i="12"/>
  <c r="J1293" i="12"/>
  <c r="J920" i="12"/>
  <c r="J309" i="12"/>
  <c r="J222" i="12"/>
  <c r="J1619" i="12"/>
  <c r="J1330" i="12"/>
  <c r="J15" i="12"/>
  <c r="G7" i="5"/>
  <c r="I1648" i="12" l="1"/>
  <c r="I1407" i="12"/>
  <c r="I941" i="12"/>
  <c r="I602" i="12"/>
  <c r="I967" i="12"/>
  <c r="J1648" i="12"/>
  <c r="J1407" i="12"/>
  <c r="J941" i="12"/>
  <c r="J602" i="12"/>
  <c r="J967" i="12"/>
  <c r="H3" i="34" l="1"/>
  <c r="D6" i="34" l="1"/>
  <c r="E6" i="34"/>
  <c r="I871" i="12" l="1"/>
  <c r="I659" i="12"/>
  <c r="I352" i="12"/>
  <c r="I437" i="12"/>
  <c r="I1770" i="12"/>
  <c r="I24" i="12"/>
  <c r="I1476" i="12"/>
  <c r="I789" i="12"/>
  <c r="I514" i="12"/>
  <c r="I1580" i="12"/>
  <c r="I402" i="12"/>
  <c r="I1085" i="12"/>
  <c r="I746" i="12"/>
  <c r="I1781" i="12"/>
  <c r="I1357" i="12"/>
  <c r="I985" i="12"/>
  <c r="I39" i="12"/>
  <c r="I1614" i="12"/>
  <c r="I101" i="12"/>
  <c r="I591" i="12"/>
  <c r="I1076" i="12"/>
  <c r="I526" i="12"/>
  <c r="I1632" i="12"/>
  <c r="I1746" i="12"/>
  <c r="I188" i="12"/>
  <c r="I929" i="12"/>
  <c r="I298" i="12"/>
  <c r="I375" i="12"/>
  <c r="I1364" i="12"/>
  <c r="I1640" i="12"/>
  <c r="I954" i="12"/>
  <c r="I820" i="12"/>
  <c r="I1659" i="12"/>
  <c r="I729" i="12"/>
  <c r="I1179" i="12"/>
  <c r="I34" i="12"/>
  <c r="I1344" i="12"/>
  <c r="I1274" i="12"/>
  <c r="I521" i="12"/>
  <c r="I1362" i="12"/>
  <c r="I1464" i="12"/>
  <c r="I1522" i="12"/>
  <c r="I662" i="12"/>
  <c r="I489" i="12"/>
  <c r="I1591" i="12"/>
  <c r="I1628" i="12"/>
  <c r="I594" i="12"/>
  <c r="I1801" i="12"/>
  <c r="I61" i="12"/>
  <c r="I844" i="12"/>
  <c r="I615" i="12"/>
  <c r="I56" i="12"/>
  <c r="I848" i="12"/>
  <c r="I1642" i="12"/>
  <c r="I793" i="12"/>
  <c r="I624" i="12"/>
  <c r="I1635" i="12"/>
  <c r="I1496" i="12"/>
  <c r="I1786" i="12"/>
  <c r="I887" i="12"/>
  <c r="I374" i="12"/>
  <c r="I928" i="12"/>
  <c r="I1231" i="12"/>
  <c r="I952" i="12"/>
  <c r="I1466" i="12"/>
  <c r="J871" i="12"/>
  <c r="J659" i="12"/>
  <c r="J352" i="12"/>
  <c r="J437" i="12"/>
  <c r="J1770" i="12"/>
  <c r="J24" i="12"/>
  <c r="J1476" i="12"/>
  <c r="J789" i="12"/>
  <c r="J514" i="12"/>
  <c r="J1580" i="12"/>
  <c r="J402" i="12"/>
  <c r="J1085" i="12"/>
  <c r="J746" i="12"/>
  <c r="J1781" i="12"/>
  <c r="J1357" i="12"/>
  <c r="J985" i="12"/>
  <c r="J39" i="12"/>
  <c r="J1614" i="12"/>
  <c r="J101" i="12"/>
  <c r="J591" i="12"/>
  <c r="J1076" i="12"/>
  <c r="J526" i="12"/>
  <c r="J1632" i="12"/>
  <c r="J1746" i="12"/>
  <c r="J188" i="12"/>
  <c r="J929" i="12"/>
  <c r="J298" i="12"/>
  <c r="J375" i="12"/>
  <c r="J1364" i="12"/>
  <c r="J1640" i="12"/>
  <c r="J954" i="12"/>
  <c r="J820" i="12"/>
  <c r="J1659" i="12"/>
  <c r="J729" i="12"/>
  <c r="J1179" i="12"/>
  <c r="J34" i="12"/>
  <c r="J1344" i="12"/>
  <c r="J1274" i="12"/>
  <c r="J521" i="12"/>
  <c r="J1362" i="12"/>
  <c r="J1464" i="12"/>
  <c r="J1522" i="12"/>
  <c r="J662" i="12"/>
  <c r="J489" i="12"/>
  <c r="J1591" i="12"/>
  <c r="J1628" i="12"/>
  <c r="J594" i="12"/>
  <c r="J1801" i="12"/>
  <c r="J61" i="12"/>
  <c r="J844" i="12"/>
  <c r="J615" i="12"/>
  <c r="J56" i="12"/>
  <c r="J848" i="12"/>
  <c r="J1642" i="12"/>
  <c r="J793" i="12"/>
  <c r="J624" i="12"/>
  <c r="J1635" i="12"/>
  <c r="J1496" i="12"/>
  <c r="J1786" i="12"/>
  <c r="J887" i="12"/>
  <c r="J374" i="12"/>
  <c r="J928" i="12"/>
  <c r="J1231" i="12"/>
  <c r="J952" i="12"/>
  <c r="J1466" i="12"/>
  <c r="M10" i="36" l="1"/>
  <c r="L10" i="36"/>
  <c r="M15" i="5"/>
  <c r="G15" i="5"/>
  <c r="H3" i="33" l="1"/>
  <c r="E6" i="33" l="1"/>
  <c r="D6" i="33"/>
  <c r="F6" i="33"/>
  <c r="H6" i="33" l="1"/>
  <c r="G6" i="33"/>
  <c r="F6" i="34"/>
  <c r="H6" i="34" s="1"/>
  <c r="C15" i="5" l="1"/>
  <c r="D15" i="5"/>
  <c r="I623" i="12"/>
  <c r="J623" i="12"/>
  <c r="B15" i="5"/>
  <c r="M7" i="5"/>
  <c r="L7" i="5"/>
  <c r="K7" i="5"/>
  <c r="M6" i="12" l="1"/>
  <c r="M8" i="12"/>
  <c r="C7" i="5" l="1"/>
  <c r="H3" i="12" l="1"/>
  <c r="G5" i="1" l="1"/>
  <c r="E6" i="12" l="1"/>
  <c r="D6" i="12"/>
  <c r="G6" i="34"/>
  <c r="F13" i="9" l="1"/>
  <c r="G13" i="9" s="1"/>
  <c r="E13" i="9"/>
  <c r="D13" i="9"/>
  <c r="F14" i="9"/>
  <c r="G14" i="9" s="1"/>
  <c r="E14" i="9"/>
  <c r="D14" i="9"/>
  <c r="E18" i="9"/>
  <c r="D18" i="9"/>
  <c r="F17" i="9"/>
  <c r="G17" i="9" s="1"/>
  <c r="E17" i="9"/>
  <c r="D17" i="9"/>
  <c r="F12" i="9"/>
  <c r="G12" i="9" s="1"/>
  <c r="E12" i="9"/>
  <c r="D12" i="9"/>
  <c r="F15" i="9"/>
  <c r="H15" i="9" s="1"/>
  <c r="E15" i="9"/>
  <c r="D15" i="9"/>
  <c r="E16" i="9"/>
  <c r="D16" i="9"/>
  <c r="E6" i="9"/>
  <c r="D6" i="9"/>
  <c r="E11" i="9"/>
  <c r="D11" i="9"/>
  <c r="E9" i="9"/>
  <c r="D9" i="9"/>
  <c r="E10" i="9"/>
  <c r="D10" i="9"/>
  <c r="E8" i="9"/>
  <c r="D8" i="9"/>
  <c r="E7" i="9"/>
  <c r="D7" i="9"/>
  <c r="J1210" i="12"/>
  <c r="I1210" i="12"/>
  <c r="J123" i="12"/>
  <c r="I123" i="12"/>
  <c r="J1602" i="12"/>
  <c r="I1602" i="12"/>
  <c r="J841" i="12"/>
  <c r="I841" i="12"/>
  <c r="J1135" i="12"/>
  <c r="I1135" i="12"/>
  <c r="J399" i="12"/>
  <c r="I399" i="12"/>
  <c r="J1131" i="12"/>
  <c r="I1131" i="12"/>
  <c r="J1393" i="12"/>
  <c r="I1393" i="12"/>
  <c r="J1514" i="12"/>
  <c r="I1514" i="12"/>
  <c r="J1761" i="12"/>
  <c r="I1761" i="12"/>
  <c r="J1680" i="12"/>
  <c r="I1680" i="12"/>
  <c r="J799" i="12"/>
  <c r="I799" i="12"/>
  <c r="J1162" i="12"/>
  <c r="I1162" i="12"/>
  <c r="J582" i="12"/>
  <c r="I582" i="12"/>
  <c r="J970" i="12"/>
  <c r="I970" i="12"/>
  <c r="J1536" i="12"/>
  <c r="I1536" i="12"/>
  <c r="J894" i="12"/>
  <c r="I894" i="12"/>
  <c r="J1009" i="12"/>
  <c r="I1009" i="12"/>
  <c r="J607" i="12"/>
  <c r="I607" i="12"/>
  <c r="J401" i="12"/>
  <c r="I401" i="12"/>
  <c r="J1354" i="12"/>
  <c r="I1354" i="12"/>
  <c r="J827" i="12"/>
  <c r="I827" i="12"/>
  <c r="J545" i="12"/>
  <c r="I545" i="12"/>
  <c r="J680" i="12"/>
  <c r="I680" i="12"/>
  <c r="J1579" i="12"/>
  <c r="I1579" i="12"/>
  <c r="J1246" i="12"/>
  <c r="I1246" i="12"/>
  <c r="J538" i="12"/>
  <c r="I538" i="12"/>
  <c r="J90" i="12"/>
  <c r="I90" i="12"/>
  <c r="J232" i="12"/>
  <c r="I232" i="12"/>
  <c r="J1620" i="12"/>
  <c r="I1620" i="12"/>
  <c r="J208" i="12"/>
  <c r="I208" i="12"/>
  <c r="J731" i="12"/>
  <c r="I731" i="12"/>
  <c r="J53" i="12"/>
  <c r="I53" i="12"/>
  <c r="J1727" i="12"/>
  <c r="I1727" i="12"/>
  <c r="J426" i="12"/>
  <c r="I426" i="12"/>
  <c r="J1545" i="12"/>
  <c r="I1545" i="12"/>
  <c r="J859" i="12"/>
  <c r="I859" i="12"/>
  <c r="J1714" i="12"/>
  <c r="I1714" i="12"/>
  <c r="J665" i="12"/>
  <c r="I665" i="12"/>
  <c r="J1553" i="12"/>
  <c r="I1553" i="12"/>
  <c r="J1472" i="12"/>
  <c r="I1472" i="12"/>
  <c r="J898" i="12"/>
  <c r="I898" i="12"/>
  <c r="J597" i="12"/>
  <c r="I597" i="12"/>
  <c r="J434" i="12"/>
  <c r="I434" i="12"/>
  <c r="J1716" i="12"/>
  <c r="I1716" i="12"/>
  <c r="J1294" i="12"/>
  <c r="I1294" i="12"/>
  <c r="J1518" i="12"/>
  <c r="I1518" i="12"/>
  <c r="J558" i="12"/>
  <c r="I558" i="12"/>
  <c r="J1530" i="12"/>
  <c r="I1530" i="12"/>
  <c r="J1798" i="12"/>
  <c r="I1798" i="12"/>
  <c r="J749" i="12"/>
  <c r="I749" i="12"/>
  <c r="J1585" i="12"/>
  <c r="I1585" i="12"/>
  <c r="J1793" i="12"/>
  <c r="I1793" i="12"/>
  <c r="J1667" i="12"/>
  <c r="I1667" i="12"/>
  <c r="J1735" i="12"/>
  <c r="I1735" i="12"/>
  <c r="J363" i="12"/>
  <c r="I363" i="12"/>
  <c r="J532" i="12"/>
  <c r="I532" i="12"/>
  <c r="J94" i="12"/>
  <c r="I94" i="12"/>
  <c r="J1784" i="12"/>
  <c r="I1784" i="12"/>
  <c r="J1433" i="12"/>
  <c r="I1433" i="12"/>
  <c r="J1422" i="12"/>
  <c r="I1422" i="12"/>
  <c r="J141" i="12"/>
  <c r="I141" i="12"/>
  <c r="J1334" i="12"/>
  <c r="I1334" i="12"/>
  <c r="J1324" i="12"/>
  <c r="I1324" i="12"/>
  <c r="J324" i="12"/>
  <c r="I324" i="12"/>
  <c r="J52" i="12"/>
  <c r="I52" i="12"/>
  <c r="J41" i="12"/>
  <c r="I41" i="12"/>
  <c r="J1649" i="12"/>
  <c r="I1649" i="12"/>
  <c r="J1427" i="12"/>
  <c r="I1427" i="12"/>
  <c r="J708" i="12"/>
  <c r="I708" i="12"/>
  <c r="J1443" i="12"/>
  <c r="I1443" i="12"/>
  <c r="J493" i="12"/>
  <c r="I493" i="12"/>
  <c r="J17" i="12"/>
  <c r="I17" i="12"/>
  <c r="J1260" i="12"/>
  <c r="I1260" i="12"/>
  <c r="J1150" i="12"/>
  <c r="I1150" i="12"/>
  <c r="J96" i="12"/>
  <c r="I96" i="12"/>
  <c r="J1451" i="12"/>
  <c r="I1451" i="12"/>
  <c r="J1024" i="12"/>
  <c r="I1024" i="12"/>
  <c r="J1331" i="12"/>
  <c r="I1331" i="12"/>
  <c r="J1320" i="12"/>
  <c r="I1320" i="12"/>
  <c r="J580" i="12"/>
  <c r="I580" i="12"/>
  <c r="J1694" i="12"/>
  <c r="I1694" i="12"/>
  <c r="J1511" i="12"/>
  <c r="I1511" i="12"/>
  <c r="J482" i="12"/>
  <c r="I482" i="12"/>
  <c r="J423" i="12"/>
  <c r="I423" i="12"/>
  <c r="J1437" i="12"/>
  <c r="I1437" i="12"/>
  <c r="J856" i="12"/>
  <c r="I856" i="12"/>
  <c r="J479" i="12"/>
  <c r="I479" i="12"/>
  <c r="J1599" i="12"/>
  <c r="I1599" i="12"/>
  <c r="J1286" i="12"/>
  <c r="I1286" i="12"/>
  <c r="J151" i="12"/>
  <c r="I151" i="12"/>
  <c r="J1745" i="12"/>
  <c r="I1745" i="12"/>
  <c r="J828" i="12"/>
  <c r="I828" i="12"/>
  <c r="J867" i="12"/>
  <c r="I867" i="12"/>
  <c r="J238" i="12"/>
  <c r="I238" i="12"/>
  <c r="J812" i="12"/>
  <c r="I812" i="12"/>
  <c r="J408" i="12"/>
  <c r="I408" i="12"/>
  <c r="J1638" i="12"/>
  <c r="I1638" i="12"/>
  <c r="J1549" i="12"/>
  <c r="I1549" i="12"/>
  <c r="J917" i="12"/>
  <c r="I917" i="12"/>
  <c r="J1101" i="12"/>
  <c r="I1101" i="12"/>
  <c r="J1506" i="12"/>
  <c r="I1506" i="12"/>
  <c r="J436" i="12"/>
  <c r="I436" i="12"/>
  <c r="J999" i="12"/>
  <c r="I999" i="12"/>
  <c r="J1693" i="12"/>
  <c r="I1693" i="12"/>
  <c r="J986" i="12"/>
  <c r="I986" i="12"/>
  <c r="J1436" i="12"/>
  <c r="I1436" i="12"/>
  <c r="J616" i="12"/>
  <c r="I616" i="12"/>
  <c r="J264" i="12"/>
  <c r="I264" i="12"/>
  <c r="J316" i="12"/>
  <c r="I316" i="12"/>
  <c r="J44" i="12"/>
  <c r="I44" i="12"/>
  <c r="J1622" i="12"/>
  <c r="I1622" i="12"/>
  <c r="J340" i="12"/>
  <c r="I340" i="12"/>
  <c r="J397" i="12"/>
  <c r="I397" i="12"/>
  <c r="J205" i="12"/>
  <c r="I205" i="12"/>
  <c r="J1537" i="12"/>
  <c r="I1537" i="12"/>
  <c r="J572" i="12"/>
  <c r="I572" i="12"/>
  <c r="J569" i="12"/>
  <c r="I569" i="12"/>
  <c r="J523" i="12"/>
  <c r="I523" i="12"/>
  <c r="J1288" i="12"/>
  <c r="I1288" i="12"/>
  <c r="J329" i="12"/>
  <c r="I329" i="12"/>
  <c r="J747" i="12"/>
  <c r="I747" i="12"/>
  <c r="J1465" i="12"/>
  <c r="I1465" i="12"/>
  <c r="J1658" i="12"/>
  <c r="I1658" i="12"/>
  <c r="J581" i="12"/>
  <c r="I581" i="12"/>
  <c r="J1504" i="12"/>
  <c r="I1504" i="12"/>
  <c r="J913" i="12"/>
  <c r="I913" i="12"/>
  <c r="J1175" i="12"/>
  <c r="I1175" i="12"/>
  <c r="J964" i="12"/>
  <c r="I964" i="12"/>
  <c r="J730" i="12"/>
  <c r="I730" i="12"/>
  <c r="J118" i="12"/>
  <c r="I118" i="12"/>
  <c r="J1263" i="12"/>
  <c r="I1263" i="12"/>
  <c r="J1177" i="12"/>
  <c r="I1177" i="12"/>
  <c r="J500" i="12"/>
  <c r="I500" i="12"/>
  <c r="J1570" i="12"/>
  <c r="I1570" i="12"/>
  <c r="J1596" i="12"/>
  <c r="I1596" i="12"/>
  <c r="J330" i="12"/>
  <c r="I330" i="12"/>
  <c r="J960" i="12"/>
  <c r="I960" i="12"/>
  <c r="J142" i="12"/>
  <c r="I142" i="12"/>
  <c r="J131" i="12"/>
  <c r="I131" i="12"/>
  <c r="J701" i="12"/>
  <c r="I701" i="12"/>
  <c r="J1311" i="12"/>
  <c r="I1311" i="12"/>
  <c r="J660" i="12"/>
  <c r="I660" i="12"/>
  <c r="J462" i="12"/>
  <c r="I462" i="12"/>
  <c r="J268" i="12"/>
  <c r="I268" i="12"/>
  <c r="J721" i="12"/>
  <c r="I721" i="12"/>
  <c r="J1064" i="12"/>
  <c r="I1064" i="12"/>
  <c r="J1795" i="12"/>
  <c r="I1795" i="12"/>
  <c r="J313" i="12"/>
  <c r="I313" i="12"/>
  <c r="J1618" i="12"/>
  <c r="I1618" i="12"/>
  <c r="J587" i="12"/>
  <c r="I587" i="12"/>
  <c r="J1710" i="12"/>
  <c r="I1710" i="12"/>
  <c r="J559" i="12"/>
  <c r="I559" i="12"/>
  <c r="J373" i="12"/>
  <c r="I373" i="12"/>
  <c r="J467" i="12"/>
  <c r="I467" i="12"/>
  <c r="J925" i="12"/>
  <c r="I925" i="12"/>
  <c r="J725" i="12"/>
  <c r="I725" i="12"/>
  <c r="J1146" i="12"/>
  <c r="I1146" i="12"/>
  <c r="J136" i="12"/>
  <c r="I136" i="12"/>
  <c r="J1050" i="12"/>
  <c r="I1050" i="12"/>
  <c r="J874" i="12"/>
  <c r="I874" i="12"/>
  <c r="J1706" i="12"/>
  <c r="I1706" i="12"/>
  <c r="J1797" i="12"/>
  <c r="I1797" i="12"/>
  <c r="J1540" i="12"/>
  <c r="I1540" i="12"/>
  <c r="J1033" i="12"/>
  <c r="I1033" i="12"/>
  <c r="J104" i="12"/>
  <c r="I104" i="12"/>
  <c r="J1491" i="12"/>
  <c r="I1491" i="12"/>
  <c r="J1108" i="12"/>
  <c r="I1108" i="12"/>
  <c r="J411" i="12"/>
  <c r="I411" i="12"/>
  <c r="J1688" i="12"/>
  <c r="I1688" i="12"/>
  <c r="J189" i="12"/>
  <c r="I189" i="12"/>
  <c r="J470" i="12"/>
  <c r="I470" i="12"/>
  <c r="J1163" i="12"/>
  <c r="I1163" i="12"/>
  <c r="J1462" i="12"/>
  <c r="I1462" i="12"/>
  <c r="J599" i="12"/>
  <c r="I599" i="12"/>
  <c r="J585" i="12"/>
  <c r="I585" i="12"/>
  <c r="J273" i="12"/>
  <c r="I273" i="12"/>
  <c r="J1014" i="12"/>
  <c r="I1014" i="12"/>
  <c r="J158" i="12"/>
  <c r="I158" i="12"/>
  <c r="J187" i="12"/>
  <c r="I187" i="12"/>
  <c r="J910" i="12"/>
  <c r="I910" i="12"/>
  <c r="J1070" i="12"/>
  <c r="I1070" i="12"/>
  <c r="J404" i="12"/>
  <c r="I404" i="12"/>
  <c r="J840" i="12"/>
  <c r="I840" i="12"/>
  <c r="J1555" i="12"/>
  <c r="I1555" i="12"/>
  <c r="J1214" i="12"/>
  <c r="I1214" i="12"/>
  <c r="J658" i="12"/>
  <c r="I658" i="12"/>
  <c r="J107" i="12"/>
  <c r="I107" i="12"/>
  <c r="J178" i="12"/>
  <c r="I178" i="12"/>
  <c r="J744" i="12"/>
  <c r="I744" i="12"/>
  <c r="J628" i="12"/>
  <c r="I628" i="12"/>
  <c r="J1211" i="12"/>
  <c r="I1211" i="12"/>
  <c r="J106" i="12"/>
  <c r="I106" i="12"/>
  <c r="J1127" i="12"/>
  <c r="I1127" i="12"/>
  <c r="J936" i="12"/>
  <c r="I936" i="12"/>
  <c r="J1164" i="12"/>
  <c r="I1164" i="12"/>
  <c r="J504" i="12"/>
  <c r="I504" i="12"/>
  <c r="J1244" i="12"/>
  <c r="I1244" i="12"/>
  <c r="J1593" i="12"/>
  <c r="I1593" i="12"/>
  <c r="J346" i="12"/>
  <c r="I346" i="12"/>
  <c r="J850" i="12"/>
  <c r="I850" i="12"/>
  <c r="J1805" i="12"/>
  <c r="I1805" i="12"/>
  <c r="J286" i="12"/>
  <c r="I286" i="12"/>
  <c r="J1207" i="12"/>
  <c r="I1207" i="12"/>
  <c r="J1170" i="12"/>
  <c r="I1170" i="12"/>
  <c r="J565" i="12"/>
  <c r="I565" i="12"/>
  <c r="J1758" i="12"/>
  <c r="I1758" i="12"/>
  <c r="J1196" i="12"/>
  <c r="I1196" i="12"/>
  <c r="J250" i="12"/>
  <c r="I250" i="12"/>
  <c r="J305" i="12"/>
  <c r="I305" i="12"/>
  <c r="J281" i="12"/>
  <c r="I281" i="12"/>
  <c r="J965" i="12"/>
  <c r="I965" i="12"/>
  <c r="J1052" i="12"/>
  <c r="I1052" i="12"/>
  <c r="J528" i="12"/>
  <c r="I528" i="12"/>
  <c r="J949" i="12"/>
  <c r="I949" i="12"/>
  <c r="J1043" i="12"/>
  <c r="I1043" i="12"/>
  <c r="J717" i="12"/>
  <c r="I717" i="12"/>
  <c r="J950" i="12"/>
  <c r="I950" i="12"/>
  <c r="J1791" i="12"/>
  <c r="I1791" i="12"/>
  <c r="J1368" i="12"/>
  <c r="I1368" i="12"/>
  <c r="J1612" i="12"/>
  <c r="I1612" i="12"/>
  <c r="J1665" i="12"/>
  <c r="I1665" i="12"/>
  <c r="J1604" i="12"/>
  <c r="I1604" i="12"/>
  <c r="J124" i="12"/>
  <c r="I124" i="12"/>
  <c r="J1578" i="12"/>
  <c r="I1578" i="12"/>
  <c r="J1738" i="12"/>
  <c r="I1738" i="12"/>
  <c r="J608" i="12"/>
  <c r="I608" i="12"/>
  <c r="J1395" i="12"/>
  <c r="I1395" i="12"/>
  <c r="J668" i="12"/>
  <c r="I668" i="12"/>
  <c r="J1703" i="12"/>
  <c r="I1703" i="12"/>
  <c r="J1292" i="12"/>
  <c r="I1292" i="12"/>
  <c r="J1547" i="12"/>
  <c r="I1547" i="12"/>
  <c r="J826" i="12"/>
  <c r="I826" i="12"/>
  <c r="J1800" i="12"/>
  <c r="I1800" i="12"/>
  <c r="J54" i="12"/>
  <c r="I54" i="12"/>
  <c r="J1607" i="12"/>
  <c r="I1607" i="12"/>
  <c r="J1556" i="12"/>
  <c r="I1556" i="12"/>
  <c r="J1168" i="12"/>
  <c r="I1168" i="12"/>
  <c r="J217" i="12"/>
  <c r="I217" i="12"/>
  <c r="J1488" i="12"/>
  <c r="I1488" i="12"/>
  <c r="J326" i="12"/>
  <c r="I326" i="12"/>
  <c r="J1166" i="12"/>
  <c r="I1166" i="12"/>
  <c r="J544" i="12"/>
  <c r="I544" i="12"/>
  <c r="J675" i="12"/>
  <c r="I675" i="12"/>
  <c r="J257" i="12"/>
  <c r="I257" i="12"/>
  <c r="J813" i="12"/>
  <c r="I813" i="12"/>
  <c r="J376" i="12"/>
  <c r="I376" i="12"/>
  <c r="J537" i="12"/>
  <c r="I537" i="12"/>
  <c r="J1788" i="12"/>
  <c r="I1788" i="12"/>
  <c r="J806" i="12"/>
  <c r="I806" i="12"/>
  <c r="J19" i="12"/>
  <c r="I19" i="12"/>
  <c r="J1198" i="12"/>
  <c r="I1198" i="12"/>
  <c r="J159" i="12"/>
  <c r="I159" i="12"/>
  <c r="J1690" i="12"/>
  <c r="I1690" i="12"/>
  <c r="J1312" i="12"/>
  <c r="I1312" i="12"/>
  <c r="J972" i="12"/>
  <c r="I972" i="12"/>
  <c r="J614" i="12"/>
  <c r="I614" i="12"/>
  <c r="J869" i="12"/>
  <c r="I869" i="12"/>
  <c r="J370" i="12"/>
  <c r="I370" i="12"/>
  <c r="J1051" i="12"/>
  <c r="I1051" i="12"/>
  <c r="J247" i="12"/>
  <c r="I247" i="12"/>
  <c r="J536" i="12"/>
  <c r="I536" i="12"/>
  <c r="J203" i="12"/>
  <c r="I203" i="12"/>
  <c r="J1756" i="12"/>
  <c r="I1756" i="12"/>
  <c r="J295" i="12"/>
  <c r="I295" i="12"/>
  <c r="J1794" i="12"/>
  <c r="I1794" i="12"/>
  <c r="J185" i="12"/>
  <c r="I185" i="12"/>
  <c r="J632" i="12"/>
  <c r="I632" i="12"/>
  <c r="J1603" i="12"/>
  <c r="I1603" i="12"/>
  <c r="J51" i="12"/>
  <c r="I51" i="12"/>
  <c r="J1531" i="12"/>
  <c r="I1531" i="12"/>
  <c r="J274" i="12"/>
  <c r="I274" i="12"/>
  <c r="J218" i="12"/>
  <c r="I218" i="12"/>
  <c r="J1764" i="12"/>
  <c r="I1764" i="12"/>
  <c r="J543" i="12"/>
  <c r="I543" i="12"/>
  <c r="J1106" i="12"/>
  <c r="I1106" i="12"/>
  <c r="J343" i="12"/>
  <c r="I343" i="12"/>
  <c r="J553" i="12"/>
  <c r="I553" i="12"/>
  <c r="J68" i="12"/>
  <c r="I68" i="12"/>
  <c r="J1248" i="12"/>
  <c r="I1248" i="12"/>
  <c r="J1409" i="12"/>
  <c r="I1409" i="12"/>
  <c r="J220" i="12"/>
  <c r="I220" i="12"/>
  <c r="J533" i="12"/>
  <c r="I533" i="12"/>
  <c r="J1102" i="12"/>
  <c r="I1102" i="12"/>
  <c r="J182" i="12"/>
  <c r="I182" i="12"/>
  <c r="J1001" i="12"/>
  <c r="I1001" i="12"/>
  <c r="J1567" i="12"/>
  <c r="I1567" i="12"/>
  <c r="J1154" i="12"/>
  <c r="I1154" i="12"/>
  <c r="J1783" i="12"/>
  <c r="I1783" i="12"/>
  <c r="J916" i="12"/>
  <c r="I916" i="12"/>
  <c r="J1519" i="12"/>
  <c r="I1519" i="12"/>
  <c r="J157" i="12"/>
  <c r="I157" i="12"/>
  <c r="J1112" i="12"/>
  <c r="I1112" i="12"/>
  <c r="J1113" i="12"/>
  <c r="I1113" i="12"/>
  <c r="J368" i="12"/>
  <c r="I368" i="12"/>
  <c r="J308" i="12"/>
  <c r="I308" i="12"/>
  <c r="J1083" i="12"/>
  <c r="I1083" i="12"/>
  <c r="J332" i="12"/>
  <c r="I332" i="12"/>
  <c r="J1672" i="12"/>
  <c r="I1672" i="12"/>
  <c r="J1322" i="12"/>
  <c r="I1322" i="12"/>
  <c r="J1397" i="12"/>
  <c r="I1397" i="12"/>
  <c r="J50" i="12"/>
  <c r="I50" i="12"/>
  <c r="J1754" i="12"/>
  <c r="I1754" i="12"/>
  <c r="J337" i="12"/>
  <c r="I337" i="12"/>
  <c r="J1625" i="12"/>
  <c r="I1625" i="12"/>
  <c r="J1660" i="12"/>
  <c r="I1660" i="12"/>
  <c r="J452" i="12"/>
  <c r="I452" i="12"/>
  <c r="J1416" i="12"/>
  <c r="I1416" i="12"/>
  <c r="J740" i="12"/>
  <c r="I740" i="12"/>
  <c r="J579" i="12"/>
  <c r="I579" i="12"/>
  <c r="J1363" i="12"/>
  <c r="I1363" i="12"/>
  <c r="J1458" i="12"/>
  <c r="I1458" i="12"/>
  <c r="J57" i="12"/>
  <c r="I57" i="12"/>
  <c r="J1590" i="12"/>
  <c r="I1590" i="12"/>
  <c r="J1643" i="12"/>
  <c r="I1643" i="12"/>
  <c r="J1114" i="12"/>
  <c r="I1114" i="12"/>
  <c r="J554" i="12"/>
  <c r="I554" i="12"/>
  <c r="J1587" i="12"/>
  <c r="I1587" i="12"/>
  <c r="J320" i="12"/>
  <c r="I320" i="12"/>
  <c r="J1418" i="12"/>
  <c r="I1418" i="12"/>
  <c r="J153" i="12"/>
  <c r="I153" i="12"/>
  <c r="J1779" i="12"/>
  <c r="I1779" i="12"/>
  <c r="J1229" i="12"/>
  <c r="I1229" i="12"/>
  <c r="J1575" i="12"/>
  <c r="I1575" i="12"/>
  <c r="J1296" i="12"/>
  <c r="I1296" i="12"/>
  <c r="J707" i="12"/>
  <c r="I707" i="12"/>
  <c r="J865" i="12"/>
  <c r="I865" i="12"/>
  <c r="J666" i="12"/>
  <c r="I666" i="12"/>
  <c r="J1597" i="12"/>
  <c r="I1597" i="12"/>
  <c r="J369" i="12"/>
  <c r="I369" i="12"/>
  <c r="J1424" i="12"/>
  <c r="I1424" i="12"/>
  <c r="J276" i="12"/>
  <c r="I276" i="12"/>
  <c r="J236" i="12"/>
  <c r="I236" i="12"/>
  <c r="J676" i="12"/>
  <c r="I676" i="12"/>
  <c r="J563" i="12"/>
  <c r="I563" i="12"/>
  <c r="J1044" i="12"/>
  <c r="I1044" i="12"/>
  <c r="J909" i="12"/>
  <c r="I909" i="12"/>
  <c r="J1226" i="12"/>
  <c r="I1226" i="12"/>
  <c r="J613" i="12"/>
  <c r="I613" i="12"/>
  <c r="J1235" i="12"/>
  <c r="I1235" i="12"/>
  <c r="J496" i="12"/>
  <c r="I496" i="12"/>
  <c r="J233" i="12"/>
  <c r="I233" i="12"/>
  <c r="J258" i="12"/>
  <c r="I258" i="12"/>
  <c r="J1505" i="12"/>
  <c r="I1505" i="12"/>
  <c r="J953" i="12"/>
  <c r="I953" i="12"/>
  <c r="J292" i="12"/>
  <c r="I292" i="12"/>
  <c r="J1728" i="12"/>
  <c r="I1728" i="12"/>
  <c r="J781" i="12"/>
  <c r="I781" i="12"/>
  <c r="J802" i="12"/>
  <c r="I802" i="12"/>
  <c r="J942" i="12"/>
  <c r="I942" i="12"/>
  <c r="J1172" i="12"/>
  <c r="I1172" i="12"/>
  <c r="J968" i="12"/>
  <c r="I968" i="12"/>
  <c r="J1495" i="12"/>
  <c r="I1495" i="12"/>
  <c r="J1713" i="12"/>
  <c r="I1713" i="12"/>
  <c r="J168" i="12"/>
  <c r="I168" i="12"/>
  <c r="J229" i="12"/>
  <c r="I229" i="12"/>
  <c r="J1677" i="12"/>
  <c r="I1677" i="12"/>
  <c r="J1524" i="12"/>
  <c r="I1524" i="12"/>
  <c r="J715" i="12"/>
  <c r="I715" i="12"/>
  <c r="J251" i="12"/>
  <c r="I251" i="12"/>
  <c r="J386" i="12"/>
  <c r="I386" i="12"/>
  <c r="J503" i="12"/>
  <c r="I503" i="12"/>
  <c r="J621" i="12"/>
  <c r="I621" i="12"/>
  <c r="J1592" i="12"/>
  <c r="I1592" i="12"/>
  <c r="J1167" i="12"/>
  <c r="I1167" i="12"/>
  <c r="J1670" i="12"/>
  <c r="I1670" i="12"/>
  <c r="J488" i="12"/>
  <c r="I488" i="12"/>
  <c r="J1400" i="12"/>
  <c r="I1400" i="12"/>
  <c r="J1303" i="12"/>
  <c r="I1303" i="12"/>
  <c r="J413" i="12"/>
  <c r="I413" i="12"/>
  <c r="J474" i="12"/>
  <c r="I474" i="12"/>
  <c r="J807" i="12"/>
  <c r="I807" i="12"/>
  <c r="J995" i="12"/>
  <c r="I995" i="12"/>
  <c r="J889" i="12"/>
  <c r="I889" i="12"/>
  <c r="J1737" i="12"/>
  <c r="I1737" i="12"/>
  <c r="J595" i="12"/>
  <c r="I595" i="12"/>
  <c r="J80" i="12"/>
  <c r="I80" i="12"/>
  <c r="J1595" i="12"/>
  <c r="I1595" i="12"/>
  <c r="J186" i="12"/>
  <c r="I186" i="12"/>
  <c r="J836" i="12"/>
  <c r="I836" i="12"/>
  <c r="J196" i="12"/>
  <c r="I196" i="12"/>
  <c r="J512" i="12"/>
  <c r="I512" i="12"/>
  <c r="J1093" i="12"/>
  <c r="I1093" i="12"/>
  <c r="J231" i="12"/>
  <c r="I231" i="12"/>
  <c r="J1486" i="12"/>
  <c r="I1486" i="12"/>
  <c r="J1165" i="12"/>
  <c r="I1165" i="12"/>
  <c r="J1639" i="12"/>
  <c r="I1639" i="12"/>
  <c r="J23" i="12"/>
  <c r="I23" i="12"/>
  <c r="J1432" i="12"/>
  <c r="I1432" i="12"/>
  <c r="J1116" i="12"/>
  <c r="I1116" i="12"/>
  <c r="J630" i="12"/>
  <c r="I630" i="12"/>
  <c r="J728" i="12"/>
  <c r="I728" i="12"/>
  <c r="J1148" i="12"/>
  <c r="I1148" i="12"/>
  <c r="J1755" i="12"/>
  <c r="I1755" i="12"/>
  <c r="J1610" i="12"/>
  <c r="I1610" i="12"/>
  <c r="J360" i="12"/>
  <c r="I360" i="12"/>
  <c r="J531" i="12"/>
  <c r="I531" i="12"/>
  <c r="J1542" i="12"/>
  <c r="I1542" i="12"/>
  <c r="J84" i="12"/>
  <c r="I84" i="12"/>
  <c r="J1732" i="12"/>
  <c r="I1732" i="12"/>
  <c r="J283" i="12"/>
  <c r="I283" i="12"/>
  <c r="J1718" i="12"/>
  <c r="I1718" i="12"/>
  <c r="J366" i="12"/>
  <c r="I366" i="12"/>
  <c r="J199" i="12"/>
  <c r="I199" i="12"/>
  <c r="J1005" i="12"/>
  <c r="I1005" i="12"/>
  <c r="J1617" i="12"/>
  <c r="I1617" i="12"/>
  <c r="J685" i="12"/>
  <c r="I685" i="12"/>
  <c r="J1201" i="12"/>
  <c r="I1201" i="12"/>
  <c r="J719" i="12"/>
  <c r="I719" i="12"/>
  <c r="J455" i="12"/>
  <c r="I455" i="12"/>
  <c r="J1683" i="12"/>
  <c r="I1683" i="12"/>
  <c r="J398" i="12"/>
  <c r="I398" i="12"/>
  <c r="J180" i="12"/>
  <c r="I180" i="12"/>
  <c r="J1249" i="12"/>
  <c r="I1249" i="12"/>
  <c r="J1276" i="12"/>
  <c r="I1276" i="12"/>
  <c r="J1439" i="12"/>
  <c r="I1439" i="12"/>
  <c r="J671" i="12"/>
  <c r="I671" i="12"/>
  <c r="J110" i="12"/>
  <c r="I110" i="12"/>
  <c r="J147" i="12"/>
  <c r="I147" i="12"/>
  <c r="J1060" i="12"/>
  <c r="I1060" i="12"/>
  <c r="J1651" i="12"/>
  <c r="I1651" i="12"/>
  <c r="J1022" i="12"/>
  <c r="I1022" i="12"/>
  <c r="J1605" i="12"/>
  <c r="I1605" i="12"/>
  <c r="J432" i="12"/>
  <c r="I432" i="12"/>
  <c r="J769" i="12"/>
  <c r="I769" i="12"/>
  <c r="J1662" i="12"/>
  <c r="I1662" i="12"/>
  <c r="J302" i="12"/>
  <c r="I302" i="12"/>
  <c r="J1046" i="12"/>
  <c r="I1046" i="12"/>
  <c r="J1527" i="12"/>
  <c r="I1527" i="12"/>
  <c r="J872" i="12"/>
  <c r="I872" i="12"/>
  <c r="J345" i="12"/>
  <c r="I345" i="12"/>
  <c r="J1130" i="12"/>
  <c r="I1130" i="12"/>
  <c r="J1487" i="12"/>
  <c r="I1487" i="12"/>
  <c r="J1490" i="12"/>
  <c r="I1490" i="12"/>
  <c r="J1067" i="12"/>
  <c r="I1067" i="12"/>
  <c r="J919" i="12"/>
  <c r="I919" i="12"/>
  <c r="J105" i="12"/>
  <c r="I105" i="12"/>
  <c r="J927" i="12"/>
  <c r="I927" i="12"/>
  <c r="J1361" i="12"/>
  <c r="I1361" i="12"/>
  <c r="J1497" i="12"/>
  <c r="I1497" i="12"/>
  <c r="J1002" i="12"/>
  <c r="I1002" i="12"/>
  <c r="J1025" i="12"/>
  <c r="I1025" i="12"/>
  <c r="J550" i="12"/>
  <c r="I550" i="12"/>
  <c r="J133" i="12"/>
  <c r="I133" i="12"/>
  <c r="J1445" i="12"/>
  <c r="I1445" i="12"/>
  <c r="J716" i="12"/>
  <c r="I716" i="12"/>
  <c r="J120" i="12"/>
  <c r="I120" i="12"/>
  <c r="J1160" i="12"/>
  <c r="I1160" i="12"/>
  <c r="J973" i="12"/>
  <c r="I973" i="12"/>
  <c r="J724" i="12"/>
  <c r="I724" i="12"/>
  <c r="J160" i="12"/>
  <c r="I160" i="12"/>
  <c r="J284" i="12"/>
  <c r="I284" i="12"/>
  <c r="J601" i="12"/>
  <c r="I601" i="12"/>
  <c r="J1199" i="12"/>
  <c r="I1199" i="12"/>
  <c r="J1396" i="12"/>
  <c r="I1396" i="12"/>
  <c r="J1787" i="12"/>
  <c r="I1787" i="12"/>
  <c r="J228" i="12"/>
  <c r="I228" i="12"/>
  <c r="J396" i="12"/>
  <c r="I396" i="12"/>
  <c r="J384" i="12"/>
  <c r="I384" i="12"/>
  <c r="J1753" i="12"/>
  <c r="I1753" i="12"/>
  <c r="J1480" i="12"/>
  <c r="I1480" i="12"/>
  <c r="J1230" i="12"/>
  <c r="I1230" i="12"/>
  <c r="J431" i="12"/>
  <c r="I431" i="12"/>
  <c r="J11" i="12"/>
  <c r="I11" i="12"/>
  <c r="J1609" i="12"/>
  <c r="I1609" i="12"/>
  <c r="J1763" i="12"/>
  <c r="I1763" i="12"/>
  <c r="J319" i="12"/>
  <c r="I319" i="12"/>
  <c r="J318" i="12"/>
  <c r="I318" i="12"/>
  <c r="J696" i="12"/>
  <c r="I696" i="12"/>
  <c r="J1341" i="12"/>
  <c r="I1341" i="12"/>
  <c r="J1448" i="12"/>
  <c r="I1448" i="12"/>
  <c r="J456" i="12"/>
  <c r="I456" i="12"/>
  <c r="J1136" i="12"/>
  <c r="I1136" i="12"/>
  <c r="J1656" i="12"/>
  <c r="I1656" i="12"/>
  <c r="J225" i="12"/>
  <c r="I225" i="12"/>
  <c r="J763" i="12"/>
  <c r="I763" i="12"/>
  <c r="J738" i="12"/>
  <c r="I738" i="12"/>
  <c r="J301" i="12"/>
  <c r="I301" i="12"/>
  <c r="J892" i="12"/>
  <c r="I892" i="12"/>
  <c r="J1796" i="12"/>
  <c r="I1796" i="12"/>
  <c r="J1455" i="12"/>
  <c r="I1455" i="12"/>
  <c r="J751" i="12"/>
  <c r="I751" i="12"/>
  <c r="J184" i="12"/>
  <c r="I184" i="12"/>
  <c r="J1029" i="12"/>
  <c r="I1029" i="12"/>
  <c r="J198" i="12"/>
  <c r="I198" i="12"/>
  <c r="J560" i="12"/>
  <c r="I560" i="12"/>
  <c r="J1503" i="12"/>
  <c r="I1503" i="12"/>
  <c r="J1236" i="12"/>
  <c r="I1236" i="12"/>
  <c r="J1059" i="12"/>
  <c r="I1059" i="12"/>
  <c r="J355" i="12"/>
  <c r="I355" i="12"/>
  <c r="J1398" i="12"/>
  <c r="I1398" i="12"/>
  <c r="J1080" i="12"/>
  <c r="I1080" i="12"/>
  <c r="J1712" i="12"/>
  <c r="I1712" i="12"/>
  <c r="J1747" i="12"/>
  <c r="I1747" i="12"/>
  <c r="J261" i="12"/>
  <c r="I261" i="12"/>
  <c r="J1552" i="12"/>
  <c r="I1552" i="12"/>
  <c r="J791" i="12"/>
  <c r="I791" i="12"/>
  <c r="J1075" i="12"/>
  <c r="I1075" i="12"/>
  <c r="J22" i="12"/>
  <c r="I22" i="12"/>
  <c r="J1065" i="12"/>
  <c r="I1065" i="12"/>
  <c r="J1021" i="12"/>
  <c r="I1021" i="12"/>
  <c r="J121" i="12"/>
  <c r="I121" i="12"/>
  <c r="J1081" i="12"/>
  <c r="I1081" i="12"/>
  <c r="J1701" i="12"/>
  <c r="I1701" i="12"/>
  <c r="J269" i="12"/>
  <c r="I269" i="12"/>
  <c r="J1792" i="12"/>
  <c r="I1792" i="12"/>
  <c r="J1691" i="12"/>
  <c r="I1691" i="12"/>
  <c r="J356" i="12"/>
  <c r="I356" i="12"/>
  <c r="J886" i="12"/>
  <c r="I886" i="12"/>
  <c r="J1206" i="12"/>
  <c r="I1206" i="12"/>
  <c r="J896" i="12"/>
  <c r="I896" i="12"/>
  <c r="J36" i="12"/>
  <c r="I36" i="12"/>
  <c r="J25" i="12"/>
  <c r="I25" i="12"/>
  <c r="J833" i="12"/>
  <c r="I833" i="12"/>
  <c r="J1359" i="12"/>
  <c r="I1359" i="12"/>
  <c r="J359" i="12"/>
  <c r="I359" i="12"/>
  <c r="J252" i="12"/>
  <c r="I252" i="12"/>
  <c r="J899" i="12"/>
  <c r="I899" i="12"/>
  <c r="J394" i="12"/>
  <c r="I394" i="12"/>
  <c r="J742" i="12"/>
  <c r="I742" i="12"/>
  <c r="J1700" i="12"/>
  <c r="I1700" i="12"/>
  <c r="J561" i="12"/>
  <c r="I561" i="12"/>
  <c r="J1414" i="12"/>
  <c r="I1414" i="12"/>
  <c r="J1719" i="12"/>
  <c r="I1719" i="12"/>
  <c r="J132" i="12"/>
  <c r="I132" i="12"/>
  <c r="J173" i="12"/>
  <c r="I173" i="12"/>
  <c r="J969" i="12"/>
  <c r="I969" i="12"/>
  <c r="J1074" i="12"/>
  <c r="I1074" i="12"/>
  <c r="J140" i="12"/>
  <c r="I140" i="12"/>
  <c r="J846" i="12"/>
  <c r="I846" i="12"/>
  <c r="J211" i="12"/>
  <c r="I211" i="12"/>
  <c r="J1584" i="12"/>
  <c r="I1584" i="12"/>
  <c r="J574" i="12"/>
  <c r="I574" i="12"/>
  <c r="J987" i="12"/>
  <c r="I987" i="12"/>
  <c r="J633" i="12"/>
  <c r="I633" i="12"/>
  <c r="J1147" i="12"/>
  <c r="I1147" i="12"/>
  <c r="J1606" i="12"/>
  <c r="I1606" i="12"/>
  <c r="J1423" i="12"/>
  <c r="I1423" i="12"/>
  <c r="J900" i="12"/>
  <c r="I900" i="12"/>
  <c r="J693" i="12"/>
  <c r="I693" i="12"/>
  <c r="J1308" i="12"/>
  <c r="I1308" i="12"/>
  <c r="J277" i="12"/>
  <c r="I277" i="12"/>
  <c r="J663" i="12"/>
  <c r="I663" i="12"/>
  <c r="J1215" i="12"/>
  <c r="I1215" i="12"/>
  <c r="J1092" i="12"/>
  <c r="I1092" i="12"/>
  <c r="J483" i="12"/>
  <c r="I483" i="12"/>
  <c r="J43" i="12"/>
  <c r="I43" i="12"/>
  <c r="J425" i="12"/>
  <c r="I425" i="12"/>
  <c r="J770" i="12"/>
  <c r="I770" i="12"/>
  <c r="J1258" i="12"/>
  <c r="I1258" i="12"/>
  <c r="J170" i="12"/>
  <c r="I170" i="12"/>
  <c r="J1365" i="12"/>
  <c r="I1365" i="12"/>
  <c r="J1020" i="12"/>
  <c r="I1020" i="12"/>
  <c r="J1739" i="12"/>
  <c r="I1739" i="12"/>
  <c r="J1551" i="12"/>
  <c r="I1551" i="12"/>
  <c r="J674" i="12"/>
  <c r="I674" i="12"/>
  <c r="J27" i="12"/>
  <c r="I27" i="12"/>
  <c r="J853" i="12"/>
  <c r="I853" i="12"/>
  <c r="J1613" i="12"/>
  <c r="I1613" i="12"/>
  <c r="J1654" i="12"/>
  <c r="I1654" i="12"/>
  <c r="J636" i="12"/>
  <c r="I636" i="12"/>
  <c r="J735" i="12"/>
  <c r="I735" i="12"/>
  <c r="J163" i="12"/>
  <c r="I163" i="12"/>
  <c r="J1027" i="12"/>
  <c r="I1027" i="12"/>
  <c r="J169" i="12"/>
  <c r="I169" i="12"/>
  <c r="J248" i="12"/>
  <c r="I248" i="12"/>
  <c r="J1180" i="12"/>
  <c r="I1180" i="12"/>
  <c r="J1767" i="12"/>
  <c r="I1767" i="12"/>
  <c r="J1650" i="12"/>
  <c r="I1650" i="12"/>
  <c r="J1273" i="12"/>
  <c r="I1273" i="12"/>
  <c r="J289" i="12"/>
  <c r="I289" i="12"/>
  <c r="J814" i="12"/>
  <c r="I814" i="12"/>
  <c r="J727" i="12"/>
  <c r="I727" i="12"/>
  <c r="J1122" i="12"/>
  <c r="I1122" i="12"/>
  <c r="J930" i="12"/>
  <c r="I930" i="12"/>
  <c r="J1616" i="12"/>
  <c r="I1616" i="12"/>
  <c r="J682" i="12"/>
  <c r="I682" i="12"/>
  <c r="J65" i="12"/>
  <c r="I65" i="12"/>
  <c r="J21" i="12"/>
  <c r="I21" i="12"/>
  <c r="J1626" i="12"/>
  <c r="I1626" i="12"/>
  <c r="J1038" i="12"/>
  <c r="I1038" i="12"/>
  <c r="J1123" i="12"/>
  <c r="I1123" i="12"/>
  <c r="J1705" i="12"/>
  <c r="I1705" i="12"/>
  <c r="J609" i="12"/>
  <c r="I609" i="12"/>
  <c r="J1594" i="12"/>
  <c r="I1594" i="12"/>
  <c r="J278" i="12"/>
  <c r="I278" i="12"/>
  <c r="J1161" i="12"/>
  <c r="I1161" i="12"/>
  <c r="J1699" i="12"/>
  <c r="I1699" i="12"/>
  <c r="J697" i="12"/>
  <c r="I697" i="12"/>
  <c r="J612" i="12"/>
  <c r="I612" i="12"/>
  <c r="J611" i="12"/>
  <c r="I611" i="12"/>
  <c r="J1785" i="12"/>
  <c r="I1785" i="12"/>
  <c r="J863" i="12"/>
  <c r="I863" i="12"/>
  <c r="J600" i="12"/>
  <c r="I600" i="12"/>
  <c r="J1769" i="12"/>
  <c r="I1769" i="12"/>
  <c r="J699" i="12"/>
  <c r="I699" i="12"/>
  <c r="J8" i="12"/>
  <c r="I8" i="12"/>
  <c r="J371" i="12"/>
  <c r="I371" i="12"/>
  <c r="J406" i="12"/>
  <c r="I406" i="12"/>
  <c r="J1775" i="12"/>
  <c r="I1775" i="12"/>
  <c r="J1197" i="12"/>
  <c r="I1197" i="12"/>
  <c r="J216" i="12"/>
  <c r="I216" i="12"/>
  <c r="J800" i="12"/>
  <c r="I800" i="12"/>
  <c r="J224" i="12"/>
  <c r="I224" i="12"/>
  <c r="J1100" i="12"/>
  <c r="I1100" i="12"/>
  <c r="J1456" i="12"/>
  <c r="I1456" i="12"/>
  <c r="J156" i="12"/>
  <c r="I156" i="12"/>
  <c r="J606" i="12"/>
  <c r="I606" i="12"/>
  <c r="J93" i="12"/>
  <c r="I93" i="12"/>
  <c r="J126" i="12"/>
  <c r="I126" i="12"/>
  <c r="J1178" i="12"/>
  <c r="I1178" i="12"/>
  <c r="J940" i="12"/>
  <c r="I940" i="12"/>
  <c r="J1379" i="12"/>
  <c r="I1379" i="12"/>
  <c r="J705" i="12"/>
  <c r="I705" i="12"/>
  <c r="J1447" i="12"/>
  <c r="I1447" i="12"/>
  <c r="J327" i="12"/>
  <c r="I327" i="12"/>
  <c r="J555" i="12"/>
  <c r="I555" i="12"/>
  <c r="J1425" i="12"/>
  <c r="I1425" i="12"/>
  <c r="J768" i="12"/>
  <c r="I768" i="12"/>
  <c r="J1471" i="12"/>
  <c r="I1471" i="12"/>
  <c r="J464" i="12"/>
  <c r="I464" i="12"/>
  <c r="J1804" i="12"/>
  <c r="I1804" i="12"/>
  <c r="J86" i="12"/>
  <c r="I86" i="12"/>
  <c r="J825" i="12"/>
  <c r="I825" i="12"/>
  <c r="J1682" i="12"/>
  <c r="I1682" i="12"/>
  <c r="J1655" i="12"/>
  <c r="I1655" i="12"/>
  <c r="J119" i="12"/>
  <c r="I119" i="12"/>
  <c r="J1550" i="12"/>
  <c r="I1550" i="12"/>
  <c r="J510" i="12"/>
  <c r="I510" i="12"/>
  <c r="J449" i="12"/>
  <c r="I449" i="12"/>
  <c r="J1097" i="12"/>
  <c r="I1097" i="12"/>
  <c r="J1734" i="12"/>
  <c r="I1734" i="12"/>
  <c r="J1239" i="12"/>
  <c r="I1239" i="12"/>
  <c r="J1145" i="12"/>
  <c r="I1145" i="12"/>
  <c r="J1802" i="12"/>
  <c r="I1802" i="12"/>
  <c r="J1776" i="12"/>
  <c r="I1776" i="12"/>
  <c r="J1730" i="12"/>
  <c r="I1730" i="12"/>
  <c r="J179" i="12"/>
  <c r="I179" i="12"/>
  <c r="J931" i="12"/>
  <c r="I931" i="12"/>
  <c r="J1325" i="12"/>
  <c r="I1325" i="12"/>
  <c r="J819" i="12"/>
  <c r="I819" i="12"/>
  <c r="J407" i="12"/>
  <c r="I407" i="12"/>
  <c r="J438" i="12"/>
  <c r="I438" i="12"/>
  <c r="J1110" i="12"/>
  <c r="I1110" i="12"/>
  <c r="J963" i="12"/>
  <c r="I963" i="12"/>
  <c r="J433" i="12"/>
  <c r="I433" i="12"/>
  <c r="J948" i="12"/>
  <c r="I948" i="12"/>
  <c r="J620" i="12"/>
  <c r="I620" i="12"/>
  <c r="J505" i="12"/>
  <c r="I505" i="12"/>
  <c r="J787" i="12"/>
  <c r="I787" i="12"/>
  <c r="J1103" i="12"/>
  <c r="I1103" i="12"/>
  <c r="J1062" i="12"/>
  <c r="I1062" i="12"/>
  <c r="J395" i="12"/>
  <c r="I395" i="12"/>
  <c r="J1143" i="12"/>
  <c r="I1143" i="12"/>
  <c r="J655" i="12"/>
  <c r="I655" i="12"/>
  <c r="J1583" i="12"/>
  <c r="I1583" i="12"/>
  <c r="J1321" i="12"/>
  <c r="I1321" i="12"/>
  <c r="J1141" i="12"/>
  <c r="I1141" i="12"/>
  <c r="J1751" i="12"/>
  <c r="I1751" i="12"/>
  <c r="J598" i="12"/>
  <c r="I598" i="12"/>
  <c r="J499" i="12"/>
  <c r="I499" i="12"/>
  <c r="J1759" i="12"/>
  <c r="I1759" i="12"/>
  <c r="J49" i="12"/>
  <c r="I49" i="12"/>
  <c r="J244" i="12"/>
  <c r="I244" i="12"/>
  <c r="J495" i="12"/>
  <c r="I495" i="12"/>
  <c r="J354" i="12"/>
  <c r="I354" i="12"/>
  <c r="J992" i="12"/>
  <c r="I992" i="12"/>
  <c r="J1499" i="12"/>
  <c r="I1499" i="12"/>
  <c r="J937" i="12"/>
  <c r="I937" i="12"/>
  <c r="J227" i="12"/>
  <c r="I227" i="12"/>
  <c r="J1778" i="12"/>
  <c r="I1778" i="12"/>
  <c r="J146" i="12"/>
  <c r="I146" i="12"/>
  <c r="J855" i="12"/>
  <c r="I855" i="12"/>
  <c r="J175" i="12"/>
  <c r="I175" i="12"/>
  <c r="J1463" i="12"/>
  <c r="I1463" i="12"/>
  <c r="J58" i="12"/>
  <c r="I58" i="12"/>
  <c r="J1399" i="12"/>
  <c r="I1399" i="12"/>
  <c r="J12" i="12"/>
  <c r="I12" i="12"/>
  <c r="J1600" i="12"/>
  <c r="I1600" i="12"/>
  <c r="J209" i="12"/>
  <c r="I209" i="12"/>
  <c r="J40" i="12"/>
  <c r="I40" i="12"/>
  <c r="J745" i="12"/>
  <c r="I745" i="12"/>
  <c r="J1313" i="12"/>
  <c r="I1313" i="12"/>
  <c r="J1771" i="12"/>
  <c r="I1771" i="12"/>
  <c r="J468" i="12"/>
  <c r="I468" i="12"/>
  <c r="J1760" i="12"/>
  <c r="I1760" i="12"/>
  <c r="J1726" i="12"/>
  <c r="I1726" i="12"/>
  <c r="J239" i="12"/>
  <c r="I239" i="12"/>
  <c r="J192" i="12"/>
  <c r="I192" i="12"/>
  <c r="J978" i="12"/>
  <c r="I978" i="12"/>
  <c r="J415" i="12"/>
  <c r="I415" i="12"/>
  <c r="J1061" i="12"/>
  <c r="I1061" i="12"/>
  <c r="J338" i="12"/>
  <c r="I338" i="12"/>
  <c r="J92" i="12"/>
  <c r="I92" i="12"/>
  <c r="J634" i="12"/>
  <c r="I634" i="12"/>
  <c r="J393" i="12"/>
  <c r="I393" i="12"/>
  <c r="J1507" i="12"/>
  <c r="I1507" i="12"/>
  <c r="J195" i="12"/>
  <c r="I195" i="12"/>
  <c r="J1695" i="12"/>
  <c r="I1695" i="12"/>
  <c r="J977" i="12"/>
  <c r="I977" i="12"/>
  <c r="J603" i="12"/>
  <c r="I603" i="12"/>
  <c r="J1474" i="12"/>
  <c r="I1474" i="12"/>
  <c r="J1089" i="12"/>
  <c r="I1089" i="12"/>
  <c r="J1277" i="12"/>
  <c r="I1277" i="12"/>
  <c r="J1139" i="12"/>
  <c r="I1139" i="12"/>
  <c r="J223" i="12"/>
  <c r="I223" i="12"/>
  <c r="J67" i="12"/>
  <c r="I67" i="12"/>
  <c r="J1684" i="12"/>
  <c r="I1684" i="12"/>
  <c r="J1156" i="12"/>
  <c r="I1156" i="12"/>
  <c r="J303" i="12"/>
  <c r="I303" i="12"/>
  <c r="J1722" i="12"/>
  <c r="I1722" i="12"/>
  <c r="J1782" i="12"/>
  <c r="I1782" i="12"/>
  <c r="J748" i="12"/>
  <c r="I748" i="12"/>
  <c r="J46" i="12"/>
  <c r="I46" i="12"/>
  <c r="J1241" i="12"/>
  <c r="I1241" i="12"/>
  <c r="J520" i="12"/>
  <c r="I520" i="12"/>
  <c r="J1666" i="12"/>
  <c r="I1666" i="12"/>
  <c r="J1475" i="12"/>
  <c r="I1475" i="12"/>
  <c r="J656" i="12"/>
  <c r="I656" i="12"/>
  <c r="J206" i="12"/>
  <c r="I206" i="12"/>
  <c r="J167" i="12"/>
  <c r="I167" i="12"/>
  <c r="J1780" i="12"/>
  <c r="I1780" i="12"/>
  <c r="J1181" i="12"/>
  <c r="I1181" i="12"/>
  <c r="J1314" i="12"/>
  <c r="I1314" i="12"/>
  <c r="J33" i="12"/>
  <c r="I33" i="12"/>
  <c r="J1532" i="12"/>
  <c r="I1532" i="12"/>
  <c r="J1689" i="12"/>
  <c r="I1689" i="12"/>
  <c r="J336" i="12"/>
  <c r="I336" i="12"/>
  <c r="J780" i="12"/>
  <c r="I780" i="12"/>
  <c r="J28" i="12"/>
  <c r="I28" i="12"/>
  <c r="J162" i="12"/>
  <c r="I162" i="12"/>
  <c r="J128" i="12"/>
  <c r="I128" i="12"/>
  <c r="J81" i="12"/>
  <c r="I81" i="12"/>
  <c r="J1729" i="12"/>
  <c r="I1729" i="12"/>
  <c r="J990" i="12"/>
  <c r="I990" i="12"/>
  <c r="J513" i="12"/>
  <c r="I513" i="12"/>
  <c r="J815" i="12"/>
  <c r="I815" i="12"/>
  <c r="J517" i="12"/>
  <c r="I517" i="12"/>
  <c r="J1138" i="12"/>
  <c r="I1138" i="12"/>
  <c r="J1111" i="12"/>
  <c r="I1111" i="12"/>
  <c r="J1562" i="12"/>
  <c r="I1562" i="12"/>
  <c r="J1417" i="12"/>
  <c r="I1417" i="12"/>
  <c r="J501" i="12"/>
  <c r="I501" i="12"/>
  <c r="J1752" i="12"/>
  <c r="I1752" i="12"/>
  <c r="J878" i="12"/>
  <c r="I878" i="12"/>
  <c r="J1674" i="12"/>
  <c r="I1674" i="12"/>
  <c r="J1228" i="12"/>
  <c r="I1228" i="12"/>
  <c r="J681" i="12"/>
  <c r="I681" i="12"/>
  <c r="J1346" i="12"/>
  <c r="I1346" i="12"/>
  <c r="J1725" i="12"/>
  <c r="I1725" i="12"/>
  <c r="J1149" i="12"/>
  <c r="I1149" i="12"/>
  <c r="J1576" i="12"/>
  <c r="I1576" i="12"/>
  <c r="J1329" i="12"/>
  <c r="I1329" i="12"/>
  <c r="J312" i="12"/>
  <c r="I312" i="12"/>
  <c r="J626" i="12"/>
  <c r="I626" i="12"/>
  <c r="J485" i="12"/>
  <c r="I485" i="12"/>
  <c r="J1548" i="12"/>
  <c r="I1548" i="12"/>
  <c r="J566" i="12"/>
  <c r="I566" i="12"/>
  <c r="J1641" i="12"/>
  <c r="I1641" i="12"/>
  <c r="J1189" i="12"/>
  <c r="I1189" i="12"/>
  <c r="J551" i="12"/>
  <c r="I551" i="12"/>
  <c r="J219" i="12"/>
  <c r="I219" i="12"/>
  <c r="J1008" i="12"/>
  <c r="I1008" i="12"/>
  <c r="J782" i="12"/>
  <c r="I782" i="12"/>
  <c r="J82" i="12"/>
  <c r="I82" i="12"/>
  <c r="J31" i="12"/>
  <c r="I31" i="12"/>
  <c r="J13" i="12"/>
  <c r="I13" i="12"/>
  <c r="J1566" i="12"/>
  <c r="I1566" i="12"/>
  <c r="J1637" i="12"/>
  <c r="I1637" i="12"/>
  <c r="J1171" i="12"/>
  <c r="I1171" i="12"/>
  <c r="J1193" i="12"/>
  <c r="I1193" i="12"/>
  <c r="J1675" i="12"/>
  <c r="I1675" i="12"/>
  <c r="J1203" i="12"/>
  <c r="I1203" i="12"/>
  <c r="J287" i="12"/>
  <c r="I287" i="12"/>
  <c r="J1768" i="12"/>
  <c r="I1768" i="12"/>
  <c r="J994" i="12"/>
  <c r="I994" i="12"/>
  <c r="J1028" i="12"/>
  <c r="I1028" i="12"/>
  <c r="J1803" i="12"/>
  <c r="I1803" i="12"/>
  <c r="J1512" i="12"/>
  <c r="I1512" i="12"/>
  <c r="J450" i="12"/>
  <c r="I450" i="12"/>
  <c r="J766" i="12"/>
  <c r="I766" i="12"/>
  <c r="J174" i="12"/>
  <c r="I174" i="12"/>
  <c r="J497" i="12"/>
  <c r="I497" i="12"/>
  <c r="J193" i="12"/>
  <c r="I193" i="12"/>
  <c r="J876" i="12"/>
  <c r="I876" i="12"/>
  <c r="J843" i="12"/>
  <c r="I843" i="12"/>
  <c r="J1493" i="12"/>
  <c r="I1493" i="12"/>
  <c r="J1142" i="12"/>
  <c r="I1142" i="12"/>
  <c r="J315" i="12"/>
  <c r="I315" i="12"/>
  <c r="J1598" i="12"/>
  <c r="I1598" i="12"/>
  <c r="J1153" i="12"/>
  <c r="I1153" i="12"/>
  <c r="J578" i="12"/>
  <c r="I578" i="12"/>
  <c r="J618" i="12"/>
  <c r="I618" i="12"/>
  <c r="J1461" i="12"/>
  <c r="I1461" i="12"/>
  <c r="J87" i="12"/>
  <c r="I87" i="12"/>
  <c r="J342" i="12"/>
  <c r="I342" i="12"/>
  <c r="J1158" i="12"/>
  <c r="I1158" i="12"/>
  <c r="J1140" i="12"/>
  <c r="I1140" i="12"/>
  <c r="J1646" i="12"/>
  <c r="I1646" i="12"/>
  <c r="J166" i="12"/>
  <c r="I166" i="12"/>
  <c r="J466" i="12"/>
  <c r="I466" i="12"/>
  <c r="J1053" i="12"/>
  <c r="I1053" i="12"/>
  <c r="J1664" i="12"/>
  <c r="I1664" i="12"/>
  <c r="J692" i="12"/>
  <c r="I692" i="12"/>
  <c r="J847" i="12"/>
  <c r="I847" i="12"/>
  <c r="J1382" i="12"/>
  <c r="I1382" i="12"/>
  <c r="J1317" i="12"/>
  <c r="I1317" i="12"/>
  <c r="J1420" i="12"/>
  <c r="I1420" i="12"/>
  <c r="J97" i="12"/>
  <c r="I97" i="12"/>
  <c r="J1047" i="12"/>
  <c r="I1047" i="12"/>
  <c r="J1023" i="12"/>
  <c r="I1023" i="12"/>
  <c r="J296" i="12"/>
  <c r="I296" i="12"/>
  <c r="J400" i="12"/>
  <c r="I400" i="12"/>
  <c r="J1078" i="12"/>
  <c r="I1078" i="12"/>
  <c r="J344" i="12"/>
  <c r="I344" i="12"/>
  <c r="J934" i="12"/>
  <c r="I934" i="12"/>
  <c r="J138" i="12"/>
  <c r="I138" i="12"/>
  <c r="J1569" i="12"/>
  <c r="I1569" i="12"/>
  <c r="J627" i="12"/>
  <c r="I627" i="12"/>
  <c r="J1385" i="12"/>
  <c r="I1385" i="12"/>
  <c r="J617" i="12"/>
  <c r="I617" i="12"/>
  <c r="J14" i="12"/>
  <c r="I14" i="12"/>
  <c r="J1254" i="12"/>
  <c r="I1254" i="12"/>
  <c r="J473" i="12"/>
  <c r="I473" i="12"/>
  <c r="J605" i="12"/>
  <c r="I605" i="12"/>
  <c r="J1115" i="12"/>
  <c r="I1115" i="12"/>
  <c r="J1287" i="12"/>
  <c r="I1287" i="12"/>
  <c r="J1374" i="12"/>
  <c r="I1374" i="12"/>
  <c r="J388" i="12"/>
  <c r="I388" i="12"/>
  <c r="J1774" i="12"/>
  <c r="I1774" i="12"/>
  <c r="J516" i="12"/>
  <c r="I516" i="12"/>
  <c r="J1631" i="12"/>
  <c r="I1631" i="12"/>
  <c r="J122" i="12"/>
  <c r="I122" i="12"/>
  <c r="J1036" i="12"/>
  <c r="I1036" i="12"/>
  <c r="J1262" i="12"/>
  <c r="I1262" i="12"/>
  <c r="J1717" i="12"/>
  <c r="I1717" i="12"/>
  <c r="J1789" i="12"/>
  <c r="I1789" i="12"/>
  <c r="J152" i="12"/>
  <c r="I152" i="12"/>
  <c r="J758" i="12"/>
  <c r="I758" i="12"/>
  <c r="J1715" i="12"/>
  <c r="I1715" i="12"/>
  <c r="J726" i="12"/>
  <c r="I726" i="12"/>
  <c r="J1426" i="12"/>
  <c r="I1426" i="12"/>
  <c r="J798" i="12"/>
  <c r="I798" i="12"/>
  <c r="J885" i="12"/>
  <c r="I885" i="12"/>
  <c r="J1750" i="12"/>
  <c r="I1750" i="12"/>
  <c r="J1216" i="12"/>
  <c r="I1216" i="12"/>
  <c r="J824" i="12"/>
  <c r="I824" i="12"/>
  <c r="J959" i="12"/>
  <c r="I959" i="12"/>
  <c r="J460" i="12"/>
  <c r="I460" i="12"/>
  <c r="J1289" i="12"/>
  <c r="I1289" i="12"/>
  <c r="J365" i="12"/>
  <c r="I365" i="12"/>
  <c r="J1316" i="12"/>
  <c r="I1316" i="12"/>
  <c r="J718" i="12"/>
  <c r="I718" i="12"/>
  <c r="J1045" i="12"/>
  <c r="I1045" i="12"/>
  <c r="J547" i="12"/>
  <c r="I547" i="12"/>
  <c r="J481" i="12"/>
  <c r="I481" i="12"/>
  <c r="J240" i="12"/>
  <c r="I240" i="12"/>
  <c r="J1525" i="12"/>
  <c r="I1525" i="12"/>
  <c r="J935" i="12"/>
  <c r="I935" i="12"/>
  <c r="J1704" i="12"/>
  <c r="I1704" i="12"/>
  <c r="J975" i="12"/>
  <c r="I975" i="12"/>
  <c r="J447" i="12"/>
  <c r="I447" i="12"/>
  <c r="J1117" i="12"/>
  <c r="I1117" i="12"/>
  <c r="J1581" i="12"/>
  <c r="I1581" i="12"/>
  <c r="J752" i="12"/>
  <c r="I752" i="12"/>
  <c r="J201" i="12"/>
  <c r="I201" i="12"/>
  <c r="J297" i="12"/>
  <c r="I297" i="12"/>
  <c r="J1743" i="12"/>
  <c r="I1743" i="12"/>
  <c r="J947" i="12"/>
  <c r="I947" i="12"/>
  <c r="J1035" i="12"/>
  <c r="I1035" i="12"/>
  <c r="J792" i="12"/>
  <c r="I792" i="12"/>
  <c r="J1653" i="12"/>
  <c r="I1653" i="12"/>
  <c r="J788" i="12"/>
  <c r="I788" i="12"/>
  <c r="J842" i="12"/>
  <c r="I842" i="12"/>
  <c r="J956" i="12"/>
  <c r="I956" i="12"/>
  <c r="J1301" i="12"/>
  <c r="I1301" i="12"/>
  <c r="J1128" i="12"/>
  <c r="I1128" i="12"/>
  <c r="J1477" i="12"/>
  <c r="I1477" i="12"/>
  <c r="J760" i="12"/>
  <c r="I760" i="12"/>
  <c r="J1055" i="12"/>
  <c r="I1055" i="12"/>
  <c r="J1208" i="12"/>
  <c r="I1208" i="12"/>
  <c r="J1318" i="12"/>
  <c r="I1318" i="12"/>
  <c r="J484" i="12"/>
  <c r="I484" i="12"/>
  <c r="J577" i="12"/>
  <c r="I577" i="12"/>
  <c r="J588" i="12"/>
  <c r="I588" i="12"/>
  <c r="J1669" i="12"/>
  <c r="I1669" i="12"/>
  <c r="J1202" i="12"/>
  <c r="I1202" i="12"/>
  <c r="J1681" i="12"/>
  <c r="I1681" i="12"/>
  <c r="J1657" i="12"/>
  <c r="I1657" i="12"/>
  <c r="J1633" i="12"/>
  <c r="I1633" i="12"/>
  <c r="J476" i="12"/>
  <c r="I476" i="12"/>
  <c r="J1259" i="12"/>
  <c r="I1259" i="12"/>
  <c r="J757" i="12"/>
  <c r="I757" i="12"/>
  <c r="J1702" i="12"/>
  <c r="I1702" i="12"/>
  <c r="J348" i="12"/>
  <c r="I348" i="12"/>
  <c r="J1742" i="12"/>
  <c r="I1742" i="12"/>
  <c r="J519" i="12"/>
  <c r="I519" i="12"/>
  <c r="J816" i="12"/>
  <c r="I816" i="12"/>
  <c r="J534" i="12"/>
  <c r="I534" i="12"/>
  <c r="J1484" i="12"/>
  <c r="I1484" i="12"/>
  <c r="J635" i="12"/>
  <c r="I635" i="12"/>
  <c r="J1173" i="12"/>
  <c r="I1173" i="12"/>
  <c r="J1040" i="12"/>
  <c r="I1040" i="12"/>
  <c r="J1533" i="12"/>
  <c r="I1533" i="12"/>
  <c r="J435" i="12"/>
  <c r="I435" i="12"/>
  <c r="J1227" i="12"/>
  <c r="I1227" i="12"/>
  <c r="J1213" i="12"/>
  <c r="I1213" i="12"/>
  <c r="J821" i="12"/>
  <c r="I821" i="12"/>
  <c r="J1004" i="12"/>
  <c r="I1004" i="12"/>
  <c r="J419" i="12"/>
  <c r="I419" i="12"/>
  <c r="J678" i="12"/>
  <c r="I678" i="12"/>
  <c r="J1200" i="12"/>
  <c r="I1200" i="12"/>
  <c r="J1679" i="12"/>
  <c r="I1679" i="12"/>
  <c r="J888" i="12"/>
  <c r="I888" i="12"/>
  <c r="J1323" i="12"/>
  <c r="I1323" i="12"/>
  <c r="J498" i="12"/>
  <c r="I498" i="12"/>
  <c r="J1494" i="12"/>
  <c r="I1494" i="12"/>
  <c r="J347" i="12"/>
  <c r="I347" i="12"/>
  <c r="J1343" i="12"/>
  <c r="I1343" i="12"/>
  <c r="J1692" i="12"/>
  <c r="I1692" i="12"/>
  <c r="J1515" i="12"/>
  <c r="I1515" i="12"/>
  <c r="J334" i="12"/>
  <c r="I334" i="12"/>
  <c r="J262" i="12"/>
  <c r="I262" i="12"/>
  <c r="J1350" i="12"/>
  <c r="I1350" i="12"/>
  <c r="J739" i="12"/>
  <c r="I739" i="12"/>
  <c r="J1349" i="12"/>
  <c r="I1349" i="12"/>
  <c r="J1389" i="12"/>
  <c r="I1389" i="12"/>
  <c r="J1375" i="12"/>
  <c r="I1375" i="12"/>
  <c r="J1066" i="12"/>
  <c r="I1066" i="12"/>
  <c r="J242" i="12"/>
  <c r="I242" i="12"/>
  <c r="J884" i="12"/>
  <c r="I884" i="12"/>
  <c r="J772" i="12"/>
  <c r="I772" i="12"/>
  <c r="J367" i="12"/>
  <c r="I367" i="12"/>
  <c r="J576" i="12"/>
  <c r="I576" i="12"/>
  <c r="J1144" i="12"/>
  <c r="I1144" i="12"/>
  <c r="J1707" i="12"/>
  <c r="I1707" i="12"/>
  <c r="J803" i="12"/>
  <c r="I803" i="12"/>
  <c r="J1577" i="12"/>
  <c r="I1577" i="12"/>
  <c r="J895" i="12"/>
  <c r="I895" i="12"/>
  <c r="J304" i="12"/>
  <c r="I304" i="12"/>
  <c r="J923" i="12"/>
  <c r="I923" i="12"/>
  <c r="J1297" i="12"/>
  <c r="I1297" i="12"/>
  <c r="J1526" i="12"/>
  <c r="I1526" i="12"/>
  <c r="J858" i="12"/>
  <c r="I858" i="12"/>
  <c r="J385" i="12"/>
  <c r="I385" i="12"/>
  <c r="J1182" i="12"/>
  <c r="I1182" i="12"/>
  <c r="J1799" i="12"/>
  <c r="I1799" i="12"/>
  <c r="J1438" i="12"/>
  <c r="I1438" i="12"/>
  <c r="J1107" i="12"/>
  <c r="I1107" i="12"/>
  <c r="J1777" i="12"/>
  <c r="I1777" i="12"/>
  <c r="J1234" i="12"/>
  <c r="I1234" i="12"/>
  <c r="J1429" i="12"/>
  <c r="I1429" i="12"/>
  <c r="J1736" i="12"/>
  <c r="I1736" i="12"/>
  <c r="J307" i="12"/>
  <c r="I307" i="12"/>
  <c r="J1221" i="12"/>
  <c r="I1221" i="12"/>
  <c r="J1538" i="12"/>
  <c r="I1538" i="12"/>
  <c r="J1237" i="12"/>
  <c r="I1237" i="12"/>
  <c r="J1557" i="12"/>
  <c r="I1557" i="12"/>
  <c r="J197" i="12"/>
  <c r="I197" i="12"/>
  <c r="J976" i="12"/>
  <c r="I976" i="12"/>
  <c r="J944" i="12"/>
  <c r="I944" i="12"/>
  <c r="J1544" i="12"/>
  <c r="I1544" i="12"/>
  <c r="J1071" i="12"/>
  <c r="I1071" i="12"/>
  <c r="J18" i="12"/>
  <c r="I18" i="12"/>
  <c r="J1218" i="12"/>
  <c r="I1218" i="12"/>
  <c r="J1176" i="12"/>
  <c r="I1176" i="12"/>
  <c r="J1421" i="12"/>
  <c r="I1421" i="12"/>
  <c r="J390" i="12"/>
  <c r="I390" i="12"/>
  <c r="J1245" i="12"/>
  <c r="I1245" i="12"/>
  <c r="J1031" i="12"/>
  <c r="I1031" i="12"/>
  <c r="J527" i="12"/>
  <c r="I527" i="12"/>
  <c r="J424" i="12"/>
  <c r="I424" i="12"/>
  <c r="J1529" i="12"/>
  <c r="I1529" i="12"/>
  <c r="J1225" i="12"/>
  <c r="I1225" i="12"/>
  <c r="J1358" i="12"/>
  <c r="I1358" i="12"/>
  <c r="J664" i="12"/>
  <c r="I664" i="12"/>
  <c r="J139" i="12"/>
  <c r="I139" i="12"/>
  <c r="J1663" i="12"/>
  <c r="I1663" i="12"/>
  <c r="J1270" i="12"/>
  <c r="I1270" i="12"/>
  <c r="J1381" i="12"/>
  <c r="I1381" i="12"/>
  <c r="J1377" i="12"/>
  <c r="I1377" i="12"/>
  <c r="J1184" i="12"/>
  <c r="I1184" i="12"/>
  <c r="J1406" i="12"/>
  <c r="I1406" i="12"/>
  <c r="J1068" i="12"/>
  <c r="I1068" i="12"/>
  <c r="J1652" i="12"/>
  <c r="I1652" i="12"/>
  <c r="J689" i="12"/>
  <c r="I689" i="12"/>
  <c r="J808" i="12"/>
  <c r="I808" i="12"/>
  <c r="J679" i="12"/>
  <c r="I679" i="12"/>
  <c r="J542" i="12"/>
  <c r="I542" i="12"/>
  <c r="J100" i="12"/>
  <c r="I100" i="12"/>
  <c r="J246" i="12"/>
  <c r="I246" i="12"/>
  <c r="J1678" i="12"/>
  <c r="I1678" i="12"/>
  <c r="J706" i="12"/>
  <c r="I706" i="12"/>
  <c r="J564" i="12"/>
  <c r="I564" i="12"/>
  <c r="J1155" i="12"/>
  <c r="I1155" i="12"/>
  <c r="J1554" i="12"/>
  <c r="I1554" i="12"/>
  <c r="J1601" i="12"/>
  <c r="I1601" i="12"/>
  <c r="J1338" i="12"/>
  <c r="I1338" i="12"/>
  <c r="J592" i="12"/>
  <c r="I592" i="12"/>
  <c r="J1733" i="12"/>
  <c r="I1733" i="12"/>
  <c r="J1099" i="12"/>
  <c r="I1099" i="12"/>
  <c r="J1347" i="12"/>
  <c r="I1347" i="12"/>
  <c r="J1509" i="12"/>
  <c r="I1509" i="12"/>
  <c r="J1217" i="12"/>
  <c r="I1217" i="12"/>
  <c r="J980" i="12"/>
  <c r="I980" i="12"/>
  <c r="J1333" i="12"/>
  <c r="I1333" i="12"/>
  <c r="J879" i="12"/>
  <c r="I879" i="12"/>
  <c r="J494" i="12"/>
  <c r="I494" i="12"/>
  <c r="J938" i="12"/>
  <c r="I938" i="12"/>
  <c r="J1183" i="12"/>
  <c r="I1183" i="12"/>
  <c r="J165" i="12"/>
  <c r="I165" i="12"/>
  <c r="J1253" i="12"/>
  <c r="I1253" i="12"/>
  <c r="J1731" i="12"/>
  <c r="I1731" i="12"/>
  <c r="J1251" i="12"/>
  <c r="I1251" i="12"/>
  <c r="J690" i="12"/>
  <c r="I690" i="12"/>
  <c r="J357" i="12"/>
  <c r="I357" i="12"/>
  <c r="J243" i="12"/>
  <c r="I243" i="12"/>
  <c r="J998" i="12"/>
  <c r="I998" i="12"/>
  <c r="J890" i="12"/>
  <c r="I890" i="12"/>
  <c r="J1224" i="12"/>
  <c r="I1224" i="12"/>
  <c r="J1010" i="12"/>
  <c r="I1010" i="12"/>
  <c r="J1007" i="12"/>
  <c r="I1007" i="12"/>
  <c r="J571" i="12"/>
  <c r="I571" i="12"/>
  <c r="J548" i="12"/>
  <c r="I548" i="12"/>
  <c r="J10" i="12"/>
  <c r="I10" i="12"/>
  <c r="J137" i="12"/>
  <c r="I137" i="12"/>
  <c r="J1232" i="12"/>
  <c r="I1232" i="12"/>
  <c r="J1328" i="12"/>
  <c r="I1328" i="12"/>
  <c r="J1568" i="12"/>
  <c r="I1568" i="12"/>
  <c r="J1460" i="12"/>
  <c r="I1460" i="12"/>
  <c r="J317" i="12"/>
  <c r="I317" i="12"/>
  <c r="J1386" i="12"/>
  <c r="I1386" i="12"/>
  <c r="J1366" i="12"/>
  <c r="I1366" i="12"/>
  <c r="J918" i="12"/>
  <c r="I918" i="12"/>
  <c r="N8" i="12"/>
  <c r="J877" i="12"/>
  <c r="I877" i="12"/>
  <c r="J125" i="12"/>
  <c r="I125" i="12"/>
  <c r="J908" i="12"/>
  <c r="I908" i="12"/>
  <c r="J979" i="12"/>
  <c r="I979" i="12"/>
  <c r="J1630" i="12"/>
  <c r="I1630" i="12"/>
  <c r="J737" i="12"/>
  <c r="I737" i="12"/>
  <c r="J1026" i="12"/>
  <c r="I1026" i="12"/>
  <c r="J1351" i="12"/>
  <c r="I1351" i="12"/>
  <c r="J293" i="12"/>
  <c r="I293" i="12"/>
  <c r="J55" i="12"/>
  <c r="I55" i="12"/>
  <c r="J1073" i="12"/>
  <c r="I1073" i="12"/>
  <c r="J37" i="12"/>
  <c r="I37" i="12"/>
  <c r="N6" i="12"/>
  <c r="J1442" i="12"/>
  <c r="I1442" i="12"/>
  <c r="J95" i="12"/>
  <c r="I95" i="12"/>
  <c r="J372" i="12"/>
  <c r="I372" i="12"/>
  <c r="J1242" i="12"/>
  <c r="I1242" i="12"/>
  <c r="J1252" i="12"/>
  <c r="I1252" i="12"/>
  <c r="J461" i="12"/>
  <c r="I461" i="12"/>
  <c r="J73" i="12"/>
  <c r="I73" i="12"/>
  <c r="J596" i="12"/>
  <c r="I596" i="12"/>
  <c r="J1006" i="12"/>
  <c r="I1006" i="12"/>
  <c r="J172" i="12"/>
  <c r="I172" i="12"/>
  <c r="J267" i="12"/>
  <c r="I267" i="12"/>
  <c r="J759" i="12"/>
  <c r="I759" i="12"/>
  <c r="J1790" i="12"/>
  <c r="I1790" i="12"/>
  <c r="J1572" i="12"/>
  <c r="I1572" i="12"/>
  <c r="J148" i="12"/>
  <c r="I148" i="12"/>
  <c r="J1275" i="12"/>
  <c r="I1275" i="12"/>
  <c r="J477" i="12"/>
  <c r="I477" i="12"/>
  <c r="J1709" i="12"/>
  <c r="I1709" i="12"/>
  <c r="J775" i="12"/>
  <c r="I775" i="12"/>
  <c r="J958" i="12"/>
  <c r="I958" i="12"/>
  <c r="H3" i="14"/>
  <c r="H3" i="23"/>
  <c r="H3" i="6"/>
  <c r="G4" i="1"/>
  <c r="I4" i="1" s="1"/>
  <c r="M6" i="36" l="1"/>
  <c r="L11" i="36"/>
  <c r="E4" i="38" a="1"/>
  <c r="E4" i="38" s="1"/>
  <c r="E5" i="38" a="1"/>
  <c r="E5" i="38" s="1"/>
  <c r="E3" i="38" a="1"/>
  <c r="E3" i="38" s="1"/>
  <c r="F6" i="12"/>
  <c r="L6" i="36"/>
  <c r="M11" i="36"/>
  <c r="O6" i="12"/>
  <c r="O8" i="12"/>
  <c r="E7" i="21" a="1"/>
  <c r="E7" i="21" s="1"/>
  <c r="H7" i="21" s="1"/>
  <c r="E8" i="21" a="1"/>
  <c r="E8" i="21" s="1"/>
  <c r="E5" i="21" a="1"/>
  <c r="E5" i="21" s="1"/>
  <c r="E3" i="21" a="1"/>
  <c r="E3" i="21" s="1"/>
  <c r="E4" i="21" a="1"/>
  <c r="E4" i="21" s="1"/>
  <c r="E9" i="21" a="1"/>
  <c r="E9" i="21" s="1"/>
  <c r="H9" i="21" s="1"/>
  <c r="H13" i="9"/>
  <c r="H14" i="9"/>
  <c r="F8" i="9"/>
  <c r="F18" i="9"/>
  <c r="F9" i="9"/>
  <c r="F16" i="9"/>
  <c r="F10" i="9"/>
  <c r="F11" i="9"/>
  <c r="F6" i="9"/>
  <c r="H17" i="9"/>
  <c r="G15" i="9"/>
  <c r="G5" i="38" l="1"/>
  <c r="I5" i="38"/>
  <c r="D5" i="38"/>
  <c r="F5" i="38"/>
  <c r="H5" i="38"/>
  <c r="G4" i="38"/>
  <c r="D4" i="38"/>
  <c r="I4" i="38"/>
  <c r="F4" i="38"/>
  <c r="H4" i="38"/>
  <c r="H3" i="38"/>
  <c r="F3" i="38"/>
  <c r="I3" i="38"/>
  <c r="D3" i="38"/>
  <c r="G3" i="38"/>
  <c r="H6" i="12"/>
  <c r="G6" i="12"/>
  <c r="F3" i="21"/>
  <c r="D3" i="21"/>
  <c r="I3" i="21"/>
  <c r="G3" i="21"/>
  <c r="H3" i="21"/>
  <c r="I5" i="21"/>
  <c r="H5" i="21"/>
  <c r="G5" i="21"/>
  <c r="D5" i="21"/>
  <c r="F5" i="21"/>
  <c r="D9" i="21"/>
  <c r="I9" i="21"/>
  <c r="F9" i="21"/>
  <c r="G9" i="21"/>
  <c r="G8" i="21"/>
  <c r="I8" i="21"/>
  <c r="F8" i="21"/>
  <c r="D8" i="21"/>
  <c r="H8" i="21"/>
  <c r="G4" i="21"/>
  <c r="F4" i="21"/>
  <c r="I4" i="21"/>
  <c r="D4" i="21"/>
  <c r="H4" i="21"/>
  <c r="F7" i="21"/>
  <c r="D7" i="21"/>
  <c r="G7" i="21"/>
  <c r="I7" i="21"/>
  <c r="H16" i="9"/>
  <c r="G16" i="9"/>
  <c r="G11" i="9"/>
  <c r="H11" i="9"/>
  <c r="H6" i="9"/>
  <c r="G6" i="9"/>
  <c r="H18" i="9"/>
  <c r="G18" i="9"/>
  <c r="H8" i="9"/>
  <c r="G8" i="9"/>
  <c r="H9" i="9"/>
  <c r="G9" i="9"/>
  <c r="H10" i="9"/>
  <c r="G10" i="9"/>
  <c r="P6" i="12" l="1"/>
  <c r="P8" i="12"/>
  <c r="F7" i="9"/>
  <c r="H7" i="9" s="1"/>
  <c r="F7" i="5"/>
  <c r="H7" i="5" s="1"/>
  <c r="G3" i="19"/>
  <c r="E3" i="19" s="1"/>
  <c r="G5" i="19"/>
  <c r="H5" i="19" s="1"/>
  <c r="G4" i="19"/>
  <c r="I4" i="19" s="1"/>
  <c r="H9" i="19"/>
  <c r="D9" i="19" s="1"/>
  <c r="H13" i="19" l="1"/>
  <c r="D13" i="19" s="1"/>
  <c r="H17" i="19"/>
  <c r="J17" i="19" s="1"/>
  <c r="H19" i="19"/>
  <c r="E19" i="19" s="1"/>
  <c r="H18" i="19"/>
  <c r="G18" i="19" s="1"/>
  <c r="H14" i="19"/>
  <c r="G14" i="19" s="1"/>
  <c r="H7" i="19"/>
  <c r="E7" i="19" s="1"/>
  <c r="H8" i="19"/>
  <c r="E8" i="19" s="1"/>
  <c r="H12" i="19"/>
  <c r="J12" i="19" s="1"/>
  <c r="E5" i="19"/>
  <c r="I7" i="5"/>
  <c r="F9" i="19"/>
  <c r="D4" i="19"/>
  <c r="F3" i="19"/>
  <c r="I9" i="19"/>
  <c r="H4" i="19"/>
  <c r="D5" i="19"/>
  <c r="I5" i="19"/>
  <c r="D3" i="19"/>
  <c r="G7" i="9"/>
  <c r="G9" i="19"/>
  <c r="E4" i="19"/>
  <c r="F5" i="19"/>
  <c r="H3" i="19"/>
  <c r="E9" i="19"/>
  <c r="F4" i="19"/>
  <c r="I3" i="19"/>
  <c r="E13" i="19" l="1"/>
  <c r="J13" i="19"/>
  <c r="F13" i="19"/>
  <c r="G13" i="19"/>
  <c r="I13" i="19"/>
  <c r="F17" i="19"/>
  <c r="D17" i="19"/>
  <c r="G17" i="19"/>
  <c r="I17" i="19"/>
  <c r="E17" i="19"/>
  <c r="E14" i="19"/>
  <c r="D8" i="19"/>
  <c r="J18" i="19"/>
  <c r="D19" i="19"/>
  <c r="J19" i="19"/>
  <c r="G19" i="19"/>
  <c r="F19" i="19"/>
  <c r="I19" i="19"/>
  <c r="F8" i="19"/>
  <c r="E18" i="19"/>
  <c r="D14" i="19"/>
  <c r="J14" i="19"/>
  <c r="F14" i="19"/>
  <c r="D18" i="19"/>
  <c r="G8" i="19" a="1"/>
  <c r="G8" i="19" s="1"/>
  <c r="I8" i="19"/>
  <c r="I14" i="19"/>
  <c r="G12" i="19"/>
  <c r="F18" i="19"/>
  <c r="F12" i="19"/>
  <c r="I18" i="19"/>
  <c r="G7" i="19"/>
  <c r="I7" i="19"/>
  <c r="F7" i="19"/>
  <c r="D7" i="19"/>
  <c r="D12" i="19"/>
  <c r="E12" i="19"/>
  <c r="I12" i="19"/>
</calcChain>
</file>

<file path=xl/sharedStrings.xml><?xml version="1.0" encoding="utf-8"?>
<sst xmlns="http://schemas.openxmlformats.org/spreadsheetml/2006/main" count="431" uniqueCount="257">
  <si>
    <t>出版社</t>
  </si>
  <si>
    <t>购买时间</t>
  </si>
  <si>
    <t>备注</t>
  </si>
  <si>
    <t>购入方式地点</t>
    <phoneticPr fontId="1" type="noConversion"/>
  </si>
  <si>
    <t>亚马逊网购</t>
    <phoneticPr fontId="1" type="noConversion"/>
  </si>
  <si>
    <t>版次</t>
    <phoneticPr fontId="1" type="noConversion"/>
  </si>
  <si>
    <t>当当网购</t>
    <phoneticPr fontId="1" type="noConversion"/>
  </si>
  <si>
    <t>淘宝网购</t>
    <phoneticPr fontId="1" type="noConversion"/>
  </si>
  <si>
    <t>艺术</t>
    <phoneticPr fontId="1" type="noConversion"/>
  </si>
  <si>
    <t>政治法律</t>
    <phoneticPr fontId="1" type="noConversion"/>
  </si>
  <si>
    <t>京东网购</t>
    <phoneticPr fontId="1" type="noConversion"/>
  </si>
  <si>
    <t>总价</t>
    <phoneticPr fontId="1" type="noConversion"/>
  </si>
  <si>
    <t>出版社</t>
    <phoneticPr fontId="1" type="noConversion"/>
  </si>
  <si>
    <t>套数</t>
    <phoneticPr fontId="1" type="noConversion"/>
  </si>
  <si>
    <t>册数</t>
    <phoneticPr fontId="1" type="noConversion"/>
  </si>
  <si>
    <t>册均价</t>
    <phoneticPr fontId="1" type="noConversion"/>
  </si>
  <si>
    <t>购入方式</t>
    <phoneticPr fontId="1" type="noConversion"/>
  </si>
  <si>
    <t>获赠</t>
    <phoneticPr fontId="1" type="noConversion"/>
  </si>
  <si>
    <t>平均折扣</t>
    <phoneticPr fontId="1" type="noConversion"/>
  </si>
  <si>
    <t>购入总价</t>
    <phoneticPr fontId="1" type="noConversion"/>
  </si>
  <si>
    <t>工具书</t>
    <phoneticPr fontId="1" type="noConversion"/>
  </si>
  <si>
    <t>每册均价</t>
    <phoneticPr fontId="1" type="noConversion"/>
  </si>
  <si>
    <t>图书公司</t>
    <phoneticPr fontId="1" type="noConversion"/>
  </si>
  <si>
    <t>历史地理</t>
    <phoneticPr fontId="1" type="noConversion"/>
  </si>
  <si>
    <t>作者国别</t>
    <phoneticPr fontId="1" type="noConversion"/>
  </si>
  <si>
    <t>册均价</t>
    <phoneticPr fontId="1" type="noConversion"/>
  </si>
  <si>
    <t>（赠书价格以标价记）</t>
    <phoneticPr fontId="1" type="noConversion"/>
  </si>
  <si>
    <t>最贵的套书</t>
    <phoneticPr fontId="1" type="noConversion"/>
  </si>
  <si>
    <t>排名</t>
    <phoneticPr fontId="1" type="noConversion"/>
  </si>
  <si>
    <t>书名</t>
    <phoneticPr fontId="1" type="noConversion"/>
  </si>
  <si>
    <t>购入价</t>
    <phoneticPr fontId="1" type="noConversion"/>
  </si>
  <si>
    <t>作者</t>
    <phoneticPr fontId="1" type="noConversion"/>
  </si>
  <si>
    <t>系列</t>
    <phoneticPr fontId="1" type="noConversion"/>
  </si>
  <si>
    <t>北新网购</t>
    <phoneticPr fontId="1" type="noConversion"/>
  </si>
  <si>
    <t>孔夫子网购</t>
    <phoneticPr fontId="1" type="noConversion"/>
  </si>
  <si>
    <t>书店或书展购入</t>
    <phoneticPr fontId="1" type="noConversion"/>
  </si>
  <si>
    <t>文学</t>
    <phoneticPr fontId="1" type="noConversion"/>
  </si>
  <si>
    <t>中国图书网购</t>
    <phoneticPr fontId="1" type="noConversion"/>
  </si>
  <si>
    <t>套装册数</t>
    <phoneticPr fontId="1" type="noConversion"/>
  </si>
  <si>
    <t>备注</t>
    <phoneticPr fontId="1" type="noConversion"/>
  </si>
  <si>
    <t>微店网购</t>
    <phoneticPr fontId="1" type="noConversion"/>
  </si>
  <si>
    <t>心理</t>
    <phoneticPr fontId="1" type="noConversion"/>
  </si>
  <si>
    <t>人民出版社</t>
  </si>
  <si>
    <t>作者</t>
    <phoneticPr fontId="1" type="noConversion"/>
  </si>
  <si>
    <t>折扣最大的书</t>
    <phoneticPr fontId="1" type="noConversion"/>
  </si>
  <si>
    <t>购入日期</t>
    <phoneticPr fontId="1" type="noConversion"/>
  </si>
  <si>
    <t>折扣</t>
    <phoneticPr fontId="1" type="noConversion"/>
  </si>
  <si>
    <t>溢价幅度</t>
    <phoneticPr fontId="1" type="noConversion"/>
  </si>
  <si>
    <t>溢价最高的书</t>
    <phoneticPr fontId="1" type="noConversion"/>
  </si>
  <si>
    <t>折扣幅度</t>
    <phoneticPr fontId="1" type="noConversion"/>
  </si>
  <si>
    <t>作者朝代</t>
    <phoneticPr fontId="1" type="noConversion"/>
  </si>
  <si>
    <t>套数</t>
    <phoneticPr fontId="1" type="noConversion"/>
  </si>
  <si>
    <t>德国</t>
  </si>
  <si>
    <t>官网及官方众筹购入</t>
    <phoneticPr fontId="1" type="noConversion"/>
  </si>
  <si>
    <t>哲学宗教</t>
    <phoneticPr fontId="1" type="noConversion"/>
  </si>
  <si>
    <t>马列毛邓</t>
  </si>
  <si>
    <t>马列毛邓</t>
    <phoneticPr fontId="1" type="noConversion"/>
  </si>
  <si>
    <t>社会科学</t>
    <phoneticPr fontId="1" type="noConversion"/>
  </si>
  <si>
    <t>军事</t>
    <phoneticPr fontId="1" type="noConversion"/>
  </si>
  <si>
    <t>科教文体</t>
    <phoneticPr fontId="1" type="noConversion"/>
  </si>
  <si>
    <t>语言文字</t>
    <phoneticPr fontId="1" type="noConversion"/>
  </si>
  <si>
    <t>生物科学</t>
    <phoneticPr fontId="1" type="noConversion"/>
  </si>
  <si>
    <t>医药卫生</t>
    <phoneticPr fontId="1" type="noConversion"/>
  </si>
  <si>
    <t>农业科学</t>
    <phoneticPr fontId="1" type="noConversion"/>
  </si>
  <si>
    <t>工业技术</t>
    <phoneticPr fontId="1" type="noConversion"/>
  </si>
  <si>
    <t>交通运输</t>
    <phoneticPr fontId="1" type="noConversion"/>
  </si>
  <si>
    <t>航空航天</t>
    <phoneticPr fontId="1" type="noConversion"/>
  </si>
  <si>
    <t>环境科学</t>
    <phoneticPr fontId="1" type="noConversion"/>
  </si>
  <si>
    <t>综合性图书</t>
    <phoneticPr fontId="1" type="noConversion"/>
  </si>
  <si>
    <t>社会与环境、污染和灾害及其防治、废物处理及循环利用、安全科学</t>
    <phoneticPr fontId="1" type="noConversion"/>
  </si>
  <si>
    <r>
      <t>类书、丛书、百科、</t>
    </r>
    <r>
      <rPr>
        <sz val="11"/>
        <color rgb="FFFF0000"/>
        <rFont val="等线"/>
        <family val="2"/>
        <charset val="134"/>
        <scheme val="minor"/>
      </rPr>
      <t>期刊</t>
    </r>
    <r>
      <rPr>
        <sz val="11"/>
        <color theme="1"/>
        <rFont val="等线"/>
        <family val="2"/>
        <charset val="134"/>
        <scheme val="minor"/>
      </rPr>
      <t>、辞典、</t>
    </r>
    <r>
      <rPr>
        <sz val="11"/>
        <color rgb="FFFF0000"/>
        <rFont val="等线"/>
        <family val="2"/>
        <charset val="134"/>
        <scheme val="minor"/>
      </rPr>
      <t>全集</t>
    </r>
    <r>
      <rPr>
        <sz val="11"/>
        <color theme="1"/>
        <rFont val="等线"/>
        <family val="2"/>
        <charset val="134"/>
        <scheme val="minor"/>
      </rPr>
      <t>、选集、杂著、文摘、论文集，但</t>
    </r>
    <r>
      <rPr>
        <sz val="11"/>
        <color theme="4"/>
        <rFont val="等线"/>
        <family val="3"/>
        <charset val="134"/>
        <scheme val="minor"/>
      </rPr>
      <t>百科和辞典</t>
    </r>
    <r>
      <rPr>
        <sz val="11"/>
        <color theme="1"/>
        <rFont val="等线"/>
        <family val="2"/>
        <charset val="134"/>
        <scheme val="minor"/>
      </rPr>
      <t>分出</t>
    </r>
    <phoneticPr fontId="1" type="noConversion"/>
  </si>
  <si>
    <r>
      <t>马列毛邓、恩格斯斯大林著作、</t>
    </r>
    <r>
      <rPr>
        <sz val="11"/>
        <color rgb="FFFF0000"/>
        <rFont val="等线"/>
        <family val="2"/>
        <charset val="134"/>
        <scheme val="minor"/>
      </rPr>
      <t>传记</t>
    </r>
    <r>
      <rPr>
        <sz val="11"/>
        <color theme="1"/>
        <rFont val="等线"/>
        <family val="2"/>
        <charset val="134"/>
        <scheme val="minor"/>
      </rPr>
      <t>、对其学习和研究</t>
    </r>
    <phoneticPr fontId="1" type="noConversion"/>
  </si>
  <si>
    <t>园艺、林艺、植物保护</t>
    <phoneticPr fontId="1" type="noConversion"/>
  </si>
  <si>
    <r>
      <t>原工业技术里的</t>
    </r>
    <r>
      <rPr>
        <sz val="11"/>
        <color theme="4"/>
        <rFont val="等线"/>
        <family val="3"/>
        <charset val="134"/>
        <scheme val="minor"/>
      </rPr>
      <t>建筑科学</t>
    </r>
    <r>
      <rPr>
        <sz val="11"/>
        <color theme="1"/>
        <rFont val="等线"/>
        <family val="2"/>
        <charset val="134"/>
        <scheme val="minor"/>
      </rPr>
      <t>和艺术中的</t>
    </r>
    <r>
      <rPr>
        <sz val="11"/>
        <color theme="4"/>
        <rFont val="等线"/>
        <family val="3"/>
        <charset val="134"/>
        <scheme val="minor"/>
      </rPr>
      <t>建筑艺术</t>
    </r>
    <phoneticPr fontId="1" type="noConversion"/>
  </si>
  <si>
    <r>
      <t>管理学、统计学、人口学（</t>
    </r>
    <r>
      <rPr>
        <sz val="11"/>
        <color rgb="FFFF0000"/>
        <rFont val="等线"/>
        <family val="2"/>
        <charset val="134"/>
        <scheme val="minor"/>
      </rPr>
      <t>计生政策</t>
    </r>
    <r>
      <rPr>
        <sz val="11"/>
        <color theme="1"/>
        <rFont val="等线"/>
        <family val="2"/>
        <charset val="134"/>
        <scheme val="minor"/>
      </rPr>
      <t>）、民族学、劳动科学等</t>
    </r>
    <phoneticPr fontId="1" type="noConversion"/>
  </si>
  <si>
    <r>
      <t>天文、测绘、大气、地质、海洋、自然地理学（</t>
    </r>
    <r>
      <rPr>
        <sz val="11"/>
        <color rgb="FFFF0000"/>
        <rFont val="等线"/>
        <family val="2"/>
        <charset val="134"/>
        <scheme val="minor"/>
      </rPr>
      <t>需区分与历史地理中的地理</t>
    </r>
    <r>
      <rPr>
        <sz val="11"/>
        <color theme="1"/>
        <rFont val="等线"/>
        <family val="2"/>
        <charset val="134"/>
        <scheme val="minor"/>
      </rPr>
      <t>）</t>
    </r>
    <phoneticPr fontId="1" type="noConversion"/>
  </si>
  <si>
    <t>天文与地球科学</t>
    <phoneticPr fontId="1" type="noConversion"/>
  </si>
  <si>
    <r>
      <t>历史、</t>
    </r>
    <r>
      <rPr>
        <sz val="11"/>
        <color rgb="FFFF0000"/>
        <rFont val="等线"/>
        <family val="2"/>
        <charset val="134"/>
        <scheme val="minor"/>
      </rPr>
      <t>传记</t>
    </r>
    <r>
      <rPr>
        <sz val="11"/>
        <color theme="1"/>
        <rFont val="等线"/>
        <family val="2"/>
        <charset val="134"/>
        <scheme val="minor"/>
      </rPr>
      <t>、</t>
    </r>
    <r>
      <rPr>
        <sz val="11"/>
        <color rgb="FFFF0000"/>
        <rFont val="等线"/>
        <family val="2"/>
        <charset val="134"/>
        <scheme val="minor"/>
      </rPr>
      <t>考古</t>
    </r>
    <r>
      <rPr>
        <sz val="11"/>
        <color theme="1"/>
        <rFont val="等线"/>
        <family val="2"/>
        <charset val="134"/>
        <scheme val="minor"/>
      </rPr>
      <t>、</t>
    </r>
    <r>
      <rPr>
        <sz val="11"/>
        <color rgb="FFFF0000"/>
        <rFont val="等线"/>
        <family val="2"/>
        <charset val="134"/>
        <scheme val="minor"/>
      </rPr>
      <t>风俗习惯（吃穿住行节礼等）</t>
    </r>
    <r>
      <rPr>
        <sz val="11"/>
        <color theme="1"/>
        <rFont val="等线"/>
        <family val="2"/>
        <charset val="134"/>
        <scheme val="minor"/>
      </rPr>
      <t>、地理（需区分与地球科学中的地理）</t>
    </r>
    <phoneticPr fontId="1" type="noConversion"/>
  </si>
  <si>
    <r>
      <t>百科</t>
    </r>
    <r>
      <rPr>
        <sz val="11"/>
        <rFont val="等线"/>
        <family val="2"/>
        <charset val="134"/>
        <scheme val="minor"/>
      </rPr>
      <t>和</t>
    </r>
    <r>
      <rPr>
        <sz val="11"/>
        <color theme="4"/>
        <rFont val="等线"/>
        <family val="3"/>
        <charset val="134"/>
        <scheme val="minor"/>
      </rPr>
      <t>辞典，包括专业查询手册</t>
    </r>
    <r>
      <rPr>
        <sz val="11"/>
        <rFont val="等线"/>
        <family val="2"/>
        <charset val="134"/>
        <scheme val="minor"/>
      </rPr>
      <t>如中国野外鸟类手册、地图集</t>
    </r>
    <phoneticPr fontId="1" type="noConversion"/>
  </si>
  <si>
    <t>数理及化学</t>
    <phoneticPr fontId="1" type="noConversion"/>
  </si>
  <si>
    <t>各国军事、战略学、纳入间谍学</t>
    <phoneticPr fontId="1" type="noConversion"/>
  </si>
  <si>
    <r>
      <t>哲学、宗教、逻辑、伦理、</t>
    </r>
    <r>
      <rPr>
        <sz val="11"/>
        <rFont val="等线"/>
        <family val="2"/>
        <charset val="134"/>
        <scheme val="minor"/>
      </rPr>
      <t>美学</t>
    </r>
    <r>
      <rPr>
        <sz val="11"/>
        <color theme="1"/>
        <rFont val="等线"/>
        <family val="2"/>
        <charset val="134"/>
        <scheme val="minor"/>
      </rPr>
      <t>、心理，但把</t>
    </r>
    <r>
      <rPr>
        <sz val="11"/>
        <color theme="4"/>
        <rFont val="等线"/>
        <family val="3"/>
        <charset val="134"/>
        <scheme val="minor"/>
      </rPr>
      <t>心理、美学</t>
    </r>
    <r>
      <rPr>
        <sz val="11"/>
        <color theme="1"/>
        <rFont val="等线"/>
        <family val="2"/>
        <charset val="134"/>
        <scheme val="minor"/>
      </rPr>
      <t>分出，纳入</t>
    </r>
    <r>
      <rPr>
        <sz val="11"/>
        <color rgb="FFFF0000"/>
        <rFont val="等线"/>
        <family val="2"/>
        <charset val="134"/>
        <scheme val="minor"/>
      </rPr>
      <t>思想</t>
    </r>
    <phoneticPr fontId="1" type="noConversion"/>
  </si>
  <si>
    <t>党派、革命、工农妇青组织、外交、国际关系、历史政治制度</t>
    <phoneticPr fontId="1" type="noConversion"/>
  </si>
  <si>
    <r>
      <t>采矿、冶金、材料、石油天然气、机械、能源、武器、</t>
    </r>
    <r>
      <rPr>
        <sz val="11"/>
        <color rgb="FFFF0000"/>
        <rFont val="等线"/>
        <family val="2"/>
        <charset val="134"/>
        <scheme val="minor"/>
      </rPr>
      <t>计算机、信息技术</t>
    </r>
    <r>
      <rPr>
        <sz val="11"/>
        <color theme="1"/>
        <rFont val="等线"/>
        <family val="2"/>
        <charset val="134"/>
        <scheme val="minor"/>
      </rPr>
      <t>、建筑水利科学，但分出</t>
    </r>
    <r>
      <rPr>
        <sz val="11"/>
        <color theme="4"/>
        <rFont val="等线"/>
        <family val="3"/>
        <charset val="134"/>
        <scheme val="minor"/>
      </rPr>
      <t>建筑科学</t>
    </r>
    <phoneticPr fontId="1" type="noConversion"/>
  </si>
  <si>
    <r>
      <t>细胞生物学、生理学、生物学、遗传学、分子生物学、</t>
    </r>
    <r>
      <rPr>
        <sz val="11"/>
        <color rgb="FFFF0000"/>
        <rFont val="等线"/>
        <family val="2"/>
        <charset val="134"/>
        <scheme val="minor"/>
      </rPr>
      <t>人类学，古生物学、动物学、植物学、昆虫学</t>
    </r>
    <phoneticPr fontId="1" type="noConversion"/>
  </si>
  <si>
    <t>建筑</t>
    <phoneticPr fontId="1" type="noConversion"/>
  </si>
  <si>
    <r>
      <t>科学，</t>
    </r>
    <r>
      <rPr>
        <sz val="11"/>
        <color rgb="FFFF0000"/>
        <rFont val="等线"/>
        <family val="2"/>
        <charset val="134"/>
        <scheme val="minor"/>
      </rPr>
      <t>文化</t>
    </r>
    <r>
      <rPr>
        <sz val="11"/>
        <color theme="1"/>
        <rFont val="等线"/>
        <family val="2"/>
        <charset val="134"/>
        <scheme val="minor"/>
      </rPr>
      <t>，教育，体育，纳入</t>
    </r>
    <r>
      <rPr>
        <sz val="11"/>
        <color rgb="FFFF0000"/>
        <rFont val="等线"/>
        <family val="2"/>
        <charset val="134"/>
        <scheme val="minor"/>
      </rPr>
      <t>美食（等足够多再分不迟）</t>
    </r>
    <phoneticPr fontId="1" type="noConversion"/>
  </si>
  <si>
    <t>序号</t>
    <phoneticPr fontId="1" type="noConversion"/>
  </si>
  <si>
    <t>序号</t>
    <phoneticPr fontId="1" type="noConversion"/>
  </si>
  <si>
    <t>最便宜的书册</t>
    <phoneticPr fontId="1" type="noConversion"/>
  </si>
  <si>
    <t>国别</t>
    <phoneticPr fontId="1" type="noConversion"/>
  </si>
  <si>
    <t>朝代</t>
    <phoneticPr fontId="1" type="noConversion"/>
  </si>
  <si>
    <t>评分</t>
    <phoneticPr fontId="1" type="noConversion"/>
  </si>
  <si>
    <t>个人私下交易</t>
    <phoneticPr fontId="1" type="noConversion"/>
  </si>
  <si>
    <t>漫画绘本</t>
    <phoneticPr fontId="1" type="noConversion"/>
  </si>
  <si>
    <t>印次</t>
    <phoneticPr fontId="1" type="noConversion"/>
  </si>
  <si>
    <t>第二版</t>
    <phoneticPr fontId="1" type="noConversion"/>
  </si>
  <si>
    <t>第三版及以后</t>
    <phoneticPr fontId="1" type="noConversion"/>
  </si>
  <si>
    <t>第三次印刷及以后</t>
    <phoneticPr fontId="1" type="noConversion"/>
  </si>
  <si>
    <t>页数</t>
    <phoneticPr fontId="1" type="noConversion"/>
  </si>
  <si>
    <t>装帧</t>
    <phoneticPr fontId="1" type="noConversion"/>
  </si>
  <si>
    <t>锁线平装</t>
    <phoneticPr fontId="1" type="noConversion"/>
  </si>
  <si>
    <t>定价</t>
    <phoneticPr fontId="1" type="noConversion"/>
  </si>
  <si>
    <t>系列册数</t>
    <phoneticPr fontId="1" type="noConversion"/>
  </si>
  <si>
    <t>平装</t>
    <phoneticPr fontId="1" type="noConversion"/>
  </si>
  <si>
    <t>软精装</t>
    <phoneticPr fontId="1" type="noConversion"/>
  </si>
  <si>
    <t>普通平装</t>
    <phoneticPr fontId="1" type="noConversion"/>
  </si>
  <si>
    <t>函套</t>
    <phoneticPr fontId="1" type="noConversion"/>
  </si>
  <si>
    <t>盒装</t>
    <phoneticPr fontId="1" type="noConversion"/>
  </si>
  <si>
    <t>页数最多的套书</t>
    <phoneticPr fontId="1" type="noConversion"/>
  </si>
  <si>
    <t>页数最少的书册</t>
    <phoneticPr fontId="1" type="noConversion"/>
  </si>
  <si>
    <t>文字排版</t>
    <phoneticPr fontId="1" type="noConversion"/>
  </si>
  <si>
    <t>竖排繁体</t>
    <phoneticPr fontId="1" type="noConversion"/>
  </si>
  <si>
    <t>签名本</t>
    <phoneticPr fontId="1" type="noConversion"/>
  </si>
  <si>
    <t>第十次印刷及以后</t>
    <phoneticPr fontId="1" type="noConversion"/>
  </si>
  <si>
    <t>布面精装</t>
    <phoneticPr fontId="1" type="noConversion"/>
  </si>
  <si>
    <t>皮面精装</t>
    <phoneticPr fontId="1" type="noConversion"/>
  </si>
  <si>
    <t>册数</t>
  </si>
  <si>
    <t>套数</t>
  </si>
  <si>
    <t>ISBN</t>
    <phoneticPr fontId="1" type="noConversion"/>
  </si>
  <si>
    <t>每册均价</t>
  </si>
  <si>
    <t>分类方法：基于国图分类法修改</t>
    <phoneticPr fontId="1" type="noConversion"/>
  </si>
  <si>
    <t>类别总数：</t>
    <phoneticPr fontId="1" type="noConversion"/>
  </si>
  <si>
    <t>序号</t>
    <phoneticPr fontId="1" type="noConversion"/>
  </si>
  <si>
    <t>类别</t>
  </si>
  <si>
    <t>公司总数：</t>
    <phoneticPr fontId="1" type="noConversion"/>
  </si>
  <si>
    <t>册数</t>
    <phoneticPr fontId="1" type="noConversion"/>
  </si>
  <si>
    <t>购入总价</t>
  </si>
  <si>
    <t>平均折扣</t>
  </si>
  <si>
    <t>多抓鱼网购</t>
    <phoneticPr fontId="1" type="noConversion"/>
  </si>
  <si>
    <t>/</t>
    <phoneticPr fontId="1" type="noConversion"/>
  </si>
  <si>
    <t>类别</t>
    <phoneticPr fontId="1" type="noConversion"/>
  </si>
  <si>
    <t>系列</t>
  </si>
  <si>
    <t>系列总数：</t>
    <phoneticPr fontId="1" type="noConversion"/>
  </si>
  <si>
    <t>系列总册数</t>
  </si>
  <si>
    <t>当前书目总套数：</t>
    <phoneticPr fontId="1" type="noConversion"/>
  </si>
  <si>
    <t>当前书目总册数：</t>
    <phoneticPr fontId="1" type="noConversion"/>
  </si>
  <si>
    <t>购入时间</t>
  </si>
  <si>
    <t>册均价 For 统计</t>
    <phoneticPr fontId="1" type="noConversion"/>
  </si>
  <si>
    <t>系列名 For 统计</t>
    <phoneticPr fontId="1" type="noConversion"/>
  </si>
  <si>
    <t>第一作者 For 统计</t>
    <phoneticPr fontId="1" type="noConversion"/>
  </si>
  <si>
    <t>第四作者 For 统计</t>
    <phoneticPr fontId="1" type="noConversion"/>
  </si>
  <si>
    <t>作者 For 统计</t>
    <phoneticPr fontId="1" type="noConversion"/>
  </si>
  <si>
    <t>第二作者 For 统计</t>
    <phoneticPr fontId="1" type="noConversion"/>
  </si>
  <si>
    <t>第三作者 For 统计</t>
    <phoneticPr fontId="1" type="noConversion"/>
  </si>
  <si>
    <t>中国古籍朝代统计</t>
    <phoneticPr fontId="1" type="noConversion"/>
  </si>
  <si>
    <t>原著国别统计</t>
    <phoneticPr fontId="1" type="noConversion"/>
  </si>
  <si>
    <t>作者总数：</t>
    <phoneticPr fontId="1" type="noConversion"/>
  </si>
  <si>
    <t>经历换货</t>
    <phoneticPr fontId="1" type="noConversion"/>
  </si>
  <si>
    <t>未拆封</t>
    <phoneticPr fontId="1" type="noConversion"/>
  </si>
  <si>
    <t>册均价</t>
    <phoneticPr fontId="1" type="noConversion"/>
  </si>
  <si>
    <t xml:space="preserve">                  出版社统计</t>
    <phoneticPr fontId="1" type="noConversion"/>
  </si>
  <si>
    <t xml:space="preserve">               作者统计</t>
    <phoneticPr fontId="1" type="noConversion"/>
  </si>
  <si>
    <t>收藏进度</t>
  </si>
  <si>
    <t>收藏进度 For 统计</t>
    <phoneticPr fontId="1" type="noConversion"/>
  </si>
  <si>
    <t>既有册数</t>
  </si>
  <si>
    <t>中国古籍</t>
    <phoneticPr fontId="1" type="noConversion"/>
  </si>
  <si>
    <t>意外下架</t>
    <phoneticPr fontId="1" type="noConversion"/>
  </si>
  <si>
    <t>总定价</t>
    <phoneticPr fontId="1" type="noConversion"/>
  </si>
  <si>
    <t>总消费</t>
    <phoneticPr fontId="1" type="noConversion"/>
  </si>
  <si>
    <t>总套数</t>
    <phoneticPr fontId="1" type="noConversion"/>
  </si>
  <si>
    <t>总册数</t>
    <phoneticPr fontId="1" type="noConversion"/>
  </si>
  <si>
    <t>海外原版</t>
    <phoneticPr fontId="1" type="noConversion"/>
  </si>
  <si>
    <t>布脊精装</t>
    <phoneticPr fontId="1" type="noConversion"/>
  </si>
  <si>
    <t>箱装</t>
    <phoneticPr fontId="1" type="noConversion"/>
  </si>
  <si>
    <t>译者 For 统计</t>
    <phoneticPr fontId="1" type="noConversion"/>
  </si>
  <si>
    <t>第一译者 For 统计</t>
    <phoneticPr fontId="1" type="noConversion"/>
  </si>
  <si>
    <t>第二译者 For 统计</t>
    <phoneticPr fontId="1" type="noConversion"/>
  </si>
  <si>
    <t>第三译者 For 统计</t>
    <phoneticPr fontId="1" type="noConversion"/>
  </si>
  <si>
    <t>第四译者 For 统计</t>
    <phoneticPr fontId="1" type="noConversion"/>
  </si>
  <si>
    <t xml:space="preserve">              译者统计</t>
    <phoneticPr fontId="1" type="noConversion"/>
  </si>
  <si>
    <t>译者总数：</t>
    <phoneticPr fontId="1" type="noConversion"/>
  </si>
  <si>
    <t>译者</t>
    <phoneticPr fontId="1" type="noConversion"/>
  </si>
  <si>
    <t>藏书票</t>
    <phoneticPr fontId="1" type="noConversion"/>
  </si>
  <si>
    <t>钤印本</t>
    <phoneticPr fontId="1" type="noConversion"/>
  </si>
  <si>
    <t>国基金项目</t>
    <phoneticPr fontId="1" type="noConversion"/>
  </si>
  <si>
    <t xml:space="preserve">    第一次印刷            </t>
    <phoneticPr fontId="1" type="noConversion"/>
  </si>
  <si>
    <t xml:space="preserve">      第二次印刷            </t>
    <phoneticPr fontId="1" type="noConversion"/>
  </si>
  <si>
    <t>编者总数：</t>
    <phoneticPr fontId="1" type="noConversion"/>
  </si>
  <si>
    <t xml:space="preserve">              编者统计</t>
    <phoneticPr fontId="1" type="noConversion"/>
  </si>
  <si>
    <t>编者 For 统计</t>
    <phoneticPr fontId="1" type="noConversion"/>
  </si>
  <si>
    <t>第一编者 For 统计</t>
    <phoneticPr fontId="1" type="noConversion"/>
  </si>
  <si>
    <t>第二编者 For 统计</t>
    <phoneticPr fontId="1" type="noConversion"/>
  </si>
  <si>
    <t>第三编者 For 统计</t>
    <phoneticPr fontId="1" type="noConversion"/>
  </si>
  <si>
    <t>编者</t>
    <phoneticPr fontId="1" type="noConversion"/>
  </si>
  <si>
    <t>裸脊锁线平装</t>
    <phoneticPr fontId="1" type="noConversion"/>
  </si>
  <si>
    <t>(空白)</t>
  </si>
  <si>
    <t>首版首印</t>
    <phoneticPr fontId="1" type="noConversion"/>
  </si>
  <si>
    <t>版次最旧的套书</t>
    <phoneticPr fontId="1" type="noConversion"/>
  </si>
  <si>
    <t>印次最多的套书</t>
    <phoneticPr fontId="1" type="noConversion"/>
  </si>
  <si>
    <t>印刷数量</t>
    <phoneticPr fontId="1" type="noConversion"/>
  </si>
  <si>
    <t>系列数</t>
    <phoneticPr fontId="1" type="noConversion"/>
  </si>
  <si>
    <t>精装</t>
    <phoneticPr fontId="1" type="noConversion"/>
  </si>
  <si>
    <t>汉</t>
  </si>
  <si>
    <t>存放地</t>
    <phoneticPr fontId="1" type="noConversion"/>
  </si>
  <si>
    <t>游戏及游戏相关画册、攻略、设定集、背景故事、创作故事、访谈等</t>
    <phoneticPr fontId="1" type="noConversion"/>
  </si>
  <si>
    <t>游戏相关</t>
    <phoneticPr fontId="1" type="noConversion"/>
  </si>
  <si>
    <r>
      <t>字数</t>
    </r>
    <r>
      <rPr>
        <sz val="8"/>
        <color theme="0"/>
        <rFont val="等线"/>
        <family val="3"/>
        <charset val="134"/>
        <scheme val="minor"/>
      </rPr>
      <t>（千字）</t>
    </r>
    <phoneticPr fontId="1" type="noConversion"/>
  </si>
  <si>
    <t>字数最多的套书</t>
    <phoneticPr fontId="1" type="noConversion"/>
  </si>
  <si>
    <t>字数最少的书册</t>
    <phoneticPr fontId="1" type="noConversion"/>
  </si>
  <si>
    <t xml:space="preserve">       购入方式统计</t>
    <phoneticPr fontId="1" type="noConversion"/>
  </si>
  <si>
    <t xml:space="preserve">                   类别统计</t>
    <phoneticPr fontId="1" type="noConversion"/>
  </si>
  <si>
    <t xml:space="preserve">               图书公司统计</t>
    <phoneticPr fontId="1" type="noConversion"/>
  </si>
  <si>
    <t xml:space="preserve">                 系列统计</t>
    <phoneticPr fontId="1" type="noConversion"/>
  </si>
  <si>
    <r>
      <t>经济</t>
    </r>
    <r>
      <rPr>
        <sz val="11"/>
        <color theme="4"/>
        <rFont val="等线"/>
        <family val="3"/>
        <charset val="134"/>
        <scheme val="minor"/>
      </rPr>
      <t>管理</t>
    </r>
  </si>
  <si>
    <r>
      <t>字数</t>
    </r>
    <r>
      <rPr>
        <b/>
        <sz val="9"/>
        <color theme="1"/>
        <rFont val="等线"/>
        <family val="3"/>
        <charset val="134"/>
        <scheme val="minor"/>
      </rPr>
      <t>（千字）</t>
    </r>
    <phoneticPr fontId="1" type="noConversion"/>
  </si>
  <si>
    <t xml:space="preserve">        版次印次统计</t>
    <phoneticPr fontId="1" type="noConversion"/>
  </si>
  <si>
    <t xml:space="preserve">       购入时间统计</t>
    <phoneticPr fontId="1" type="noConversion"/>
  </si>
  <si>
    <r>
      <t>书法、绘画、雕塑、建筑、音乐、舞蹈、戏曲、影视、摄影，但把</t>
    </r>
    <r>
      <rPr>
        <sz val="11"/>
        <color theme="4"/>
        <rFont val="等线"/>
        <family val="3"/>
        <charset val="134"/>
        <scheme val="minor"/>
      </rPr>
      <t>建筑</t>
    </r>
    <r>
      <rPr>
        <sz val="11"/>
        <color theme="1"/>
        <rFont val="等线"/>
        <family val="2"/>
        <charset val="134"/>
        <scheme val="minor"/>
      </rPr>
      <t>分出，纳入</t>
    </r>
    <r>
      <rPr>
        <sz val="11"/>
        <color rgb="FFFF0000"/>
        <rFont val="等线"/>
        <family val="2"/>
        <charset val="134"/>
        <scheme val="minor"/>
      </rPr>
      <t>美学</t>
    </r>
    <phoneticPr fontId="1" type="noConversion"/>
  </si>
  <si>
    <t>硬壳精装</t>
    <phoneticPr fontId="1" type="noConversion"/>
  </si>
  <si>
    <t>纸衣硬精装</t>
    <phoneticPr fontId="1" type="noConversion"/>
  </si>
  <si>
    <t>筒页线装</t>
    <phoneticPr fontId="1" type="noConversion"/>
  </si>
  <si>
    <t>袋装</t>
    <phoneticPr fontId="1" type="noConversion"/>
  </si>
  <si>
    <t>书页</t>
    <phoneticPr fontId="1" type="noConversion"/>
  </si>
  <si>
    <t xml:space="preserve">      装订</t>
    <phoneticPr fontId="1" type="noConversion"/>
  </si>
  <si>
    <t>包装</t>
    <phoneticPr fontId="1" type="noConversion"/>
  </si>
  <si>
    <t>筒页</t>
    <phoneticPr fontId="1" type="noConversion"/>
  </si>
  <si>
    <t>散页</t>
    <phoneticPr fontId="1" type="noConversion"/>
  </si>
  <si>
    <t>毛边</t>
    <phoneticPr fontId="1" type="noConversion"/>
  </si>
  <si>
    <t>港台新书籍</t>
    <phoneticPr fontId="1" type="noConversion"/>
  </si>
  <si>
    <t xml:space="preserve">kgj </t>
    <phoneticPr fontId="1" type="noConversion"/>
  </si>
  <si>
    <t xml:space="preserve"> </t>
    <phoneticPr fontId="1" type="noConversion"/>
  </si>
  <si>
    <t xml:space="preserve"> VB                                                                                   </t>
    <phoneticPr fontId="1" type="noConversion"/>
  </si>
  <si>
    <t>978-7-5306-4114-X</t>
    <phoneticPr fontId="1" type="noConversion"/>
  </si>
  <si>
    <t>马克思恩格斯选集1</t>
    <phoneticPr fontId="1" type="noConversion"/>
  </si>
  <si>
    <t>马克思恩格斯选集2</t>
  </si>
  <si>
    <t>马克思恩格斯选集3</t>
  </si>
  <si>
    <t>马克思恩格斯选集4</t>
  </si>
  <si>
    <t>列宁选集1</t>
    <phoneticPr fontId="1" type="noConversion"/>
  </si>
  <si>
    <t>列宁选集2</t>
  </si>
  <si>
    <t>列宁选集3</t>
  </si>
  <si>
    <t>列宁选集4</t>
  </si>
  <si>
    <t>人民出版社</t>
    <phoneticPr fontId="1" type="noConversion"/>
  </si>
  <si>
    <t>马恩列斯毛著作</t>
  </si>
  <si>
    <t>马恩列斯毛著作</t>
    <phoneticPr fontId="1" type="noConversion"/>
  </si>
  <si>
    <t>中央编译局</t>
  </si>
  <si>
    <t>精装</t>
    <phoneticPr fontId="1" type="noConversion"/>
  </si>
  <si>
    <t>横排</t>
    <phoneticPr fontId="1" type="noConversion"/>
  </si>
  <si>
    <t>淘宝网购</t>
    <phoneticPr fontId="1" type="noConversion"/>
  </si>
  <si>
    <t>家</t>
  </si>
  <si>
    <t>100188-1</t>
    <phoneticPr fontId="1" type="noConversion"/>
  </si>
  <si>
    <t>100188-2</t>
  </si>
  <si>
    <t>100188-3</t>
  </si>
  <si>
    <t>100188-4</t>
  </si>
  <si>
    <t>国家</t>
  </si>
  <si>
    <t>国家</t>
    <phoneticPr fontId="1" type="noConversion"/>
  </si>
  <si>
    <t>[苏俄]列宁</t>
  </si>
  <si>
    <t>苏俄</t>
  </si>
  <si>
    <t>已拆封</t>
    <phoneticPr fontId="1" type="noConversion"/>
  </si>
  <si>
    <t xml:space="preserve"> 中央编译局</t>
  </si>
  <si>
    <t>中共中央马克思恩格斯列宁斯大林著作编译局</t>
    <phoneticPr fontId="1" type="noConversion"/>
  </si>
  <si>
    <t>[德国]恩格斯/著   中央编译局/主编</t>
    <phoneticPr fontId="1" type="noConversion"/>
  </si>
  <si>
    <t>[德国]恩格斯</t>
  </si>
  <si>
    <t>[苏俄]列宁/著  中央编译局/主编</t>
    <phoneticPr fontId="1" type="noConversion"/>
  </si>
  <si>
    <t>(汉)列宁/著  中央编译局/主编</t>
    <phoneticPr fontId="1" type="noConversion"/>
  </si>
  <si>
    <t>(汉)列宁</t>
  </si>
  <si>
    <t>ps:()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</si>
</sst>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176" formatCode="&quot;¥&quot;#,##0.00_);[Red]\(&quot;¥&quot;#,##0.00\)"/>
    <numFmt numFmtId="177" formatCode="&quot;¥&quot;#,##0.00_);\(&quot;¥&quot;#,##0.00\)"/>
    <numFmt numFmtId="178" formatCode="0_);[Red]\(0\)"/>
    <numFmt numFmtId="179" formatCode="0.00_ "/>
    <numFmt numFmtId="180" formatCode="0.0%"/>
    <numFmt numFmtId="181" formatCode="[$NT$-404]#,##0.00_);[Red]\([$NT$-404]#,##0.00\)"/>
    <numFmt numFmtId="182" formatCode="0.0_ "/>
    <numFmt numFmtId="183" formatCode="0.00_);[Red]\(0.00\)"/>
    <numFmt numFmtId="184" formatCode="yyyy&quot;年&quot;mm&quot;月&quot;&quot;第&quot;d&quot;版&quot;"/>
    <numFmt numFmtId="185" formatCode="yyyy&quot;年&quot;mm&quot;月&quot;&quot;第&quot;d&quot;次印刷&quot;"/>
    <numFmt numFmtId="186" formatCode="#,##0_);[Red]\(#,##0\)"/>
    <numFmt numFmtId="188" formatCode="yyyy/m/d;@"/>
    <numFmt numFmtId="189" formatCode="&quot;¥&quot;#,##0.0_);[Red]\(&quot;¥&quot;#,##0.0\)"/>
    <numFmt numFmtId="190" formatCode="yyyy&quot;年&quot;m&quot;月第&quot;d&quot;版&quot;"/>
    <numFmt numFmtId="191" formatCode="#,##0.00_);[Red]\(#,##0.00\)"/>
    <numFmt numFmtId="192" formatCode="yyyy&quot;年&quot;m&quot;月第&quot;d&quot;次印刷&quot;"/>
  </numFmts>
  <fonts count="3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8"/>
      <color theme="4" tint="-0.249977111117893"/>
      <name val="等线"/>
      <family val="3"/>
      <charset val="134"/>
      <scheme val="minor"/>
    </font>
    <font>
      <sz val="11"/>
      <color theme="4"/>
      <name val="等线"/>
      <family val="3"/>
      <charset val="134"/>
      <scheme val="minor"/>
    </font>
    <font>
      <sz val="11"/>
      <color theme="4"/>
      <name val="等线"/>
      <family val="2"/>
      <charset val="134"/>
      <scheme val="minor"/>
    </font>
    <font>
      <b/>
      <sz val="16"/>
      <color theme="4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8"/>
      <color theme="4"/>
      <name val="等线"/>
      <family val="3"/>
      <charset val="134"/>
      <scheme val="minor"/>
    </font>
    <font>
      <b/>
      <sz val="11"/>
      <color theme="1"/>
      <name val="Arial"/>
      <family val="2"/>
    </font>
    <font>
      <b/>
      <sz val="10"/>
      <color theme="4"/>
      <name val="等线"/>
      <family val="3"/>
      <charset val="134"/>
      <scheme val="minor"/>
    </font>
    <font>
      <sz val="28"/>
      <color theme="4" tint="-0.249977111117893"/>
      <name val="等线"/>
      <family val="3"/>
      <charset val="134"/>
      <scheme val="minor"/>
    </font>
    <font>
      <sz val="11"/>
      <color theme="4" tint="-0.249977111117893"/>
      <name val="等线"/>
      <family val="3"/>
      <charset val="134"/>
      <scheme val="minor"/>
    </font>
    <font>
      <sz val="11"/>
      <color theme="4"/>
      <name val="Arial"/>
      <family val="2"/>
    </font>
    <font>
      <sz val="28"/>
      <name val="等线"/>
      <family val="3"/>
      <charset val="134"/>
      <scheme val="minor"/>
    </font>
    <font>
      <b/>
      <sz val="11"/>
      <color theme="1"/>
      <name val="等线"/>
      <family val="2"/>
      <charset val="134"/>
      <scheme val="minor"/>
    </font>
    <font>
      <b/>
      <sz val="20"/>
      <color theme="4"/>
      <name val="等线"/>
      <family val="3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theme="4" tint="-0.249977111117893"/>
      <name val="等线"/>
      <family val="3"/>
      <charset val="134"/>
      <scheme val="minor"/>
    </font>
    <font>
      <b/>
      <sz val="11"/>
      <color theme="4"/>
      <name val="等线"/>
      <family val="3"/>
      <charset val="134"/>
      <scheme val="minor"/>
    </font>
    <font>
      <sz val="28"/>
      <color theme="4"/>
      <name val="等线"/>
      <family val="3"/>
      <charset val="134"/>
      <scheme val="minor"/>
    </font>
    <font>
      <b/>
      <sz val="14"/>
      <color theme="4"/>
      <name val="等线"/>
      <family val="3"/>
      <charset val="134"/>
      <scheme val="minor"/>
    </font>
    <font>
      <b/>
      <sz val="14"/>
      <color theme="0"/>
      <name val="等线"/>
      <family val="3"/>
      <charset val="134"/>
      <scheme val="minor"/>
    </font>
    <font>
      <sz val="8"/>
      <color theme="0"/>
      <name val="等线"/>
      <family val="3"/>
      <charset val="134"/>
      <scheme val="minor"/>
    </font>
    <font>
      <sz val="11"/>
      <color theme="1" tint="0.14999847407452621"/>
      <name val="等线"/>
      <family val="3"/>
      <charset val="134"/>
      <scheme val="minor"/>
    </font>
    <font>
      <b/>
      <sz val="9"/>
      <color theme="1"/>
      <name val="等线"/>
      <family val="3"/>
      <charset val="134"/>
      <scheme val="minor"/>
    </font>
    <font>
      <sz val="28"/>
      <color theme="0"/>
      <name val="等线"/>
      <family val="3"/>
      <charset val="134"/>
      <scheme val="minor"/>
    </font>
    <font>
      <sz val="8"/>
      <color rgb="FF1111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/>
        <bgColor theme="4" tint="0.79998168889431442"/>
      </patternFill>
    </fill>
  </fills>
  <borders count="2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0"/>
      </right>
      <top/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181" fontId="0" fillId="0" borderId="0">
      <alignment vertical="center"/>
    </xf>
    <xf numFmtId="0" fontId="13" fillId="0" borderId="0">
      <alignment vertical="center"/>
    </xf>
    <xf numFmtId="181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3" fillId="0" borderId="0" applyBorder="0" applyAlignment="0" applyProtection="0">
      <alignment vertical="center"/>
    </xf>
    <xf numFmtId="0" fontId="3" fillId="0" borderId="0" applyFill="0" applyBorder="0" applyAlignment="0" applyProtection="0">
      <alignment vertical="center"/>
    </xf>
  </cellStyleXfs>
  <cellXfs count="425">
    <xf numFmtId="181" fontId="0" fillId="0" borderId="0" xfId="0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181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181" fontId="6" fillId="0" borderId="0" xfId="0" applyFont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81" fontId="0" fillId="0" borderId="0" xfId="0" applyAlignment="1">
      <alignment horizontal="center" vertical="center"/>
    </xf>
    <xf numFmtId="181" fontId="0" fillId="4" borderId="0" xfId="0" applyFill="1">
      <alignment vertical="center"/>
    </xf>
    <xf numFmtId="181" fontId="15" fillId="0" borderId="0" xfId="0" applyFont="1">
      <alignment vertical="center"/>
    </xf>
    <xf numFmtId="178" fontId="15" fillId="0" borderId="0" xfId="0" applyNumberFormat="1" applyFont="1">
      <alignment vertical="center"/>
    </xf>
    <xf numFmtId="181" fontId="15" fillId="0" borderId="0" xfId="0" applyFont="1" applyAlignment="1">
      <alignment horizontal="center" vertical="center"/>
    </xf>
    <xf numFmtId="181" fontId="0" fillId="2" borderId="0" xfId="0" applyFill="1">
      <alignment vertical="center"/>
    </xf>
    <xf numFmtId="181" fontId="20" fillId="2" borderId="0" xfId="0" applyFont="1" applyFill="1">
      <alignment vertical="center"/>
    </xf>
    <xf numFmtId="178" fontId="20" fillId="2" borderId="0" xfId="0" applyNumberFormat="1" applyFont="1" applyFill="1" applyAlignment="1">
      <alignment horizontal="right" vertical="center"/>
    </xf>
    <xf numFmtId="14" fontId="20" fillId="2" borderId="0" xfId="0" applyNumberFormat="1" applyFont="1" applyFill="1">
      <alignment vertical="center"/>
    </xf>
    <xf numFmtId="176" fontId="20" fillId="2" borderId="0" xfId="0" applyNumberFormat="1" applyFont="1" applyFill="1">
      <alignment vertical="center"/>
    </xf>
    <xf numFmtId="178" fontId="20" fillId="2" borderId="0" xfId="0" applyNumberFormat="1" applyFont="1" applyFill="1">
      <alignment vertical="center"/>
    </xf>
    <xf numFmtId="176" fontId="16" fillId="2" borderId="0" xfId="0" applyNumberFormat="1" applyFont="1" applyFill="1" applyAlignment="1">
      <alignment horizontal="left" vertical="center"/>
    </xf>
    <xf numFmtId="181" fontId="16" fillId="2" borderId="0" xfId="0" applyFont="1" applyFill="1" applyAlignment="1">
      <alignment horizontal="left" vertical="center"/>
    </xf>
    <xf numFmtId="176" fontId="6" fillId="0" borderId="0" xfId="0" applyNumberFormat="1" applyFont="1" applyAlignment="1">
      <alignment horizontal="left" vertical="center" wrapText="1"/>
    </xf>
    <xf numFmtId="10" fontId="6" fillId="0" borderId="0" xfId="0" applyNumberFormat="1" applyFont="1" applyAlignment="1">
      <alignment horizontal="left" vertical="center" wrapText="1"/>
    </xf>
    <xf numFmtId="178" fontId="6" fillId="0" borderId="0" xfId="0" applyNumberFormat="1" applyFont="1" applyAlignment="1">
      <alignment horizontal="left" vertical="center" wrapText="1"/>
    </xf>
    <xf numFmtId="0" fontId="6" fillId="0" borderId="0" xfId="0" applyNumberFormat="1" applyFont="1" applyAlignment="1">
      <alignment horizontal="left" vertical="center" wrapText="1"/>
    </xf>
    <xf numFmtId="0" fontId="20" fillId="2" borderId="0" xfId="0" applyNumberFormat="1" applyFont="1" applyFill="1">
      <alignment vertical="center"/>
    </xf>
    <xf numFmtId="181" fontId="23" fillId="2" borderId="0" xfId="0" applyFont="1" applyFill="1">
      <alignment vertical="center"/>
    </xf>
    <xf numFmtId="181" fontId="7" fillId="4" borderId="2" xfId="0" applyFont="1" applyFill="1" applyBorder="1" applyAlignment="1">
      <alignment horizontal="center" vertical="center"/>
    </xf>
    <xf numFmtId="181" fontId="0" fillId="2" borderId="0" xfId="0" applyFill="1" applyAlignment="1">
      <alignment horizontal="left" vertical="center"/>
    </xf>
    <xf numFmtId="186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183" fontId="0" fillId="2" borderId="0" xfId="0" applyNumberFormat="1" applyFill="1">
      <alignment vertical="center"/>
    </xf>
    <xf numFmtId="176" fontId="0" fillId="2" borderId="0" xfId="0" applyNumberFormat="1" applyFill="1" applyAlignment="1">
      <alignment horizontal="right" vertical="center"/>
    </xf>
    <xf numFmtId="181" fontId="0" fillId="2" borderId="2" xfId="0" applyFill="1" applyBorder="1" applyAlignment="1">
      <alignment horizontal="left" vertical="center"/>
    </xf>
    <xf numFmtId="181" fontId="0" fillId="4" borderId="0" xfId="0" applyFill="1" applyAlignment="1">
      <alignment horizontal="center" vertical="center"/>
    </xf>
    <xf numFmtId="178" fontId="24" fillId="4" borderId="0" xfId="0" applyNumberFormat="1" applyFont="1" applyFill="1" applyAlignment="1">
      <alignment horizontal="center" vertical="center"/>
    </xf>
    <xf numFmtId="181" fontId="0" fillId="2" borderId="2" xfId="0" applyFill="1" applyBorder="1">
      <alignment vertical="center"/>
    </xf>
    <xf numFmtId="181" fontId="11" fillId="2" borderId="2" xfId="0" applyFont="1" applyFill="1" applyBorder="1">
      <alignment vertical="center"/>
    </xf>
    <xf numFmtId="181" fontId="10" fillId="2" borderId="2" xfId="0" applyFont="1" applyFill="1" applyBorder="1">
      <alignment vertical="center"/>
    </xf>
    <xf numFmtId="178" fontId="0" fillId="2" borderId="2" xfId="0" applyNumberFormat="1" applyFill="1" applyBorder="1" applyAlignment="1">
      <alignment horizontal="center" vertical="center"/>
    </xf>
    <xf numFmtId="186" fontId="0" fillId="2" borderId="0" xfId="0" applyNumberFormat="1" applyFill="1" applyAlignment="1">
      <alignment horizontal="center" vertical="center"/>
    </xf>
    <xf numFmtId="178" fontId="0" fillId="2" borderId="10" xfId="0" applyNumberFormat="1" applyFill="1" applyBorder="1" applyAlignment="1">
      <alignment horizontal="center" vertical="center"/>
    </xf>
    <xf numFmtId="178" fontId="0" fillId="2" borderId="0" xfId="0" applyNumberFormat="1" applyFill="1" applyAlignment="1">
      <alignment horizontal="center" vertical="center"/>
    </xf>
    <xf numFmtId="0" fontId="18" fillId="2" borderId="0" xfId="0" applyNumberFormat="1" applyFont="1" applyFill="1">
      <alignment vertical="center"/>
    </xf>
    <xf numFmtId="0" fontId="0" fillId="2" borderId="0" xfId="0" applyNumberFormat="1" applyFill="1">
      <alignment vertical="center"/>
    </xf>
    <xf numFmtId="0" fontId="0" fillId="2" borderId="0" xfId="0" applyNumberFormat="1" applyFill="1" applyAlignment="1">
      <alignment horizontal="center" vertical="center"/>
    </xf>
    <xf numFmtId="176" fontId="17" fillId="2" borderId="1" xfId="0" applyNumberFormat="1" applyFont="1" applyFill="1" applyBorder="1">
      <alignment vertical="center"/>
    </xf>
    <xf numFmtId="176" fontId="19" fillId="2" borderId="0" xfId="0" applyNumberFormat="1" applyFont="1" applyFill="1" applyAlignment="1">
      <alignment horizontal="right"/>
    </xf>
    <xf numFmtId="176" fontId="17" fillId="2" borderId="8" xfId="0" applyNumberFormat="1" applyFont="1" applyFill="1" applyBorder="1">
      <alignment vertical="center"/>
    </xf>
    <xf numFmtId="183" fontId="17" fillId="2" borderId="4" xfId="0" applyNumberFormat="1" applyFont="1" applyFill="1" applyBorder="1">
      <alignment vertical="center"/>
    </xf>
    <xf numFmtId="183" fontId="17" fillId="2" borderId="9" xfId="0" applyNumberFormat="1" applyFont="1" applyFill="1" applyBorder="1">
      <alignment vertical="center"/>
    </xf>
    <xf numFmtId="178" fontId="19" fillId="2" borderId="6" xfId="0" applyNumberFormat="1" applyFont="1" applyFill="1" applyBorder="1" applyAlignment="1">
      <alignment horizontal="left"/>
    </xf>
    <xf numFmtId="183" fontId="24" fillId="4" borderId="0" xfId="0" applyNumberFormat="1" applyFont="1" applyFill="1">
      <alignment vertical="center"/>
    </xf>
    <xf numFmtId="178" fontId="7" fillId="4" borderId="2" xfId="0" applyNumberFormat="1" applyFont="1" applyFill="1" applyBorder="1" applyAlignment="1">
      <alignment horizontal="center" vertical="center"/>
    </xf>
    <xf numFmtId="181" fontId="0" fillId="2" borderId="0" xfId="0" applyFill="1" applyAlignment="1">
      <alignment horizontal="center" vertical="center"/>
    </xf>
    <xf numFmtId="176" fontId="0" fillId="2" borderId="2" xfId="0" applyNumberFormat="1" applyFill="1" applyBorder="1">
      <alignment vertical="center"/>
    </xf>
    <xf numFmtId="178" fontId="22" fillId="2" borderId="0" xfId="0" applyNumberFormat="1" applyFont="1" applyFill="1" applyAlignment="1">
      <alignment horizontal="center" vertical="center"/>
    </xf>
    <xf numFmtId="178" fontId="12" fillId="2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0" fontId="19" fillId="2" borderId="0" xfId="0" applyNumberFormat="1" applyFont="1" applyFill="1">
      <alignment vertical="center"/>
    </xf>
    <xf numFmtId="178" fontId="8" fillId="6" borderId="0" xfId="0" applyNumberFormat="1" applyFont="1" applyFill="1" applyAlignment="1">
      <alignment horizontal="center" vertical="center"/>
    </xf>
    <xf numFmtId="178" fontId="17" fillId="2" borderId="0" xfId="0" applyNumberFormat="1" applyFont="1" applyFill="1" applyAlignment="1">
      <alignment horizontal="center" vertical="center"/>
    </xf>
    <xf numFmtId="49" fontId="12" fillId="2" borderId="0" xfId="0" applyNumberFormat="1" applyFont="1" applyFill="1">
      <alignment vertical="center"/>
    </xf>
    <xf numFmtId="49" fontId="0" fillId="2" borderId="0" xfId="0" applyNumberFormat="1" applyFill="1">
      <alignment vertical="center"/>
    </xf>
    <xf numFmtId="0" fontId="0" fillId="2" borderId="2" xfId="0" applyNumberFormat="1" applyFill="1" applyBorder="1" applyAlignment="1">
      <alignment horizontal="center" vertical="center"/>
    </xf>
    <xf numFmtId="0" fontId="0" fillId="2" borderId="2" xfId="0" applyNumberFormat="1" applyFill="1" applyBorder="1">
      <alignment vertical="center"/>
    </xf>
    <xf numFmtId="177" fontId="0" fillId="2" borderId="2" xfId="0" applyNumberFormat="1" applyFill="1" applyBorder="1">
      <alignment vertical="center"/>
    </xf>
    <xf numFmtId="0" fontId="0" fillId="4" borderId="2" xfId="0" applyNumberFormat="1" applyFill="1" applyBorder="1" applyAlignment="1">
      <alignment horizontal="center" vertical="center"/>
    </xf>
    <xf numFmtId="181" fontId="0" fillId="4" borderId="2" xfId="0" applyFill="1" applyBorder="1" applyAlignment="1">
      <alignment horizontal="center" vertical="center"/>
    </xf>
    <xf numFmtId="183" fontId="0" fillId="2" borderId="2" xfId="0" applyNumberFormat="1" applyFill="1" applyBorder="1">
      <alignment vertical="center"/>
    </xf>
    <xf numFmtId="183" fontId="15" fillId="4" borderId="2" xfId="0" applyNumberFormat="1" applyFont="1" applyFill="1" applyBorder="1" applyAlignment="1">
      <alignment horizontal="center" vertical="center"/>
    </xf>
    <xf numFmtId="38" fontId="0" fillId="2" borderId="2" xfId="0" applyNumberFormat="1" applyFill="1" applyBorder="1">
      <alignment vertical="center"/>
    </xf>
    <xf numFmtId="0" fontId="0" fillId="2" borderId="4" xfId="0" applyNumberFormat="1" applyFill="1" applyBorder="1" applyAlignment="1">
      <alignment horizontal="center" vertical="center"/>
    </xf>
    <xf numFmtId="181" fontId="0" fillId="2" borderId="10" xfId="0" applyFill="1" applyBorder="1">
      <alignment vertical="center"/>
    </xf>
    <xf numFmtId="0" fontId="0" fillId="2" borderId="10" xfId="0" applyNumberFormat="1" applyFill="1" applyBorder="1">
      <alignment vertical="center"/>
    </xf>
    <xf numFmtId="177" fontId="0" fillId="2" borderId="10" xfId="0" applyNumberFormat="1" applyFill="1" applyBorder="1">
      <alignment vertical="center"/>
    </xf>
    <xf numFmtId="183" fontId="0" fillId="2" borderId="3" xfId="0" applyNumberFormat="1" applyFill="1" applyBorder="1">
      <alignment vertical="center"/>
    </xf>
    <xf numFmtId="177" fontId="0" fillId="2" borderId="0" xfId="0" applyNumberFormat="1" applyFill="1">
      <alignment vertical="center"/>
    </xf>
    <xf numFmtId="183" fontId="0" fillId="2" borderId="2" xfId="0" applyNumberFormat="1" applyFill="1" applyBorder="1" applyAlignment="1">
      <alignment horizontal="center" vertical="center"/>
    </xf>
    <xf numFmtId="181" fontId="0" fillId="0" borderId="4" xfId="0" applyBorder="1">
      <alignment vertical="center"/>
    </xf>
    <xf numFmtId="181" fontId="0" fillId="0" borderId="6" xfId="0" applyBorder="1">
      <alignment vertical="center"/>
    </xf>
    <xf numFmtId="181" fontId="0" fillId="0" borderId="9" xfId="0" applyBorder="1">
      <alignment vertical="center"/>
    </xf>
    <xf numFmtId="0" fontId="0" fillId="0" borderId="2" xfId="0" applyNumberFormat="1" applyBorder="1" applyAlignment="1">
      <alignment horizontal="center" vertical="center"/>
    </xf>
    <xf numFmtId="181" fontId="15" fillId="0" borderId="2" xfId="0" applyFont="1" applyBorder="1" applyAlignment="1">
      <alignment horizontal="center" vertical="center"/>
    </xf>
    <xf numFmtId="181" fontId="0" fillId="0" borderId="2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6" fontId="15" fillId="0" borderId="2" xfId="0" applyNumberFormat="1" applyFont="1" applyBorder="1">
      <alignment vertical="center"/>
    </xf>
    <xf numFmtId="14" fontId="0" fillId="0" borderId="2" xfId="0" applyNumberFormat="1" applyBorder="1" applyAlignment="1">
      <alignment horizontal="right" vertical="center"/>
    </xf>
    <xf numFmtId="0" fontId="0" fillId="0" borderId="2" xfId="0" applyNumberFormat="1" applyBorder="1" applyAlignment="1">
      <alignment horizontal="right" vertical="center"/>
    </xf>
    <xf numFmtId="176" fontId="0" fillId="0" borderId="2" xfId="0" applyNumberFormat="1" applyBorder="1">
      <alignment vertical="center"/>
    </xf>
    <xf numFmtId="176" fontId="0" fillId="0" borderId="2" xfId="0" applyNumberFormat="1" applyBorder="1" applyAlignment="1">
      <alignment horizontal="right" vertical="center"/>
    </xf>
    <xf numFmtId="181" fontId="0" fillId="0" borderId="2" xfId="0" applyBorder="1" applyAlignment="1">
      <alignment horizontal="right" vertical="center"/>
    </xf>
    <xf numFmtId="177" fontId="0" fillId="0" borderId="2" xfId="0" applyNumberFormat="1" applyBorder="1" applyAlignment="1">
      <alignment horizontal="right" vertical="center"/>
    </xf>
    <xf numFmtId="177" fontId="15" fillId="0" borderId="2" xfId="0" applyNumberFormat="1" applyFont="1" applyBorder="1" applyAlignment="1">
      <alignment horizontal="center" vertical="center"/>
    </xf>
    <xf numFmtId="10" fontId="15" fillId="0" borderId="2" xfId="0" applyNumberFormat="1" applyFont="1" applyBorder="1">
      <alignment vertical="center"/>
    </xf>
    <xf numFmtId="10" fontId="15" fillId="0" borderId="2" xfId="0" applyNumberFormat="1" applyFont="1" applyBorder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181" fontId="15" fillId="2" borderId="0" xfId="0" applyFont="1" applyFill="1">
      <alignment vertical="center"/>
    </xf>
    <xf numFmtId="178" fontId="15" fillId="0" borderId="2" xfId="0" applyNumberFormat="1" applyFont="1" applyBorder="1" applyAlignment="1">
      <alignment horizontal="center" vertical="center"/>
    </xf>
    <xf numFmtId="186" fontId="15" fillId="0" borderId="2" xfId="0" applyNumberFormat="1" applyFont="1" applyBorder="1" applyAlignment="1">
      <alignment horizontal="right" vertical="center"/>
    </xf>
    <xf numFmtId="178" fontId="15" fillId="0" borderId="2" xfId="0" applyNumberFormat="1" applyFont="1" applyBorder="1" applyAlignment="1">
      <alignment horizontal="right" vertical="center"/>
    </xf>
    <xf numFmtId="38" fontId="0" fillId="2" borderId="0" xfId="0" applyNumberFormat="1" applyFill="1">
      <alignment vertical="center"/>
    </xf>
    <xf numFmtId="177" fontId="0" fillId="2" borderId="0" xfId="0" applyNumberFormat="1" applyFill="1" applyAlignment="1">
      <alignment horizontal="right" vertical="center"/>
    </xf>
    <xf numFmtId="0" fontId="15" fillId="2" borderId="0" xfId="0" applyNumberFormat="1" applyFont="1" applyFill="1">
      <alignment vertical="center"/>
    </xf>
    <xf numFmtId="0" fontId="8" fillId="3" borderId="2" xfId="0" applyNumberFormat="1" applyFont="1" applyFill="1" applyBorder="1" applyAlignment="1">
      <alignment horizontal="center" vertical="center"/>
    </xf>
    <xf numFmtId="0" fontId="0" fillId="6" borderId="2" xfId="0" applyNumberFormat="1" applyFill="1" applyBorder="1">
      <alignment vertical="center"/>
    </xf>
    <xf numFmtId="181" fontId="7" fillId="3" borderId="2" xfId="0" applyFont="1" applyFill="1" applyBorder="1" applyAlignment="1">
      <alignment horizontal="center" vertical="center"/>
    </xf>
    <xf numFmtId="0" fontId="15" fillId="2" borderId="2" xfId="0" applyNumberFormat="1" applyFont="1" applyFill="1" applyBorder="1">
      <alignment vertical="center"/>
    </xf>
    <xf numFmtId="183" fontId="24" fillId="4" borderId="0" xfId="0" applyNumberFormat="1" applyFon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7" fillId="4" borderId="11" xfId="0" applyNumberFormat="1" applyFont="1" applyFill="1" applyBorder="1" applyAlignment="1">
      <alignment horizontal="center" vertical="center"/>
    </xf>
    <xf numFmtId="178" fontId="19" fillId="2" borderId="0" xfId="0" applyNumberFormat="1" applyFont="1" applyFill="1" applyAlignment="1">
      <alignment horizontal="left"/>
    </xf>
    <xf numFmtId="183" fontId="17" fillId="2" borderId="1" xfId="0" applyNumberFormat="1" applyFont="1" applyFill="1" applyBorder="1">
      <alignment vertical="center"/>
    </xf>
    <xf numFmtId="10" fontId="0" fillId="0" borderId="0" xfId="0" applyNumberFormat="1">
      <alignment vertical="center"/>
    </xf>
    <xf numFmtId="10" fontId="0" fillId="2" borderId="0" xfId="0" applyNumberFormat="1" applyFill="1">
      <alignment vertical="center"/>
    </xf>
    <xf numFmtId="181" fontId="6" fillId="2" borderId="0" xfId="0" applyFont="1" applyFill="1" applyAlignment="1">
      <alignment horizontal="left" vertical="center"/>
    </xf>
    <xf numFmtId="0" fontId="6" fillId="2" borderId="0" xfId="0" applyNumberFormat="1" applyFont="1" applyFill="1" applyAlignment="1">
      <alignment horizontal="left" vertical="center"/>
    </xf>
    <xf numFmtId="181" fontId="0" fillId="0" borderId="2" xfId="0" applyBorder="1">
      <alignment vertical="center"/>
    </xf>
    <xf numFmtId="0" fontId="0" fillId="0" borderId="2" xfId="0" applyNumberFormat="1" applyBorder="1">
      <alignment vertical="center"/>
    </xf>
    <xf numFmtId="179" fontId="0" fillId="0" borderId="2" xfId="0" applyNumberFormat="1" applyBorder="1" applyAlignment="1">
      <alignment horizontal="right" vertical="center"/>
    </xf>
    <xf numFmtId="182" fontId="0" fillId="0" borderId="2" xfId="0" applyNumberFormat="1" applyBorder="1" applyAlignment="1">
      <alignment horizontal="right" vertical="center"/>
    </xf>
    <xf numFmtId="0" fontId="5" fillId="0" borderId="2" xfId="0" applyNumberFormat="1" applyFont="1" applyBorder="1" applyAlignment="1">
      <alignment horizontal="left" vertical="center"/>
    </xf>
    <xf numFmtId="0" fontId="6" fillId="0" borderId="2" xfId="0" applyNumberFormat="1" applyFont="1" applyBorder="1" applyAlignment="1">
      <alignment horizontal="left" vertical="center"/>
    </xf>
    <xf numFmtId="176" fontId="6" fillId="0" borderId="2" xfId="0" applyNumberFormat="1" applyFont="1" applyBorder="1" applyAlignment="1">
      <alignment horizontal="left" vertical="center"/>
    </xf>
    <xf numFmtId="40" fontId="6" fillId="0" borderId="2" xfId="0" applyNumberFormat="1" applyFont="1" applyBorder="1" applyAlignment="1">
      <alignment horizontal="left" vertical="center"/>
    </xf>
    <xf numFmtId="181" fontId="6" fillId="0" borderId="2" xfId="0" applyFont="1" applyBorder="1" applyAlignment="1">
      <alignment horizontal="left" vertical="center"/>
    </xf>
    <xf numFmtId="176" fontId="0" fillId="0" borderId="2" xfId="0" applyNumberFormat="1" applyBorder="1" applyAlignment="1">
      <alignment horizontal="center" vertical="center"/>
    </xf>
    <xf numFmtId="176" fontId="6" fillId="0" borderId="11" xfId="0" applyNumberFormat="1" applyFont="1" applyBorder="1" applyAlignment="1">
      <alignment horizontal="left" vertical="center"/>
    </xf>
    <xf numFmtId="180" fontId="6" fillId="0" borderId="11" xfId="0" applyNumberFormat="1" applyFont="1" applyBorder="1" applyAlignment="1">
      <alignment horizontal="left" vertical="center"/>
    </xf>
    <xf numFmtId="0" fontId="5" fillId="0" borderId="11" xfId="0" applyNumberFormat="1" applyFont="1" applyBorder="1" applyAlignment="1">
      <alignment horizontal="left" vertical="center"/>
    </xf>
    <xf numFmtId="181" fontId="5" fillId="0" borderId="11" xfId="0" applyFont="1" applyBorder="1" applyAlignment="1">
      <alignment horizontal="left" vertical="center"/>
    </xf>
    <xf numFmtId="0" fontId="6" fillId="0" borderId="11" xfId="0" applyNumberFormat="1" applyFont="1" applyBorder="1" applyAlignment="1">
      <alignment horizontal="left" vertical="center"/>
    </xf>
    <xf numFmtId="181" fontId="27" fillId="2" borderId="1" xfId="0" applyFont="1" applyFill="1" applyBorder="1">
      <alignment vertical="center"/>
    </xf>
    <xf numFmtId="181" fontId="27" fillId="2" borderId="4" xfId="0" applyFont="1" applyFill="1" applyBorder="1">
      <alignment vertical="center"/>
    </xf>
    <xf numFmtId="181" fontId="27" fillId="2" borderId="8" xfId="0" applyFont="1" applyFill="1" applyBorder="1">
      <alignment vertical="center"/>
    </xf>
    <xf numFmtId="181" fontId="27" fillId="2" borderId="9" xfId="0" applyFont="1" applyFill="1" applyBorder="1">
      <alignment vertical="center"/>
    </xf>
    <xf numFmtId="0" fontId="16" fillId="2" borderId="0" xfId="0" applyNumberFormat="1" applyFont="1" applyFill="1" applyAlignment="1">
      <alignment horizontal="left" vertical="center"/>
    </xf>
    <xf numFmtId="181" fontId="4" fillId="2" borderId="0" xfId="0" applyFont="1" applyFill="1" applyAlignment="1">
      <alignment horizontal="left" vertical="center"/>
    </xf>
    <xf numFmtId="181" fontId="14" fillId="2" borderId="0" xfId="0" applyFont="1" applyFill="1" applyAlignment="1">
      <alignment horizontal="left" vertical="center"/>
    </xf>
    <xf numFmtId="181" fontId="16" fillId="2" borderId="0" xfId="0" applyFont="1" applyFill="1">
      <alignment vertical="center"/>
    </xf>
    <xf numFmtId="181" fontId="13" fillId="2" borderId="0" xfId="0" applyFont="1" applyFill="1" applyAlignment="1">
      <alignment horizontal="left" vertical="center"/>
    </xf>
    <xf numFmtId="0" fontId="14" fillId="2" borderId="0" xfId="0" applyNumberFormat="1" applyFont="1" applyFill="1" applyAlignment="1">
      <alignment horizontal="left" vertical="center"/>
    </xf>
    <xf numFmtId="0" fontId="16" fillId="2" borderId="0" xfId="0" applyNumberFormat="1" applyFont="1" applyFill="1" applyAlignment="1">
      <alignment horizontal="center" vertical="center"/>
    </xf>
    <xf numFmtId="0" fontId="16" fillId="2" borderId="0" xfId="0" applyNumberFormat="1" applyFont="1" applyFill="1">
      <alignment vertical="center"/>
    </xf>
    <xf numFmtId="188" fontId="16" fillId="2" borderId="0" xfId="0" applyNumberFormat="1" applyFont="1" applyFill="1" applyAlignment="1">
      <alignment horizontal="left" vertical="center"/>
    </xf>
    <xf numFmtId="178" fontId="16" fillId="2" borderId="0" xfId="0" applyNumberFormat="1" applyFont="1" applyFill="1">
      <alignment vertical="center"/>
    </xf>
    <xf numFmtId="49" fontId="6" fillId="2" borderId="0" xfId="0" applyNumberFormat="1" applyFont="1" applyFill="1" applyAlignment="1">
      <alignment horizontal="left" vertical="center"/>
    </xf>
    <xf numFmtId="181" fontId="10" fillId="2" borderId="0" xfId="0" applyFont="1" applyFill="1" applyAlignment="1">
      <alignment horizontal="right" vertical="top"/>
    </xf>
    <xf numFmtId="186" fontId="10" fillId="2" borderId="0" xfId="0" applyNumberFormat="1" applyFont="1" applyFill="1" applyAlignment="1">
      <alignment horizontal="left" vertical="top"/>
    </xf>
    <xf numFmtId="0" fontId="7" fillId="3" borderId="2" xfId="0" applyNumberFormat="1" applyFont="1" applyFill="1" applyBorder="1" applyAlignment="1">
      <alignment horizontal="center" vertical="center"/>
    </xf>
    <xf numFmtId="181" fontId="28" fillId="2" borderId="0" xfId="0" applyFont="1" applyFill="1" applyAlignment="1">
      <alignment horizontal="center" vertical="center"/>
    </xf>
    <xf numFmtId="0" fontId="28" fillId="2" borderId="0" xfId="0" applyNumberFormat="1" applyFont="1" applyFill="1" applyAlignment="1">
      <alignment horizontal="center" vertical="center"/>
    </xf>
    <xf numFmtId="181" fontId="20" fillId="2" borderId="1" xfId="0" applyFont="1" applyFill="1" applyBorder="1">
      <alignment vertical="center"/>
    </xf>
    <xf numFmtId="178" fontId="20" fillId="2" borderId="1" xfId="0" applyNumberFormat="1" applyFont="1" applyFill="1" applyBorder="1" applyAlignment="1">
      <alignment horizontal="right" vertical="center"/>
    </xf>
    <xf numFmtId="0" fontId="20" fillId="2" borderId="1" xfId="0" applyNumberFormat="1" applyFont="1" applyFill="1" applyBorder="1">
      <alignment vertical="center"/>
    </xf>
    <xf numFmtId="14" fontId="20" fillId="2" borderId="1" xfId="0" applyNumberFormat="1" applyFont="1" applyFill="1" applyBorder="1">
      <alignment vertical="center"/>
    </xf>
    <xf numFmtId="176" fontId="20" fillId="2" borderId="1" xfId="0" applyNumberFormat="1" applyFont="1" applyFill="1" applyBorder="1">
      <alignment vertical="center"/>
    </xf>
    <xf numFmtId="178" fontId="20" fillId="2" borderId="1" xfId="0" applyNumberFormat="1" applyFont="1" applyFill="1" applyBorder="1">
      <alignment vertical="center"/>
    </xf>
    <xf numFmtId="181" fontId="20" fillId="2" borderId="8" xfId="0" applyFont="1" applyFill="1" applyBorder="1">
      <alignment vertical="center"/>
    </xf>
    <xf numFmtId="178" fontId="20" fillId="2" borderId="8" xfId="0" applyNumberFormat="1" applyFont="1" applyFill="1" applyBorder="1" applyAlignment="1">
      <alignment horizontal="right" vertical="center"/>
    </xf>
    <xf numFmtId="0" fontId="20" fillId="2" borderId="8" xfId="0" applyNumberFormat="1" applyFont="1" applyFill="1" applyBorder="1">
      <alignment vertical="center"/>
    </xf>
    <xf numFmtId="14" fontId="20" fillId="2" borderId="8" xfId="0" applyNumberFormat="1" applyFont="1" applyFill="1" applyBorder="1">
      <alignment vertical="center"/>
    </xf>
    <xf numFmtId="176" fontId="20" fillId="2" borderId="8" xfId="0" applyNumberFormat="1" applyFont="1" applyFill="1" applyBorder="1">
      <alignment vertical="center"/>
    </xf>
    <xf numFmtId="178" fontId="20" fillId="2" borderId="8" xfId="0" applyNumberFormat="1" applyFont="1" applyFill="1" applyBorder="1">
      <alignment vertical="center"/>
    </xf>
    <xf numFmtId="181" fontId="29" fillId="2" borderId="1" xfId="0" applyFont="1" applyFill="1" applyBorder="1">
      <alignment vertical="center"/>
    </xf>
    <xf numFmtId="181" fontId="29" fillId="2" borderId="0" xfId="0" applyFont="1" applyFill="1" applyAlignment="1">
      <alignment horizontal="center" vertical="center"/>
    </xf>
    <xf numFmtId="181" fontId="29" fillId="2" borderId="0" xfId="0" applyFont="1" applyFill="1">
      <alignment vertical="center"/>
    </xf>
    <xf numFmtId="181" fontId="29" fillId="2" borderId="8" xfId="0" applyFont="1" applyFill="1" applyBorder="1">
      <alignment vertical="center"/>
    </xf>
    <xf numFmtId="178" fontId="28" fillId="2" borderId="0" xfId="0" applyNumberFormat="1" applyFont="1" applyFill="1" applyAlignment="1">
      <alignment horizontal="center" vertical="center"/>
    </xf>
    <xf numFmtId="189" fontId="28" fillId="2" borderId="0" xfId="0" applyNumberFormat="1" applyFont="1" applyFill="1" applyAlignment="1">
      <alignment horizontal="center" vertical="center"/>
    </xf>
    <xf numFmtId="176" fontId="28" fillId="2" borderId="0" xfId="0" applyNumberFormat="1" applyFont="1" applyFill="1" applyAlignment="1">
      <alignment horizontal="center" vertical="center"/>
    </xf>
    <xf numFmtId="10" fontId="16" fillId="2" borderId="0" xfId="0" applyNumberFormat="1" applyFont="1" applyFill="1" applyAlignment="1">
      <alignment horizontal="left" vertical="center"/>
    </xf>
    <xf numFmtId="176" fontId="19" fillId="2" borderId="0" xfId="0" applyNumberFormat="1" applyFont="1" applyFill="1" applyAlignment="1">
      <alignment horizontal="right" vertical="top"/>
    </xf>
    <xf numFmtId="178" fontId="19" fillId="2" borderId="0" xfId="0" applyNumberFormat="1" applyFont="1" applyFill="1" applyAlignment="1">
      <alignment horizontal="left" vertical="top"/>
    </xf>
    <xf numFmtId="0" fontId="5" fillId="2" borderId="0" xfId="0" applyNumberFormat="1" applyFont="1" applyFill="1">
      <alignment vertical="center"/>
    </xf>
    <xf numFmtId="0" fontId="5" fillId="0" borderId="0" xfId="0" applyNumberFormat="1" applyFont="1">
      <alignment vertical="center"/>
    </xf>
    <xf numFmtId="186" fontId="28" fillId="2" borderId="0" xfId="0" applyNumberFormat="1" applyFont="1" applyFill="1" applyAlignment="1">
      <alignment horizontal="center" vertical="center"/>
    </xf>
    <xf numFmtId="181" fontId="0" fillId="0" borderId="10" xfId="0" applyBorder="1">
      <alignment vertical="center"/>
    </xf>
    <xf numFmtId="0" fontId="0" fillId="0" borderId="10" xfId="0" applyNumberFormat="1" applyBorder="1">
      <alignment vertical="center"/>
    </xf>
    <xf numFmtId="176" fontId="0" fillId="0" borderId="10" xfId="0" applyNumberFormat="1" applyBorder="1">
      <alignment vertical="center"/>
    </xf>
    <xf numFmtId="179" fontId="0" fillId="0" borderId="10" xfId="0" applyNumberFormat="1" applyBorder="1" applyAlignment="1">
      <alignment horizontal="right" vertical="center"/>
    </xf>
    <xf numFmtId="0" fontId="5" fillId="4" borderId="11" xfId="0" applyNumberFormat="1" applyFont="1" applyFill="1" applyBorder="1" applyAlignment="1">
      <alignment horizontal="left" vertical="center"/>
    </xf>
    <xf numFmtId="181" fontId="5" fillId="4" borderId="11" xfId="0" applyFont="1" applyFill="1" applyBorder="1" applyAlignment="1">
      <alignment horizontal="left" vertical="center"/>
    </xf>
    <xf numFmtId="0" fontId="6" fillId="4" borderId="11" xfId="0" applyNumberFormat="1" applyFont="1" applyFill="1" applyBorder="1" applyAlignment="1">
      <alignment horizontal="left" vertical="center"/>
    </xf>
    <xf numFmtId="176" fontId="6" fillId="4" borderId="11" xfId="0" applyNumberFormat="1" applyFont="1" applyFill="1" applyBorder="1" applyAlignment="1">
      <alignment horizontal="left" vertical="center"/>
    </xf>
    <xf numFmtId="180" fontId="6" fillId="4" borderId="11" xfId="0" applyNumberFormat="1" applyFont="1" applyFill="1" applyBorder="1" applyAlignment="1">
      <alignment horizontal="left" vertical="center"/>
    </xf>
    <xf numFmtId="176" fontId="0" fillId="0" borderId="12" xfId="0" applyNumberFormat="1" applyBorder="1">
      <alignment vertical="center"/>
    </xf>
    <xf numFmtId="0" fontId="9" fillId="2" borderId="0" xfId="0" applyNumberFormat="1" applyFont="1" applyFill="1" applyAlignment="1">
      <alignment horizontal="left" vertical="center"/>
    </xf>
    <xf numFmtId="0" fontId="6" fillId="4" borderId="0" xfId="0" applyNumberFormat="1" applyFont="1" applyFill="1" applyAlignment="1">
      <alignment horizontal="left" vertical="center"/>
    </xf>
    <xf numFmtId="0" fontId="0" fillId="0" borderId="4" xfId="0" applyNumberFormat="1" applyBorder="1" applyAlignment="1">
      <alignment horizontal="center" vertical="center"/>
    </xf>
    <xf numFmtId="0" fontId="5" fillId="4" borderId="9" xfId="0" applyNumberFormat="1" applyFont="1" applyFill="1" applyBorder="1" applyAlignment="1">
      <alignment horizontal="left" vertical="center"/>
    </xf>
    <xf numFmtId="0" fontId="0" fillId="2" borderId="13" xfId="0" applyNumberFormat="1" applyFill="1" applyBorder="1" applyAlignment="1">
      <alignment horizontal="center" vertical="center"/>
    </xf>
    <xf numFmtId="180" fontId="6" fillId="4" borderId="7" xfId="0" applyNumberFormat="1" applyFont="1" applyFill="1" applyBorder="1" applyAlignment="1">
      <alignment horizontal="left" vertical="center"/>
    </xf>
    <xf numFmtId="179" fontId="0" fillId="2" borderId="12" xfId="0" applyNumberFormat="1" applyFill="1" applyBorder="1" applyAlignment="1">
      <alignment horizontal="right" vertical="center"/>
    </xf>
    <xf numFmtId="181" fontId="27" fillId="2" borderId="0" xfId="0" applyFont="1" applyFill="1">
      <alignment vertical="center"/>
    </xf>
    <xf numFmtId="181" fontId="27" fillId="2" borderId="6" xfId="0" applyFont="1" applyFill="1" applyBorder="1">
      <alignment vertical="center"/>
    </xf>
    <xf numFmtId="176" fontId="0" fillId="2" borderId="10" xfId="0" applyNumberFormat="1" applyFill="1" applyBorder="1">
      <alignment vertical="center"/>
    </xf>
    <xf numFmtId="179" fontId="0" fillId="2" borderId="3" xfId="0" applyNumberFormat="1" applyFill="1" applyBorder="1" applyAlignment="1">
      <alignment horizontal="right" vertical="center"/>
    </xf>
    <xf numFmtId="181" fontId="0" fillId="0" borderId="13" xfId="0" applyBorder="1" applyAlignment="1">
      <alignment horizontal="center" vertical="center"/>
    </xf>
    <xf numFmtId="176" fontId="0" fillId="0" borderId="12" xfId="0" applyNumberFormat="1" applyBorder="1" applyAlignment="1">
      <alignment horizontal="right" vertical="center"/>
    </xf>
    <xf numFmtId="181" fontId="6" fillId="0" borderId="0" xfId="0" applyFont="1" applyAlignment="1">
      <alignment horizontal="left" vertical="center" wrapText="1"/>
    </xf>
    <xf numFmtId="0" fontId="6" fillId="0" borderId="0" xfId="0" applyNumberFormat="1" applyFont="1" applyAlignment="1">
      <alignment horizontal="center" vertical="center" wrapText="1"/>
    </xf>
    <xf numFmtId="184" fontId="6" fillId="0" borderId="0" xfId="0" applyNumberFormat="1" applyFont="1" applyAlignment="1">
      <alignment horizontal="left" vertical="center" wrapText="1"/>
    </xf>
    <xf numFmtId="188" fontId="6" fillId="0" borderId="0" xfId="0" applyNumberFormat="1" applyFont="1" applyAlignment="1">
      <alignment horizontal="left" vertical="center" wrapText="1"/>
    </xf>
    <xf numFmtId="10" fontId="6" fillId="0" borderId="15" xfId="0" applyNumberFormat="1" applyFont="1" applyBorder="1" applyAlignment="1">
      <alignment horizontal="left" vertical="center" wrapText="1"/>
    </xf>
    <xf numFmtId="0" fontId="0" fillId="0" borderId="10" xfId="0" applyNumberFormat="1" applyBorder="1" applyAlignment="1">
      <alignment horizontal="right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" xfId="0" applyNumberFormat="1" applyBorder="1" applyAlignment="1">
      <alignment horizontal="right" vertical="center"/>
    </xf>
    <xf numFmtId="179" fontId="0" fillId="2" borderId="2" xfId="0" applyNumberFormat="1" applyFill="1" applyBorder="1" applyAlignment="1">
      <alignment horizontal="right" vertical="center"/>
    </xf>
    <xf numFmtId="0" fontId="0" fillId="6" borderId="2" xfId="0" applyNumberFormat="1" applyFill="1" applyBorder="1" applyAlignment="1">
      <alignment horizontal="center" vertical="center"/>
    </xf>
    <xf numFmtId="181" fontId="16" fillId="6" borderId="2" xfId="0" applyFont="1" applyFill="1" applyBorder="1">
      <alignment vertical="center"/>
    </xf>
    <xf numFmtId="176" fontId="0" fillId="6" borderId="2" xfId="0" applyNumberFormat="1" applyFill="1" applyBorder="1">
      <alignment vertical="center"/>
    </xf>
    <xf numFmtId="179" fontId="0" fillId="6" borderId="2" xfId="0" applyNumberFormat="1" applyFill="1" applyBorder="1" applyAlignment="1">
      <alignment horizontal="right" vertical="center"/>
    </xf>
    <xf numFmtId="181" fontId="0" fillId="6" borderId="2" xfId="0" applyFill="1" applyBorder="1">
      <alignment vertical="center"/>
    </xf>
    <xf numFmtId="176" fontId="0" fillId="0" borderId="3" xfId="0" applyNumberFormat="1" applyBorder="1">
      <alignment vertical="center"/>
    </xf>
    <xf numFmtId="190" fontId="15" fillId="0" borderId="2" xfId="0" applyNumberFormat="1" applyFont="1" applyBorder="1" applyAlignment="1">
      <alignment horizontal="right" vertical="center"/>
    </xf>
    <xf numFmtId="0" fontId="0" fillId="6" borderId="0" xfId="0" applyNumberFormat="1" applyFill="1">
      <alignment vertical="center"/>
    </xf>
    <xf numFmtId="191" fontId="0" fillId="0" borderId="2" xfId="0" applyNumberFormat="1" applyBorder="1" applyAlignment="1">
      <alignment horizontal="right" vertical="center"/>
    </xf>
    <xf numFmtId="192" fontId="15" fillId="0" borderId="2" xfId="0" applyNumberFormat="1" applyFont="1" applyBorder="1" applyAlignment="1">
      <alignment horizontal="right" vertical="center"/>
    </xf>
    <xf numFmtId="178" fontId="16" fillId="2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horizontal="center" vertical="center"/>
    </xf>
    <xf numFmtId="181" fontId="0" fillId="0" borderId="8" xfId="0" applyBorder="1">
      <alignment vertical="center"/>
    </xf>
    <xf numFmtId="38" fontId="8" fillId="4" borderId="2" xfId="0" applyNumberFormat="1" applyFont="1" applyFill="1" applyBorder="1">
      <alignment vertical="center"/>
    </xf>
    <xf numFmtId="181" fontId="8" fillId="4" borderId="4" xfId="0" applyFont="1" applyFill="1" applyBorder="1">
      <alignment vertical="center"/>
    </xf>
    <xf numFmtId="181" fontId="8" fillId="4" borderId="1" xfId="0" applyFont="1" applyFill="1" applyBorder="1">
      <alignment vertical="center"/>
    </xf>
    <xf numFmtId="181" fontId="8" fillId="2" borderId="3" xfId="0" applyFont="1" applyFill="1" applyBorder="1">
      <alignment vertical="center"/>
    </xf>
    <xf numFmtId="181" fontId="16" fillId="2" borderId="16" xfId="0" applyFont="1" applyFill="1" applyBorder="1" applyAlignment="1">
      <alignment horizontal="left" vertical="center"/>
    </xf>
    <xf numFmtId="181" fontId="8" fillId="2" borderId="7" xfId="0" applyFont="1" applyFill="1" applyBorder="1">
      <alignment vertical="center"/>
    </xf>
    <xf numFmtId="0" fontId="0" fillId="6" borderId="16" xfId="0" applyNumberFormat="1" applyFill="1" applyBorder="1" applyAlignment="1">
      <alignment horizontal="left" vertical="center"/>
    </xf>
    <xf numFmtId="181" fontId="4" fillId="2" borderId="5" xfId="0" applyFont="1" applyFill="1" applyBorder="1">
      <alignment vertical="center"/>
    </xf>
    <xf numFmtId="0" fontId="0" fillId="2" borderId="16" xfId="0" applyNumberFormat="1" applyFill="1" applyBorder="1" applyAlignment="1">
      <alignment horizontal="left" vertical="center"/>
    </xf>
    <xf numFmtId="181" fontId="0" fillId="6" borderId="16" xfId="0" applyFill="1" applyBorder="1" applyAlignment="1">
      <alignment horizontal="left" vertical="center"/>
    </xf>
    <xf numFmtId="181" fontId="0" fillId="2" borderId="16" xfId="0" applyFill="1" applyBorder="1" applyAlignment="1">
      <alignment horizontal="left" vertical="center"/>
    </xf>
    <xf numFmtId="181" fontId="4" fillId="2" borderId="18" xfId="0" applyFont="1" applyFill="1" applyBorder="1">
      <alignment vertical="center"/>
    </xf>
    <xf numFmtId="181" fontId="4" fillId="2" borderId="19" xfId="0" applyFont="1" applyFill="1" applyBorder="1">
      <alignment vertical="center"/>
    </xf>
    <xf numFmtId="181" fontId="8" fillId="4" borderId="12" xfId="0" applyFont="1" applyFill="1" applyBorder="1">
      <alignment vertical="center"/>
    </xf>
    <xf numFmtId="181" fontId="8" fillId="2" borderId="20" xfId="0" applyFont="1" applyFill="1" applyBorder="1">
      <alignment vertical="center"/>
    </xf>
    <xf numFmtId="181" fontId="8" fillId="2" borderId="18" xfId="0" applyFont="1" applyFill="1" applyBorder="1">
      <alignment vertical="center"/>
    </xf>
    <xf numFmtId="181" fontId="8" fillId="7" borderId="12" xfId="0" applyFont="1" applyFill="1" applyBorder="1">
      <alignment vertical="center"/>
    </xf>
    <xf numFmtId="181" fontId="28" fillId="7" borderId="13" xfId="0" applyFont="1" applyFill="1" applyBorder="1">
      <alignment vertical="center"/>
    </xf>
    <xf numFmtId="178" fontId="16" fillId="2" borderId="0" xfId="0" applyNumberFormat="1" applyFont="1" applyFill="1" applyAlignment="1">
      <alignment horizontal="right" vertical="center"/>
    </xf>
    <xf numFmtId="0" fontId="6" fillId="2" borderId="0" xfId="0" applyNumberFormat="1" applyFont="1" applyFill="1" applyAlignment="1">
      <alignment horizontal="center" vertical="center"/>
    </xf>
    <xf numFmtId="0" fontId="0" fillId="6" borderId="2" xfId="0" applyNumberFormat="1" applyFont="1" applyFill="1" applyBorder="1" applyAlignment="1" applyProtection="1">
      <alignment horizontal="center" vertical="center"/>
    </xf>
    <xf numFmtId="181" fontId="0" fillId="6" borderId="2" xfId="0" applyFont="1" applyFill="1" applyBorder="1" applyProtection="1">
      <alignment vertical="center"/>
    </xf>
    <xf numFmtId="181" fontId="16" fillId="6" borderId="2" xfId="0" applyFont="1" applyFill="1" applyBorder="1" applyProtection="1">
      <alignment vertical="center"/>
    </xf>
    <xf numFmtId="0" fontId="0" fillId="6" borderId="2" xfId="0" applyNumberFormat="1" applyFont="1" applyFill="1" applyBorder="1" applyProtection="1">
      <alignment vertical="center"/>
    </xf>
    <xf numFmtId="176" fontId="0" fillId="6" borderId="2" xfId="0" applyNumberFormat="1" applyFont="1" applyFill="1" applyBorder="1" applyProtection="1">
      <alignment vertical="center"/>
    </xf>
    <xf numFmtId="179" fontId="0" fillId="6" borderId="2" xfId="0" applyNumberFormat="1" applyFont="1" applyFill="1" applyBorder="1" applyAlignment="1" applyProtection="1">
      <alignment horizontal="right" vertical="center"/>
    </xf>
    <xf numFmtId="0" fontId="0" fillId="6" borderId="10" xfId="0" applyNumberFormat="1" applyFont="1" applyFill="1" applyBorder="1" applyAlignment="1" applyProtection="1">
      <alignment horizontal="center" vertical="center"/>
    </xf>
    <xf numFmtId="181" fontId="16" fillId="6" borderId="10" xfId="0" applyFont="1" applyFill="1" applyBorder="1" applyProtection="1">
      <alignment vertical="center"/>
    </xf>
    <xf numFmtId="0" fontId="0" fillId="6" borderId="10" xfId="0" applyNumberFormat="1" applyFont="1" applyFill="1" applyBorder="1" applyProtection="1">
      <alignment vertical="center"/>
    </xf>
    <xf numFmtId="176" fontId="0" fillId="6" borderId="10" xfId="0" applyNumberFormat="1" applyFont="1" applyFill="1" applyBorder="1" applyProtection="1">
      <alignment vertical="center"/>
    </xf>
    <xf numFmtId="179" fontId="0" fillId="6" borderId="10" xfId="0" applyNumberFormat="1" applyFont="1" applyFill="1" applyBorder="1" applyAlignment="1" applyProtection="1">
      <alignment horizontal="right" vertical="center"/>
    </xf>
    <xf numFmtId="0" fontId="0" fillId="0" borderId="2" xfId="0" applyNumberFormat="1" applyBorder="1" applyAlignment="1" applyProtection="1">
      <alignment horizontal="center" vertical="center"/>
    </xf>
    <xf numFmtId="181" fontId="0" fillId="0" borderId="2" xfId="0" applyBorder="1" applyProtection="1">
      <alignment vertical="center"/>
    </xf>
    <xf numFmtId="0" fontId="0" fillId="0" borderId="2" xfId="0" applyNumberFormat="1" applyBorder="1" applyProtection="1">
      <alignment vertical="center"/>
    </xf>
    <xf numFmtId="176" fontId="0" fillId="0" borderId="2" xfId="0" applyNumberFormat="1" applyBorder="1" applyProtection="1">
      <alignment vertical="center"/>
    </xf>
    <xf numFmtId="179" fontId="0" fillId="0" borderId="2" xfId="0" applyNumberFormat="1" applyBorder="1" applyAlignment="1" applyProtection="1">
      <alignment horizontal="right" vertical="center"/>
    </xf>
    <xf numFmtId="0" fontId="0" fillId="2" borderId="2" xfId="0" applyNumberFormat="1" applyFill="1" applyBorder="1" applyProtection="1">
      <alignment vertical="center"/>
    </xf>
    <xf numFmtId="0" fontId="0" fillId="0" borderId="10" xfId="0" applyNumberFormat="1" applyBorder="1" applyAlignment="1" applyProtection="1">
      <alignment horizontal="center" vertical="center"/>
    </xf>
    <xf numFmtId="181" fontId="0" fillId="0" borderId="10" xfId="0" applyBorder="1" applyProtection="1">
      <alignment vertical="center"/>
    </xf>
    <xf numFmtId="0" fontId="0" fillId="0" borderId="10" xfId="0" applyNumberFormat="1" applyBorder="1" applyProtection="1">
      <alignment vertical="center"/>
    </xf>
    <xf numFmtId="176" fontId="0" fillId="0" borderId="10" xfId="0" applyNumberFormat="1" applyBorder="1" applyProtection="1">
      <alignment vertical="center"/>
    </xf>
    <xf numFmtId="179" fontId="0" fillId="0" borderId="10" xfId="0" applyNumberFormat="1" applyBorder="1" applyAlignment="1" applyProtection="1">
      <alignment horizontal="right" vertical="center"/>
    </xf>
    <xf numFmtId="0" fontId="0" fillId="2" borderId="10" xfId="0" applyNumberFormat="1" applyFill="1" applyBorder="1" applyProtection="1">
      <alignment vertical="center"/>
    </xf>
    <xf numFmtId="0" fontId="0" fillId="0" borderId="4" xfId="0" applyNumberFormat="1" applyFill="1" applyBorder="1" applyAlignment="1" applyProtection="1">
      <alignment horizontal="center" vertical="center"/>
    </xf>
    <xf numFmtId="176" fontId="0" fillId="0" borderId="3" xfId="0" applyNumberFormat="1" applyBorder="1" applyProtection="1">
      <alignment vertical="center"/>
    </xf>
    <xf numFmtId="0" fontId="0" fillId="0" borderId="13" xfId="0" applyNumberFormat="1" applyFill="1" applyBorder="1" applyAlignment="1" applyProtection="1">
      <alignment horizontal="center" vertical="center"/>
    </xf>
    <xf numFmtId="176" fontId="0" fillId="0" borderId="12" xfId="0" applyNumberFormat="1" applyBorder="1" applyProtection="1">
      <alignment vertical="center"/>
    </xf>
    <xf numFmtId="49" fontId="8" fillId="0" borderId="15" xfId="0" applyNumberFormat="1" applyFont="1" applyBorder="1" applyAlignment="1">
      <alignment horizontal="left" vertical="center" wrapText="1"/>
    </xf>
    <xf numFmtId="178" fontId="6" fillId="0" borderId="15" xfId="0" applyNumberFormat="1" applyFont="1" applyBorder="1" applyAlignment="1">
      <alignment horizontal="left" vertical="center" wrapText="1"/>
    </xf>
    <xf numFmtId="176" fontId="33" fillId="0" borderId="21" xfId="0" applyNumberFormat="1" applyFont="1" applyBorder="1" applyAlignment="1">
      <alignment horizontal="left" vertical="center"/>
    </xf>
    <xf numFmtId="176" fontId="33" fillId="0" borderId="21" xfId="0" applyNumberFormat="1" applyFont="1" applyFill="1" applyBorder="1" applyAlignment="1">
      <alignment horizontal="left" vertical="center"/>
    </xf>
    <xf numFmtId="176" fontId="33" fillId="0" borderId="22" xfId="0" applyNumberFormat="1" applyFont="1" applyFill="1" applyBorder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176" fontId="0" fillId="0" borderId="2" xfId="0" applyNumberFormat="1" applyBorder="1" applyAlignment="1" applyProtection="1">
      <alignment horizontal="center" vertical="center"/>
    </xf>
    <xf numFmtId="181" fontId="0" fillId="0" borderId="4" xfId="0" applyBorder="1" applyAlignment="1">
      <alignment horizontal="center" vertical="center"/>
    </xf>
    <xf numFmtId="0" fontId="0" fillId="0" borderId="2" xfId="0" applyNumberFormat="1" applyBorder="1" applyAlignment="1" applyProtection="1">
      <alignment horizontal="right" vertical="center"/>
    </xf>
    <xf numFmtId="176" fontId="0" fillId="0" borderId="2" xfId="0" applyNumberFormat="1" applyBorder="1" applyAlignment="1" applyProtection="1">
      <alignment horizontal="right" vertical="center"/>
    </xf>
    <xf numFmtId="181" fontId="35" fillId="2" borderId="0" xfId="0" applyFont="1" applyFill="1">
      <alignment vertical="center"/>
    </xf>
    <xf numFmtId="181" fontId="20" fillId="2" borderId="0" xfId="0" applyFont="1" applyFill="1" applyBorder="1">
      <alignment vertical="center"/>
    </xf>
    <xf numFmtId="0" fontId="21" fillId="2" borderId="0" xfId="0" applyNumberFormat="1" applyFont="1" applyFill="1" applyBorder="1">
      <alignment vertical="center"/>
    </xf>
    <xf numFmtId="0" fontId="0" fillId="2" borderId="10" xfId="0" applyNumberFormat="1" applyFill="1" applyBorder="1" applyAlignment="1">
      <alignment horizontal="center" vertical="center"/>
    </xf>
    <xf numFmtId="179" fontId="0" fillId="2" borderId="10" xfId="0" applyNumberFormat="1" applyFill="1" applyBorder="1" applyAlignment="1">
      <alignment horizontal="right" vertical="center"/>
    </xf>
    <xf numFmtId="0" fontId="0" fillId="2" borderId="13" xfId="0" applyNumberFormat="1" applyFill="1" applyBorder="1" applyAlignment="1" applyProtection="1">
      <alignment horizontal="center" vertical="center"/>
    </xf>
    <xf numFmtId="181" fontId="0" fillId="2" borderId="2" xfId="0" applyFill="1" applyBorder="1" applyProtection="1">
      <alignment vertical="center"/>
    </xf>
    <xf numFmtId="176" fontId="0" fillId="2" borderId="2" xfId="0" applyNumberFormat="1" applyFill="1" applyBorder="1" applyProtection="1">
      <alignment vertical="center"/>
    </xf>
    <xf numFmtId="179" fontId="0" fillId="2" borderId="12" xfId="0" applyNumberFormat="1" applyFill="1" applyBorder="1" applyAlignment="1" applyProtection="1">
      <alignment horizontal="right" vertical="center"/>
    </xf>
    <xf numFmtId="0" fontId="0" fillId="2" borderId="4" xfId="0" applyNumberFormat="1" applyFill="1" applyBorder="1" applyAlignment="1" applyProtection="1">
      <alignment horizontal="center" vertical="center"/>
    </xf>
    <xf numFmtId="181" fontId="0" fillId="2" borderId="10" xfId="0" applyFill="1" applyBorder="1" applyProtection="1">
      <alignment vertical="center"/>
    </xf>
    <xf numFmtId="176" fontId="0" fillId="2" borderId="10" xfId="0" applyNumberFormat="1" applyFill="1" applyBorder="1" applyProtection="1">
      <alignment vertical="center"/>
    </xf>
    <xf numFmtId="179" fontId="0" fillId="2" borderId="3" xfId="0" applyNumberFormat="1" applyFill="1" applyBorder="1" applyAlignment="1" applyProtection="1">
      <alignment horizontal="right" vertical="center"/>
    </xf>
    <xf numFmtId="176" fontId="0" fillId="2" borderId="0" xfId="0" applyNumberFormat="1" applyFill="1">
      <alignment vertical="center"/>
    </xf>
    <xf numFmtId="176" fontId="0" fillId="0" borderId="4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right" vertical="center"/>
    </xf>
    <xf numFmtId="176" fontId="0" fillId="0" borderId="10" xfId="0" applyNumberFormat="1" applyBorder="1" applyAlignment="1" applyProtection="1">
      <alignment horizontal="right" vertical="center"/>
    </xf>
    <xf numFmtId="176" fontId="0" fillId="0" borderId="3" xfId="0" applyNumberFormat="1" applyBorder="1" applyAlignment="1" applyProtection="1">
      <alignment horizontal="right" vertical="center"/>
    </xf>
    <xf numFmtId="181" fontId="20" fillId="2" borderId="4" xfId="0" applyFont="1" applyFill="1" applyBorder="1" applyAlignment="1">
      <alignment horizontal="center" vertical="center"/>
    </xf>
    <xf numFmtId="181" fontId="20" fillId="2" borderId="6" xfId="0" applyFont="1" applyFill="1" applyBorder="1" applyAlignment="1">
      <alignment horizontal="center" vertical="center"/>
    </xf>
    <xf numFmtId="181" fontId="20" fillId="2" borderId="9" xfId="0" applyFont="1" applyFill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2" borderId="0" xfId="0" applyNumberFormat="1" applyFill="1">
      <alignment vertical="center"/>
    </xf>
    <xf numFmtId="176" fontId="24" fillId="4" borderId="0" xfId="0" applyNumberFormat="1" applyFont="1" applyFill="1" applyAlignment="1">
      <alignment horizontal="center" vertical="center"/>
    </xf>
    <xf numFmtId="176" fontId="24" fillId="4" borderId="0" xfId="0" applyNumberFormat="1" applyFont="1" applyFill="1">
      <alignment vertical="center"/>
    </xf>
    <xf numFmtId="176" fontId="0" fillId="0" borderId="13" xfId="0" applyNumberFormat="1" applyBorder="1" applyAlignment="1">
      <alignment horizontal="center" vertical="center"/>
    </xf>
    <xf numFmtId="186" fontId="5" fillId="4" borderId="0" xfId="0" applyNumberFormat="1" applyFont="1" applyFill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14" fillId="2" borderId="0" xfId="0" applyNumberFormat="1" applyFont="1" applyFill="1" applyAlignment="1">
      <alignment horizontal="left" vertical="center"/>
    </xf>
    <xf numFmtId="0" fontId="0" fillId="0" borderId="10" xfId="0" applyNumberFormat="1" applyBorder="1" applyAlignment="1">
      <alignment horizontal="center" vertical="center"/>
    </xf>
    <xf numFmtId="0" fontId="33" fillId="0" borderId="21" xfId="0" applyNumberFormat="1" applyFont="1" applyBorder="1" applyAlignment="1">
      <alignment horizontal="center" vertical="center"/>
    </xf>
    <xf numFmtId="0" fontId="33" fillId="0" borderId="21" xfId="0" applyNumberFormat="1" applyFont="1" applyBorder="1" applyAlignment="1">
      <alignment horizontal="left" vertical="center"/>
    </xf>
    <xf numFmtId="181" fontId="33" fillId="0" borderId="21" xfId="0" applyFont="1" applyBorder="1" applyAlignment="1">
      <alignment horizontal="left" vertical="center"/>
    </xf>
    <xf numFmtId="184" fontId="33" fillId="0" borderId="21" xfId="0" applyNumberFormat="1" applyFont="1" applyBorder="1" applyAlignment="1">
      <alignment horizontal="left" vertical="center"/>
    </xf>
    <xf numFmtId="192" fontId="33" fillId="0" borderId="21" xfId="0" applyNumberFormat="1" applyFont="1" applyBorder="1" applyAlignment="1">
      <alignment horizontal="left" vertical="center"/>
    </xf>
    <xf numFmtId="188" fontId="33" fillId="0" borderId="21" xfId="0" applyNumberFormat="1" applyFont="1" applyBorder="1" applyAlignment="1">
      <alignment horizontal="left" vertical="center"/>
    </xf>
    <xf numFmtId="10" fontId="33" fillId="0" borderId="21" xfId="0" applyNumberFormat="1" applyFont="1" applyBorder="1" applyAlignment="1">
      <alignment horizontal="left" vertical="center"/>
    </xf>
    <xf numFmtId="178" fontId="33" fillId="0" borderId="21" xfId="0" applyNumberFormat="1" applyFont="1" applyBorder="1" applyAlignment="1">
      <alignment horizontal="left" vertical="center"/>
    </xf>
    <xf numFmtId="0" fontId="33" fillId="0" borderId="21" xfId="0" applyNumberFormat="1" applyFont="1" applyFill="1" applyBorder="1" applyAlignment="1">
      <alignment horizontal="center" vertical="center"/>
    </xf>
    <xf numFmtId="0" fontId="33" fillId="0" borderId="21" xfId="0" applyNumberFormat="1" applyFont="1" applyFill="1" applyBorder="1" applyAlignment="1">
      <alignment horizontal="left" vertical="center"/>
    </xf>
    <xf numFmtId="184" fontId="33" fillId="0" borderId="21" xfId="0" applyNumberFormat="1" applyFont="1" applyFill="1" applyBorder="1" applyAlignment="1">
      <alignment horizontal="left" vertical="center"/>
    </xf>
    <xf numFmtId="192" fontId="33" fillId="0" borderId="21" xfId="0" applyNumberFormat="1" applyFont="1" applyFill="1" applyBorder="1" applyAlignment="1">
      <alignment horizontal="left" vertical="center"/>
    </xf>
    <xf numFmtId="178" fontId="33" fillId="0" borderId="21" xfId="0" applyNumberFormat="1" applyFont="1" applyFill="1" applyBorder="1" applyAlignment="1">
      <alignment horizontal="right" vertical="center"/>
    </xf>
    <xf numFmtId="185" fontId="33" fillId="0" borderId="21" xfId="0" applyNumberFormat="1" applyFont="1" applyFill="1" applyBorder="1" applyAlignment="1">
      <alignment horizontal="left" vertical="center"/>
    </xf>
    <xf numFmtId="188" fontId="33" fillId="0" borderId="21" xfId="0" applyNumberFormat="1" applyFont="1" applyFill="1" applyBorder="1" applyAlignment="1">
      <alignment horizontal="left" vertical="center"/>
    </xf>
    <xf numFmtId="10" fontId="33" fillId="0" borderId="21" xfId="0" applyNumberFormat="1" applyFont="1" applyFill="1" applyBorder="1" applyAlignment="1">
      <alignment horizontal="left" vertical="center"/>
    </xf>
    <xf numFmtId="178" fontId="33" fillId="0" borderId="21" xfId="0" applyNumberFormat="1" applyFont="1" applyFill="1" applyBorder="1" applyAlignment="1">
      <alignment horizontal="left" vertical="center"/>
    </xf>
    <xf numFmtId="49" fontId="33" fillId="0" borderId="21" xfId="0" applyNumberFormat="1" applyFont="1" applyFill="1" applyBorder="1" applyAlignment="1">
      <alignment horizontal="left" vertical="center"/>
    </xf>
    <xf numFmtId="181" fontId="33" fillId="0" borderId="21" xfId="0" applyNumberFormat="1" applyFont="1" applyFill="1" applyBorder="1" applyAlignment="1">
      <alignment horizontal="left" vertical="center"/>
    </xf>
    <xf numFmtId="178" fontId="33" fillId="0" borderId="21" xfId="0" applyNumberFormat="1" applyFont="1" applyBorder="1" applyAlignment="1">
      <alignment horizontal="right" vertical="center"/>
    </xf>
    <xf numFmtId="185" fontId="33" fillId="0" borderId="21" xfId="0" applyNumberFormat="1" applyFont="1" applyBorder="1" applyAlignment="1">
      <alignment horizontal="left" vertical="center"/>
    </xf>
    <xf numFmtId="0" fontId="33" fillId="0" borderId="22" xfId="0" applyNumberFormat="1" applyFont="1" applyFill="1" applyBorder="1" applyAlignment="1">
      <alignment horizontal="left" vertical="center"/>
    </xf>
    <xf numFmtId="188" fontId="33" fillId="0" borderId="22" xfId="0" applyNumberFormat="1" applyFont="1" applyFill="1" applyBorder="1" applyAlignment="1">
      <alignment horizontal="left" vertical="center"/>
    </xf>
    <xf numFmtId="178" fontId="33" fillId="0" borderId="22" xfId="0" applyNumberFormat="1" applyFont="1" applyFill="1" applyBorder="1" applyAlignment="1">
      <alignment horizontal="left" vertical="center"/>
    </xf>
    <xf numFmtId="0" fontId="33" fillId="0" borderId="22" xfId="0" applyNumberFormat="1" applyFont="1" applyFill="1" applyBorder="1" applyAlignment="1">
      <alignment horizontal="center" vertical="center"/>
    </xf>
    <xf numFmtId="10" fontId="33" fillId="0" borderId="22" xfId="0" applyNumberFormat="1" applyFont="1" applyFill="1" applyBorder="1" applyAlignment="1">
      <alignment horizontal="left" vertical="center"/>
    </xf>
    <xf numFmtId="49" fontId="33" fillId="0" borderId="22" xfId="0" applyNumberFormat="1" applyFont="1" applyFill="1" applyBorder="1" applyAlignment="1">
      <alignment horizontal="left" vertical="center"/>
    </xf>
    <xf numFmtId="181" fontId="33" fillId="0" borderId="22" xfId="0" applyNumberFormat="1" applyFont="1" applyFill="1" applyBorder="1" applyAlignment="1">
      <alignment horizontal="left" vertical="center"/>
    </xf>
    <xf numFmtId="184" fontId="33" fillId="0" borderId="22" xfId="0" applyNumberFormat="1" applyFont="1" applyFill="1" applyBorder="1" applyAlignment="1">
      <alignment horizontal="left" vertical="center"/>
    </xf>
    <xf numFmtId="192" fontId="33" fillId="0" borderId="22" xfId="0" applyNumberFormat="1" applyFont="1" applyFill="1" applyBorder="1" applyAlignment="1">
      <alignment horizontal="left" vertical="center"/>
    </xf>
    <xf numFmtId="178" fontId="33" fillId="0" borderId="22" xfId="0" applyNumberFormat="1" applyFont="1" applyFill="1" applyBorder="1" applyAlignment="1">
      <alignment horizontal="right" vertical="center"/>
    </xf>
    <xf numFmtId="185" fontId="33" fillId="0" borderId="22" xfId="0" applyNumberFormat="1" applyFont="1" applyFill="1" applyBorder="1" applyAlignment="1">
      <alignment horizontal="left" vertical="center"/>
    </xf>
    <xf numFmtId="0" fontId="0" fillId="0" borderId="13" xfId="0" applyNumberFormat="1" applyBorder="1" applyAlignment="1">
      <alignment horizontal="center" vertical="center"/>
    </xf>
    <xf numFmtId="181" fontId="20" fillId="2" borderId="3" xfId="0" applyFont="1" applyFill="1" applyBorder="1" applyAlignment="1">
      <alignment horizontal="center" vertical="center"/>
    </xf>
    <xf numFmtId="181" fontId="20" fillId="2" borderId="1" xfId="0" applyFont="1" applyFill="1" applyBorder="1" applyAlignment="1">
      <alignment horizontal="center" vertical="center"/>
    </xf>
    <xf numFmtId="181" fontId="20" fillId="2" borderId="5" xfId="0" applyFont="1" applyFill="1" applyBorder="1" applyAlignment="1">
      <alignment horizontal="center" vertical="center"/>
    </xf>
    <xf numFmtId="181" fontId="20" fillId="2" borderId="0" xfId="0" applyFont="1" applyFill="1" applyAlignment="1">
      <alignment horizontal="center" vertical="center"/>
    </xf>
    <xf numFmtId="181" fontId="20" fillId="2" borderId="7" xfId="0" applyFont="1" applyFill="1" applyBorder="1" applyAlignment="1">
      <alignment horizontal="center" vertical="center"/>
    </xf>
    <xf numFmtId="181" fontId="20" fillId="2" borderId="8" xfId="0" applyFont="1" applyFill="1" applyBorder="1" applyAlignment="1">
      <alignment horizontal="center" vertical="center"/>
    </xf>
    <xf numFmtId="181" fontId="25" fillId="2" borderId="3" xfId="0" applyFont="1" applyFill="1" applyBorder="1" applyAlignment="1">
      <alignment horizontal="center" vertical="center"/>
    </xf>
    <xf numFmtId="181" fontId="25" fillId="2" borderId="1" xfId="0" applyFont="1" applyFill="1" applyBorder="1" applyAlignment="1">
      <alignment horizontal="center" vertical="center"/>
    </xf>
    <xf numFmtId="181" fontId="25" fillId="2" borderId="5" xfId="0" applyFont="1" applyFill="1" applyBorder="1" applyAlignment="1">
      <alignment horizontal="center" vertical="center"/>
    </xf>
    <xf numFmtId="181" fontId="25" fillId="2" borderId="0" xfId="0" applyFont="1" applyFill="1" applyAlignment="1">
      <alignment horizontal="center" vertical="center"/>
    </xf>
    <xf numFmtId="181" fontId="25" fillId="2" borderId="7" xfId="0" applyFont="1" applyFill="1" applyBorder="1" applyAlignment="1">
      <alignment horizontal="center" vertical="center"/>
    </xf>
    <xf numFmtId="181" fontId="25" fillId="2" borderId="8" xfId="0" applyFont="1" applyFill="1" applyBorder="1" applyAlignment="1">
      <alignment horizontal="center" vertical="center"/>
    </xf>
    <xf numFmtId="181" fontId="17" fillId="2" borderId="3" xfId="0" applyFont="1" applyFill="1" applyBorder="1" applyAlignment="1">
      <alignment horizontal="center" vertical="center"/>
    </xf>
    <xf numFmtId="181" fontId="17" fillId="2" borderId="4" xfId="0" applyFont="1" applyFill="1" applyBorder="1" applyAlignment="1">
      <alignment horizontal="center" vertical="center"/>
    </xf>
    <xf numFmtId="181" fontId="17" fillId="2" borderId="5" xfId="0" applyFont="1" applyFill="1" applyBorder="1" applyAlignment="1">
      <alignment horizontal="center" vertical="center"/>
    </xf>
    <xf numFmtId="181" fontId="17" fillId="2" borderId="6" xfId="0" applyFont="1" applyFill="1" applyBorder="1" applyAlignment="1">
      <alignment horizontal="center" vertical="center"/>
    </xf>
    <xf numFmtId="181" fontId="17" fillId="2" borderId="7" xfId="0" applyFont="1" applyFill="1" applyBorder="1" applyAlignment="1">
      <alignment horizontal="center" vertical="center"/>
    </xf>
    <xf numFmtId="181" fontId="17" fillId="2" borderId="9" xfId="0" applyFont="1" applyFill="1" applyBorder="1" applyAlignment="1">
      <alignment horizontal="center" vertical="center"/>
    </xf>
    <xf numFmtId="181" fontId="30" fillId="2" borderId="2" xfId="0" applyFont="1" applyFill="1" applyBorder="1" applyAlignment="1">
      <alignment horizontal="center" vertical="center"/>
    </xf>
    <xf numFmtId="181" fontId="30" fillId="0" borderId="2" xfId="0" applyFont="1" applyBorder="1" applyAlignment="1">
      <alignment horizontal="center" vertical="center"/>
    </xf>
    <xf numFmtId="181" fontId="25" fillId="0" borderId="3" xfId="0" applyFont="1" applyBorder="1" applyAlignment="1">
      <alignment horizontal="center" vertical="center"/>
    </xf>
    <xf numFmtId="181" fontId="25" fillId="0" borderId="1" xfId="0" applyFont="1" applyBorder="1" applyAlignment="1">
      <alignment horizontal="center" vertical="center"/>
    </xf>
    <xf numFmtId="181" fontId="25" fillId="0" borderId="5" xfId="0" applyFont="1" applyBorder="1" applyAlignment="1">
      <alignment horizontal="center" vertical="center"/>
    </xf>
    <xf numFmtId="181" fontId="25" fillId="0" borderId="0" xfId="0" applyFont="1" applyAlignment="1">
      <alignment horizontal="center" vertical="center"/>
    </xf>
    <xf numFmtId="181" fontId="25" fillId="0" borderId="7" xfId="0" applyFont="1" applyBorder="1" applyAlignment="1">
      <alignment horizontal="center" vertical="center"/>
    </xf>
    <xf numFmtId="181" fontId="25" fillId="0" borderId="8" xfId="0" applyFont="1" applyBorder="1" applyAlignment="1">
      <alignment horizontal="center" vertical="center"/>
    </xf>
    <xf numFmtId="181" fontId="26" fillId="4" borderId="10" xfId="0" applyFont="1" applyFill="1" applyBorder="1" applyAlignment="1">
      <alignment horizontal="center" vertical="center"/>
    </xf>
    <xf numFmtId="181" fontId="26" fillId="4" borderId="14" xfId="0" applyFont="1" applyFill="1" applyBorder="1" applyAlignment="1">
      <alignment horizontal="center" vertical="center"/>
    </xf>
    <xf numFmtId="181" fontId="26" fillId="4" borderId="11" xfId="0" applyFont="1" applyFill="1" applyBorder="1" applyAlignment="1">
      <alignment horizontal="center" vertical="center"/>
    </xf>
    <xf numFmtId="0" fontId="30" fillId="2" borderId="2" xfId="0" applyNumberFormat="1" applyFont="1" applyFill="1" applyBorder="1" applyAlignment="1">
      <alignment horizontal="center" vertical="center"/>
    </xf>
    <xf numFmtId="0" fontId="0" fillId="6" borderId="12" xfId="0" applyNumberFormat="1" applyFill="1" applyBorder="1" applyAlignment="1">
      <alignment horizontal="right" vertical="center"/>
    </xf>
    <xf numFmtId="0" fontId="0" fillId="6" borderId="13" xfId="0" applyNumberFormat="1" applyFill="1" applyBorder="1" applyAlignment="1">
      <alignment horizontal="right" vertical="center"/>
    </xf>
    <xf numFmtId="181" fontId="15" fillId="2" borderId="12" xfId="0" applyFont="1" applyFill="1" applyBorder="1" applyAlignment="1">
      <alignment horizontal="left" vertical="center"/>
    </xf>
    <xf numFmtId="181" fontId="15" fillId="2" borderId="13" xfId="0" applyFont="1" applyFill="1" applyBorder="1" applyAlignment="1">
      <alignment horizontal="left" vertical="center"/>
    </xf>
    <xf numFmtId="181" fontId="0" fillId="6" borderId="12" xfId="0" applyFill="1" applyBorder="1" applyAlignment="1">
      <alignment horizontal="left" vertical="center"/>
    </xf>
    <xf numFmtId="181" fontId="0" fillId="6" borderId="13" xfId="0" applyFill="1" applyBorder="1" applyAlignment="1">
      <alignment horizontal="left" vertical="center"/>
    </xf>
    <xf numFmtId="0" fontId="0" fillId="2" borderId="12" xfId="0" applyNumberFormat="1" applyFill="1" applyBorder="1" applyAlignment="1">
      <alignment horizontal="right" vertical="center"/>
    </xf>
    <xf numFmtId="0" fontId="0" fillId="2" borderId="13" xfId="0" applyNumberFormat="1" applyFill="1" applyBorder="1" applyAlignment="1">
      <alignment horizontal="right" vertical="center"/>
    </xf>
    <xf numFmtId="181" fontId="0" fillId="2" borderId="12" xfId="0" applyFill="1" applyBorder="1" applyAlignment="1">
      <alignment horizontal="left" vertical="center"/>
    </xf>
    <xf numFmtId="181" fontId="0" fillId="2" borderId="13" xfId="0" applyFill="1" applyBorder="1" applyAlignment="1">
      <alignment horizontal="left" vertical="center"/>
    </xf>
    <xf numFmtId="181" fontId="0" fillId="2" borderId="12" xfId="0" applyFill="1" applyBorder="1" applyAlignment="1">
      <alignment horizontal="center" vertical="center"/>
    </xf>
    <xf numFmtId="181" fontId="0" fillId="2" borderId="17" xfId="0" applyFill="1" applyBorder="1" applyAlignment="1">
      <alignment horizontal="center" vertical="center"/>
    </xf>
    <xf numFmtId="181" fontId="0" fillId="2" borderId="13" xfId="0" applyFill="1" applyBorder="1" applyAlignment="1">
      <alignment horizontal="center" vertical="center"/>
    </xf>
    <xf numFmtId="181" fontId="26" fillId="4" borderId="2" xfId="0" applyFont="1" applyFill="1" applyBorder="1" applyAlignment="1">
      <alignment horizontal="center" vertical="center"/>
    </xf>
    <xf numFmtId="181" fontId="4" fillId="2" borderId="12" xfId="0" applyFont="1" applyFill="1" applyBorder="1" applyAlignment="1">
      <alignment horizontal="center" vertical="center"/>
    </xf>
    <xf numFmtId="181" fontId="4" fillId="2" borderId="13" xfId="0" applyFont="1" applyFill="1" applyBorder="1" applyAlignment="1">
      <alignment horizontal="center" vertical="center"/>
    </xf>
    <xf numFmtId="181" fontId="4" fillId="6" borderId="12" xfId="0" applyFont="1" applyFill="1" applyBorder="1" applyAlignment="1">
      <alignment horizontal="center" vertical="center"/>
    </xf>
    <xf numFmtId="181" fontId="4" fillId="6" borderId="13" xfId="0" applyFont="1" applyFill="1" applyBorder="1" applyAlignment="1">
      <alignment horizontal="center" vertical="center"/>
    </xf>
    <xf numFmtId="181" fontId="30" fillId="0" borderId="3" xfId="0" applyFont="1" applyBorder="1" applyAlignment="1">
      <alignment horizontal="center" vertical="center"/>
    </xf>
    <xf numFmtId="181" fontId="30" fillId="0" borderId="1" xfId="0" applyFont="1" applyBorder="1" applyAlignment="1">
      <alignment horizontal="center" vertical="center"/>
    </xf>
    <xf numFmtId="181" fontId="30" fillId="0" borderId="4" xfId="0" applyFont="1" applyBorder="1" applyAlignment="1">
      <alignment horizontal="center" vertical="center"/>
    </xf>
    <xf numFmtId="181" fontId="30" fillId="0" borderId="7" xfId="0" applyFont="1" applyBorder="1" applyAlignment="1">
      <alignment horizontal="center" vertical="center"/>
    </xf>
    <xf numFmtId="181" fontId="30" fillId="0" borderId="8" xfId="0" applyFont="1" applyBorder="1" applyAlignment="1">
      <alignment horizontal="center" vertical="center"/>
    </xf>
    <xf numFmtId="181" fontId="30" fillId="0" borderId="9" xfId="0" applyFont="1" applyBorder="1" applyAlignment="1">
      <alignment horizontal="center" vertical="center"/>
    </xf>
    <xf numFmtId="181" fontId="31" fillId="4" borderId="3" xfId="0" applyFont="1" applyFill="1" applyBorder="1" applyAlignment="1">
      <alignment horizontal="center" vertical="center"/>
    </xf>
    <xf numFmtId="181" fontId="31" fillId="4" borderId="1" xfId="0" applyFont="1" applyFill="1" applyBorder="1" applyAlignment="1">
      <alignment horizontal="center" vertical="center"/>
    </xf>
    <xf numFmtId="181" fontId="31" fillId="4" borderId="4" xfId="0" applyFont="1" applyFill="1" applyBorder="1" applyAlignment="1">
      <alignment horizontal="center" vertical="center"/>
    </xf>
    <xf numFmtId="181" fontId="31" fillId="4" borderId="7" xfId="0" applyFont="1" applyFill="1" applyBorder="1" applyAlignment="1">
      <alignment horizontal="center" vertical="center"/>
    </xf>
    <xf numFmtId="181" fontId="31" fillId="4" borderId="8" xfId="0" applyFont="1" applyFill="1" applyBorder="1" applyAlignment="1">
      <alignment horizontal="center" vertical="center"/>
    </xf>
    <xf numFmtId="181" fontId="31" fillId="4" borderId="9" xfId="0" applyFont="1" applyFill="1" applyBorder="1" applyAlignment="1">
      <alignment horizontal="center" vertical="center"/>
    </xf>
    <xf numFmtId="181" fontId="17" fillId="2" borderId="1" xfId="0" applyFont="1" applyFill="1" applyBorder="1" applyAlignment="1">
      <alignment horizontal="center" vertical="center"/>
    </xf>
    <xf numFmtId="181" fontId="17" fillId="2" borderId="0" xfId="0" applyFont="1" applyFill="1" applyAlignment="1">
      <alignment horizontal="center" vertical="center"/>
    </xf>
    <xf numFmtId="181" fontId="17" fillId="2" borderId="8" xfId="0" applyFont="1" applyFill="1" applyBorder="1" applyAlignment="1">
      <alignment horizontal="center" vertical="center"/>
    </xf>
    <xf numFmtId="181" fontId="12" fillId="2" borderId="3" xfId="0" applyFont="1" applyFill="1" applyBorder="1" applyAlignment="1">
      <alignment horizontal="center" vertical="center"/>
    </xf>
    <xf numFmtId="181" fontId="12" fillId="2" borderId="1" xfId="0" applyFont="1" applyFill="1" applyBorder="1" applyAlignment="1">
      <alignment horizontal="center" vertical="center"/>
    </xf>
    <xf numFmtId="181" fontId="12" fillId="2" borderId="4" xfId="0" applyFont="1" applyFill="1" applyBorder="1" applyAlignment="1">
      <alignment horizontal="center" vertical="center"/>
    </xf>
    <xf numFmtId="181" fontId="12" fillId="2" borderId="5" xfId="0" applyFont="1" applyFill="1" applyBorder="1" applyAlignment="1">
      <alignment horizontal="center" vertical="center"/>
    </xf>
    <xf numFmtId="181" fontId="12" fillId="2" borderId="0" xfId="0" applyFont="1" applyFill="1" applyAlignment="1">
      <alignment horizontal="center" vertical="center"/>
    </xf>
    <xf numFmtId="181" fontId="12" fillId="2" borderId="6" xfId="0" applyFont="1" applyFill="1" applyBorder="1" applyAlignment="1">
      <alignment horizontal="center" vertical="center"/>
    </xf>
    <xf numFmtId="181" fontId="12" fillId="2" borderId="7" xfId="0" applyFont="1" applyFill="1" applyBorder="1" applyAlignment="1">
      <alignment horizontal="center" vertical="center"/>
    </xf>
    <xf numFmtId="181" fontId="12" fillId="2" borderId="8" xfId="0" applyFont="1" applyFill="1" applyBorder="1" applyAlignment="1">
      <alignment horizontal="center" vertical="center"/>
    </xf>
    <xf numFmtId="181" fontId="12" fillId="2" borderId="9" xfId="0" applyFont="1" applyFill="1" applyBorder="1" applyAlignment="1">
      <alignment horizontal="center" vertical="center"/>
    </xf>
    <xf numFmtId="181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left" vertical="center"/>
    </xf>
    <xf numFmtId="38" fontId="0" fillId="0" borderId="10" xfId="0" applyNumberFormat="1" applyBorder="1">
      <alignment vertical="center"/>
    </xf>
    <xf numFmtId="184" fontId="33" fillId="0" borderId="23" xfId="0" applyNumberFormat="1" applyFont="1" applyFill="1" applyBorder="1" applyAlignment="1">
      <alignment horizontal="left" vertical="center"/>
    </xf>
    <xf numFmtId="192" fontId="33" fillId="0" borderId="23" xfId="0" applyNumberFormat="1" applyFont="1" applyFill="1" applyBorder="1" applyAlignment="1">
      <alignment horizontal="left" vertical="center"/>
    </xf>
    <xf numFmtId="178" fontId="7" fillId="3" borderId="0" xfId="0" applyNumberFormat="1" applyFont="1" applyFill="1" applyAlignment="1">
      <alignment horizontal="center" vertical="center"/>
    </xf>
    <xf numFmtId="181" fontId="36" fillId="0" borderId="0" xfId="0" applyFont="1">
      <alignment vertical="center"/>
    </xf>
    <xf numFmtId="181" fontId="0" fillId="0" borderId="0" xfId="0" applyBorder="1" applyAlignment="1">
      <alignment vertical="center"/>
    </xf>
  </cellXfs>
  <cellStyles count="9">
    <cellStyle name="常规" xfId="0" builtinId="0"/>
    <cellStyle name="常规 2" xfId="2" xr:uid="{00000000-0005-0000-0000-000001000000}"/>
    <cellStyle name="常规 3" xfId="1" xr:uid="{00000000-0005-0000-0000-000002000000}"/>
    <cellStyle name="常规 4" xfId="3" xr:uid="{00000000-0005-0000-0000-000003000000}"/>
    <cellStyle name="常规 5" xfId="4" xr:uid="{00000000-0005-0000-0000-000004000000}"/>
    <cellStyle name="常规 6" xfId="5" xr:uid="{00000000-0005-0000-0000-000005000000}"/>
    <cellStyle name="常规 7" xfId="6" xr:uid="{00000000-0005-0000-0000-000006000000}"/>
    <cellStyle name="超链接" xfId="7" builtinId="8" customBuiltin="1"/>
    <cellStyle name="已访问的超链接" xfId="8" builtinId="9" customBuiltin="1"/>
  </cellStyles>
  <dxfs count="350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>
          <bgColor theme="0"/>
        </patternFill>
      </fill>
    </dxf>
    <dxf>
      <font>
        <color theme="1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8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family val="3"/>
        <charset val="134"/>
        <scheme val="minor"/>
      </font>
      <numFmt numFmtId="178" formatCode="0_);[Red]\(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color theme="0"/>
      </font>
      <numFmt numFmtId="178" formatCode="0_);[Red]\(0\)"/>
      <fill>
        <patternFill>
          <fgColor theme="4"/>
        </patternFill>
      </fill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8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1" formatCode="[$NT$-404]#,##0.00_);[Red]\([$NT$-404]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6" formatCode="&quot;¥&quot;#,##0.00_);[Red]\(&quot;¥&quot;#,##0.00\)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8" formatCode="0_);[Red]\(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8" formatCode="0_);[Red]\(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6" formatCode="&quot;¥&quot;#,##0.00_);[Red]\(&quot;¥&quot;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6" formatCode="&quot;¥&quot;#,##0.00_);[Red]\(&quot;¥&quot;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8" formatCode="yyyy/m/d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5" formatCode="yyyy&quot;年&quot;mm&quot;月&quot;&quot;第&quot;d&quot;次印刷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5" formatCode="yyyy&quot;年&quot;mm&quot;月&quot;&quot;第&quot;d&quot;次印刷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78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92" formatCode="yyyy&quot;年&quot;m&quot;月第&quot;d&quot;次印刷&quot;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184" formatCode="yyyy&quot;年&quot;mm&quot;月&quot;&quot;第&quot;d&quot;版&quot;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0.14999847407452621"/>
        <name val="等线"/>
        <charset val="134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等线"/>
        <charset val="134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83" formatCode="0.00_);[Red]\(0.00\)"/>
      <fill>
        <patternFill>
          <fgColor indexed="64"/>
          <bgColor theme="0"/>
        </patternFill>
      </fill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77" formatCode="&quot;¥&quot;#,##0.00_);\(&quot;¥&quot;#,##0.00\)"/>
      <fill>
        <patternFill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77" formatCode="&quot;¥&quot;#,##0.00_);\(&quot;¥&quot;#,##0.00\)"/>
      <fill>
        <patternFill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numFmt numFmtId="0" formatCode="General"/>
      <fill>
        <patternFill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fill>
        <patternFill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outline="0">
        <top style="thin">
          <color indexed="64"/>
        </top>
      </border>
    </dxf>
    <dxf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>
          <fgColor indexed="64"/>
          <bgColor theme="0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numFmt numFmtId="187" formatCode="m/d/yyyy"/>
    </dxf>
    <dxf>
      <fill>
        <patternFill>
          <bgColor theme="4"/>
        </patternFill>
      </fill>
    </dxf>
    <dxf>
      <alignment horizontal="center"/>
    </dxf>
    <dxf>
      <alignment horizontal="center"/>
    </dxf>
    <dxf>
      <fill>
        <patternFill>
          <bgColor theme="4"/>
        </patternFill>
      </fill>
    </dxf>
    <dxf>
      <font>
        <b/>
      </font>
    </dxf>
    <dxf>
      <numFmt numFmtId="183" formatCode="0.00_);[Red]\(0.00\)"/>
    </dxf>
    <dxf>
      <numFmt numFmtId="183" formatCode="0.00_);[Red]\(0.00\)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general"/>
    </dxf>
    <dxf>
      <alignment horizontal="center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ont>
        <b/>
      </font>
    </dxf>
    <dxf>
      <numFmt numFmtId="178" formatCode="0_);[Red]\(0\)"/>
    </dxf>
    <dxf>
      <numFmt numFmtId="178" formatCode="0_);[Red]\(0\)"/>
    </dxf>
    <dxf>
      <numFmt numFmtId="179" formatCode="0.00_ 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  <protection locked="1" hidden="0"/>
    </dxf>
    <dxf>
      <numFmt numFmtId="176" formatCode="&quot;¥&quot;#,##0.00_);[Red]\(&quot;¥&quot;#,##0.00\)"/>
      <fill>
        <patternFill patternType="solid"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numFmt numFmtId="176" formatCode="&quot;¥&quot;#,##0.00_);[Red]\(&quot;¥&quot;#,##0.00\)"/>
      <fill>
        <patternFill patternType="solid"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fill>
        <patternFill patternType="solid">
          <fgColor indexed="64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border outline="0">
        <top style="thin">
          <color theme="4"/>
        </top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ill>
        <patternFill patternType="solid">
          <fgColor indexed="64"/>
          <bgColor theme="0"/>
        </patternFill>
      </fill>
      <protection locked="1" hidden="0"/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charset val="134"/>
        <scheme val="minor"/>
      </font>
      <numFmt numFmtId="179" formatCode="0.00_ "/>
      <fill>
        <patternFill patternType="solid">
          <fgColor theme="4" tint="0.79998168889431442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charset val="134"/>
        <scheme val="minor"/>
      </font>
      <numFmt numFmtId="176" formatCode="&quot;¥&quot;#,##0.00_);[Red]\(&quot;¥&quot;#,##0.00\)"/>
      <fill>
        <patternFill patternType="solid">
          <fgColor theme="4" tint="0.79998168889431442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charset val="134"/>
        <scheme val="minor"/>
      </font>
      <numFmt numFmtId="176" formatCode="&quot;¥&quot;#,##0.00_);[Red]\(&quot;¥&quot;#,##0.00\)"/>
      <fill>
        <patternFill patternType="solid">
          <fgColor theme="4" tint="0.79998168889431442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charset val="134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charset val="134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charset val="134"/>
        <scheme val="minor"/>
      </font>
      <fill>
        <patternFill patternType="solid">
          <fgColor theme="4" tint="0.79998168889431442"/>
          <bgColor theme="0"/>
        </patternFill>
      </fill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charset val="134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  <protection locked="1" hidden="0"/>
    </dxf>
    <dxf>
      <border outline="0">
        <top style="thin">
          <color theme="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2"/>
        <charset val="134"/>
        <scheme val="minor"/>
      </font>
      <fill>
        <patternFill patternType="solid">
          <fgColor theme="4" tint="0.79998168889431442"/>
          <bgColor theme="0"/>
        </patternFill>
      </fill>
      <protection locked="1" hidden="0"/>
    </dxf>
    <dxf>
      <border outline="0">
        <bottom style="thin">
          <color theme="4"/>
        </bottom>
      </border>
    </dxf>
    <dxf>
      <numFmt numFmtId="176" formatCode="&quot;¥&quot;#,##0.00_);[Red]\(&quot;¥&quot;#,##0.00\)"/>
      <alignment horizontal="right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176" formatCode="&quot;¥&quot;#,##0.00_);[Red]\(&quot;¥&quot;#,##0.00\)"/>
      <alignment horizontal="right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等线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 style="thin">
          <color theme="4"/>
        </horizontal>
      </border>
      <protection locked="1" hidden="0"/>
    </dxf>
    <dxf>
      <numFmt numFmtId="176" formatCode="&quot;¥&quot;#,##0.00_);[Red]\(&quot;¥&quot;#,##0.00\)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176" formatCode="&quot;¥&quot;#,##0.00_);[Red]\(&quot;¥&quot;#,##0.00\)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等线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/>
        <bottom/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  <protection locked="1" hidden="0"/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  <protection locked="1" hidden="0"/>
    </dxf>
    <dxf>
      <numFmt numFmtId="179" formatCode="0.00_ "/>
      <alignment horizontal="right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176" formatCode="&quot;¥&quot;#,##0.00_);[Red]\(&quot;¥&quot;#,##0.00\)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176" formatCode="&quot;¥&quot;#,##0.00_);[Red]\(&quot;¥&quot;#,##0.00\)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 style="thin">
          <color theme="4"/>
        </horizontal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等线"/>
        <scheme val="minor"/>
      </font>
      <alignment horizontal="left" vertical="center" textRotation="0" wrapText="0" indent="0" justifyLastLine="0" shrinkToFit="0" readingOrder="0"/>
      <protection locked="1" hidden="0"/>
    </dxf>
    <dxf>
      <fill>
        <patternFill>
          <bgColor theme="4"/>
        </patternFill>
      </fill>
    </dxf>
    <dxf>
      <font>
        <b/>
      </font>
    </dxf>
    <dxf>
      <numFmt numFmtId="183" formatCode="0.00_);[Red]\(0.00\)"/>
    </dxf>
    <dxf>
      <numFmt numFmtId="183" formatCode="0.00_);[Red]\(0.00\)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general"/>
    </dxf>
    <dxf>
      <alignment horizontal="center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ont>
        <b/>
      </font>
    </dxf>
    <dxf>
      <numFmt numFmtId="178" formatCode="0_);[Red]\(0\)"/>
    </dxf>
    <dxf>
      <numFmt numFmtId="178" formatCode="0_);[Red]\(0\)"/>
    </dxf>
    <dxf>
      <fill>
        <patternFill>
          <fgColor indexed="64"/>
          <bgColor theme="4"/>
        </patternFill>
      </fill>
    </dxf>
    <dxf>
      <font>
        <color theme="0"/>
      </font>
      <numFmt numFmtId="186" formatCode="#,##0_);[Red]\(#,##0\)"/>
      <fill>
        <patternFill>
          <fgColor theme="4"/>
        </patternFill>
      </fill>
      <alignment horizontal="center"/>
    </dxf>
    <dxf>
      <numFmt numFmtId="14" formatCode="0.00%"/>
    </dxf>
    <dxf>
      <fill>
        <patternFill>
          <bgColor theme="4"/>
        </patternFill>
      </fill>
    </dxf>
    <dxf>
      <alignment horizontal="center"/>
    </dxf>
    <dxf>
      <font>
        <color theme="0"/>
      </font>
    </dxf>
    <dxf>
      <fill>
        <patternFill>
          <bgColor theme="4"/>
        </patternFill>
      </fill>
    </dxf>
    <dxf>
      <numFmt numFmtId="186" formatCode="#,##0_);[Red]\(#,##0\)"/>
    </dxf>
    <dxf>
      <numFmt numFmtId="186" formatCode="#,##0_);[Red]\(#,##0\)"/>
    </dxf>
    <dxf>
      <alignment horizontal="center"/>
    </dxf>
    <dxf>
      <alignment horizontal="center"/>
    </dxf>
    <dxf>
      <fill>
        <patternFill>
          <bgColor theme="4"/>
        </patternFill>
      </fill>
    </dxf>
    <dxf>
      <font>
        <b/>
      </font>
    </dxf>
    <dxf>
      <numFmt numFmtId="183" formatCode="0.00_);[Red]\(0.00\)"/>
    </dxf>
    <dxf>
      <numFmt numFmtId="183" formatCode="0.00_);[Red]\(0.00\)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general"/>
    </dxf>
    <dxf>
      <alignment horizontal="center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ont>
        <b/>
      </font>
    </dxf>
    <dxf>
      <numFmt numFmtId="178" formatCode="0_);[Red]\(0\)"/>
    </dxf>
    <dxf>
      <numFmt numFmtId="178" formatCode="0_);[Red]\(0\)"/>
    </dxf>
    <dxf>
      <fill>
        <patternFill>
          <bgColor theme="4"/>
        </patternFill>
      </fill>
    </dxf>
    <dxf>
      <font>
        <b/>
      </font>
    </dxf>
    <dxf>
      <numFmt numFmtId="183" formatCode="0.00_);[Red]\(0.00\)"/>
    </dxf>
    <dxf>
      <numFmt numFmtId="183" formatCode="0.00_);[Red]\(0.00\)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general"/>
    </dxf>
    <dxf>
      <alignment horizontal="center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ont>
        <b/>
      </font>
    </dxf>
    <dxf>
      <numFmt numFmtId="178" formatCode="0_);[Red]\(0\)"/>
    </dxf>
    <dxf>
      <numFmt numFmtId="178" formatCode="0_);[Red]\(0\)"/>
    </dxf>
    <dxf>
      <alignment horizontal="center"/>
    </dxf>
    <dxf>
      <alignment horizontal="center"/>
    </dxf>
    <dxf>
      <fill>
        <patternFill>
          <bgColor theme="4"/>
        </patternFill>
      </fill>
    </dxf>
    <dxf>
      <font>
        <b/>
      </font>
    </dxf>
    <dxf>
      <numFmt numFmtId="183" formatCode="0.00_);[Red]\(0.00\)"/>
    </dxf>
    <dxf>
      <numFmt numFmtId="183" formatCode="0.00_);[Red]\(0.00\)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center"/>
    </dxf>
    <dxf>
      <alignment horizontal="general"/>
    </dxf>
    <dxf>
      <alignment horizontal="center"/>
    </dxf>
    <dxf>
      <font>
        <b/>
      </font>
    </dxf>
    <dxf>
      <numFmt numFmtId="176" formatCode="&quot;¥&quot;#,##0.00_);[Red]\(&quot;¥&quot;#,##0.00\)"/>
    </dxf>
    <dxf>
      <numFmt numFmtId="176" formatCode="&quot;¥&quot;#,##0.00_);[Red]\(&quot;¥&quot;#,##0.00\)"/>
    </dxf>
    <dxf>
      <font>
        <b/>
      </font>
    </dxf>
    <dxf>
      <numFmt numFmtId="178" formatCode="0_);[Red]\(0\)"/>
    </dxf>
    <dxf>
      <numFmt numFmtId="178" formatCode="0_);[Red]\(0\)"/>
    </dxf>
    <dxf>
      <font>
        <b/>
        <i val="0"/>
        <color theme="0"/>
      </font>
      <fill>
        <patternFill patternType="solid">
          <bgColor theme="4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top style="thin">
          <color theme="4"/>
        </top>
        <bottom style="thin">
          <color theme="4"/>
        </bottom>
      </border>
    </dxf>
    <dxf>
      <border>
        <top style="thin">
          <color theme="4"/>
        </top>
        <bottom style="thin">
          <color theme="4"/>
        </bottom>
      </border>
    </dxf>
    <dxf>
      <font>
        <color theme="4"/>
      </font>
    </dxf>
    <dxf>
      <font>
        <b/>
        <color theme="1"/>
      </font>
    </dxf>
    <dxf>
      <font>
        <color theme="4"/>
      </font>
    </dxf>
    <dxf>
      <font>
        <b/>
        <color theme="1"/>
      </font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theme="4" tint="0.59999389629810485"/>
        </left>
        <right style="thin">
          <color theme="4" tint="0.59999389629810485"/>
        </right>
        <top style="thin">
          <color theme="4" tint="0.59999389629810485"/>
        </top>
        <bottom style="thin">
          <color theme="4" tint="0.59999389629810485"/>
        </bottom>
        <vertical style="thin">
          <color theme="4" tint="0.59999389629810485"/>
        </vertical>
        <horizontal style="thin">
          <color theme="4" tint="0.59999389629810485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59999389629810485"/>
        </top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4"/>
        </top>
        <bottom style="thin">
          <color theme="4"/>
        </bottom>
      </border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ont>
        <color theme="1"/>
      </font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</dxfs>
  <tableStyles count="2" defaultTableStyle="TableStyleLight9" defaultPivotStyle="PivotStyleLight16">
    <tableStyle name="数据透视表 template" table="0" count="11" xr9:uid="{00000000-0011-0000-FFFF-FFFF00000000}">
      <tableStyleElement type="wholeTable" dxfId="349"/>
      <tableStyleElement type="headerRow" dxfId="348"/>
      <tableStyleElement type="totalRow" dxfId="347"/>
      <tableStyleElement type="firstRowStripe" dxfId="346"/>
      <tableStyleElement type="firstColumnStripe" dxfId="345"/>
      <tableStyleElement type="firstSubtotalRow" dxfId="344"/>
      <tableStyleElement type="secondSubtotalRow" dxfId="343"/>
      <tableStyleElement type="firstRowSubheading" dxfId="342"/>
      <tableStyleElement type="secondRowSubheading" dxfId="341"/>
      <tableStyleElement type="pageFieldLabels" dxfId="340"/>
      <tableStyleElement type="pageFieldValues" dxfId="339"/>
    </tableStyle>
    <tableStyle name="数据透视表样式 T" table="0" count="3" xr9:uid="{00000000-0011-0000-FFFF-FFFF01000000}">
      <tableStyleElement type="wholeTable" dxfId="338"/>
      <tableStyleElement type="headerRow" dxfId="337"/>
      <tableStyleElement type="pageFieldLabels" dxfId="3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[书库 20210516.xlsm]出版社!出版社统计</c:name>
    <c:fmtId val="3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5787537622504648E-2"/>
              <c:y val="-2.9867201533966176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3.3145854810716288E-2"/>
              <c:y val="-2.802202045386847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7024321033117674E-2"/>
              <c:y val="-5.9964819065602025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9192549283877391E-2"/>
              <c:y val="-2.548504810288074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4161705388858281E-2"/>
              <c:y val="3.4479770962721007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33686075733142"/>
              <c:y val="3.758141581659453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7734888234087682E-2"/>
          <c:y val="5.7054400603236639E-2"/>
          <c:w val="0.62894550608661082"/>
          <c:h val="0.80335266759170909"/>
        </c:manualLayout>
      </c:layout>
      <c:pieChart>
        <c:varyColors val="1"/>
        <c:ser>
          <c:idx val="0"/>
          <c:order val="0"/>
          <c:tx>
            <c:strRef>
              <c:f>出版社!$D$5</c:f>
              <c:strCache>
                <c:ptCount val="1"/>
                <c:pt idx="0">
                  <c:v>套数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62-484B-A0A5-DD66CF1730F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F62-484B-A0A5-DD66CF1730F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F62-484B-A0A5-DD66CF1730F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F62-484B-A0A5-DD66CF1730F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AF62-484B-A0A5-DD66CF1730F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AF62-484B-A0A5-DD66CF1730F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F62-484B-A0A5-DD66CF1730F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AF62-484B-A0A5-DD66CF1730F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F62-484B-A0A5-DD66CF1730F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AF62-484B-A0A5-DD66CF1730FE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F62-484B-A0A5-DD66CF1730FE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F62-484B-A0A5-DD66CF1730FE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AF62-484B-A0A5-DD66CF1730FE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284-42D1-8533-E4BF70B349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284-42D1-8533-E4BF70B349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284-42D1-8533-E4BF70B349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284-42D1-8533-E4BF70B349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2284-42D1-8533-E4BF70B349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2284-42D1-8533-E4BF70B349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2284-42D1-8533-E4BF70B349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2284-42D1-8533-E4BF70B349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2284-42D1-8533-E4BF70B349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2284-42D1-8533-E4BF70B349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2284-42D1-8533-E4BF70B349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2284-42D1-8533-E4BF70B349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2284-42D1-8533-E4BF70B349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2284-42D1-8533-E4BF70B349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2284-42D1-8533-E4BF70B349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2284-42D1-8533-E4BF70B349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2284-42D1-8533-E4BF70B349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2284-42D1-8533-E4BF70B349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2284-42D1-8533-E4BF70B349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2284-42D1-8533-E4BF70B349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2284-42D1-8533-E4BF70B349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2284-42D1-8533-E4BF70B349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2284-42D1-8533-E4BF70B349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2284-42D1-8533-E4BF70B349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2284-42D1-8533-E4BF70B349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2284-42D1-8533-E4BF70B349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2284-42D1-8533-E4BF70B349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2284-42D1-8533-E4BF70B349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2284-42D1-8533-E4BF70B349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2284-42D1-8533-E4BF70B349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2284-42D1-8533-E4BF70B349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2284-42D1-8533-E4BF70B349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2284-42D1-8533-E4BF70B349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2284-42D1-8533-E4BF70B349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2284-42D1-8533-E4BF70B349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2284-42D1-8533-E4BF70B349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2284-42D1-8533-E4BF70B349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2284-42D1-8533-E4BF70B349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2284-42D1-8533-E4BF70B349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2284-42D1-8533-E4BF70B349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2284-42D1-8533-E4BF70B349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2284-42D1-8533-E4BF70B349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2284-42D1-8533-E4BF70B349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2284-42D1-8533-E4BF70B349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2284-42D1-8533-E4BF70B349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2284-42D1-8533-E4BF70B349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2284-42D1-8533-E4BF70B349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2284-42D1-8533-E4BF70B349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2284-42D1-8533-E4BF70B349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2284-42D1-8533-E4BF70B349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2284-42D1-8533-E4BF70B349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2284-42D1-8533-E4BF70B349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2284-42D1-8533-E4BF70B349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2284-42D1-8533-E4BF70B349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2284-42D1-8533-E4BF70B349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2284-42D1-8533-E4BF70B349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2284-42D1-8533-E4BF70B349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2284-42D1-8533-E4BF70B349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2284-42D1-8533-E4BF70B349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2284-42D1-8533-E4BF70B349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2284-42D1-8533-E4BF70B349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2284-42D1-8533-E4BF70B349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2284-42D1-8533-E4BF70B349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2284-42D1-8533-E4BF70B349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2284-42D1-8533-E4BF70B349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2284-42D1-8533-E4BF70B349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2284-42D1-8533-E4BF70B349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2284-42D1-8533-E4BF70B349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2284-42D1-8533-E4BF70B349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2284-42D1-8533-E4BF70B349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2284-42D1-8533-E4BF70B349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2284-42D1-8533-E4BF70B349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2284-42D1-8533-E4BF70B349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2284-42D1-8533-E4BF70B349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2284-42D1-8533-E4BF70B34936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2284-42D1-8533-E4BF70B34936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2284-42D1-8533-E4BF70B34936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2284-42D1-8533-E4BF70B34936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2284-42D1-8533-E4BF70B34936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2284-42D1-8533-E4BF70B34936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2284-42D1-8533-E4BF70B34936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2284-42D1-8533-E4BF70B34936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2284-42D1-8533-E4BF70B34936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2284-42D1-8533-E4BF70B34936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2284-42D1-8533-E4BF70B34936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2284-42D1-8533-E4BF70B34936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2284-42D1-8533-E4BF70B34936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2284-42D1-8533-E4BF70B34936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2284-42D1-8533-E4BF70B34936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2284-42D1-8533-E4BF70B34936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2284-42D1-8533-E4BF70B34936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2284-42D1-8533-E4BF70B34936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2284-42D1-8533-E4BF70B34936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2284-42D1-8533-E4BF70B34936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2284-42D1-8533-E4BF70B34936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2284-42D1-8533-E4BF70B34936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2284-42D1-8533-E4BF70B34936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D-2284-42D1-8533-E4BF70B34936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F-2284-42D1-8533-E4BF70B34936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1-2284-42D1-8533-E4BF70B34936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3-2284-42D1-8533-E4BF70B34936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5-2284-42D1-8533-E4BF70B34936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7-2284-42D1-8533-E4BF70B34936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9-2284-42D1-8533-E4BF70B34936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B-2284-42D1-8533-E4BF70B34936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D-2284-42D1-8533-E4BF70B34936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EF-2284-42D1-8533-E4BF70B34936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1-2284-42D1-8533-E4BF70B34936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3-2284-42D1-8533-E4BF70B34936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2284-42D1-8533-E4BF70B34936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2284-42D1-8533-E4BF70B34936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2284-42D1-8533-E4BF70B34936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B-2284-42D1-8533-E4BF70B34936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D-2284-42D1-8533-E4BF70B34936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F-2284-42D1-8533-E4BF70B34936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1-2284-42D1-8533-E4BF70B34936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3-2284-42D1-8533-E4BF70B34936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5-2284-42D1-8533-E4BF70B34936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7-2284-42D1-8533-E4BF70B34936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9-2284-42D1-8533-E4BF70B34936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B-2284-42D1-8533-E4BF70B34936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D-2284-42D1-8533-E4BF70B34936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0F-2284-42D1-8533-E4BF70B34936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1-2284-42D1-8533-E4BF70B34936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3-2284-42D1-8533-E4BF70B34936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5-2284-42D1-8533-E4BF70B34936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7-2284-42D1-8533-E4BF70B34936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9-2284-42D1-8533-E4BF70B34936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B-2284-42D1-8533-E4BF70B34936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D-2284-42D1-8533-E4BF70B34936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1F-2284-42D1-8533-E4BF70B34936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1-2284-42D1-8533-E4BF70B34936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3-2284-42D1-8533-E4BF70B34936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5-2284-42D1-8533-E4BF70B34936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7-2284-42D1-8533-E4BF70B34936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9-2284-42D1-8533-E4BF70B34936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B-2284-42D1-8533-E4BF70B34936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D-2284-42D1-8533-E4BF70B34936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2F-2284-42D1-8533-E4BF70B34936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1-2284-42D1-8533-E4BF70B34936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3-2284-42D1-8533-E4BF70B34936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5-2284-42D1-8533-E4BF70B34936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7-2284-42D1-8533-E4BF70B34936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9-2284-42D1-8533-E4BF70B34936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B-2284-42D1-8533-E4BF70B34936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D-2284-42D1-8533-E4BF70B34936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3F-2284-42D1-8533-E4BF70B34936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1-2284-42D1-8533-E4BF70B34936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3-2284-42D1-8533-E4BF70B34936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5-2284-42D1-8533-E4BF70B34936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7-2284-42D1-8533-E4BF70B34936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9-2284-42D1-8533-E4BF70B34936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B-2284-42D1-8533-E4BF70B34936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D-2284-42D1-8533-E4BF70B34936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4F-2284-42D1-8533-E4BF70B34936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1-2284-42D1-8533-E4BF70B34936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3-2284-42D1-8533-E4BF70B34936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5-2284-42D1-8533-E4BF70B34936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7-2284-42D1-8533-E4BF70B34936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9-2284-42D1-8533-E4BF70B34936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B-2284-42D1-8533-E4BF70B34936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D-2284-42D1-8533-E4BF70B34936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5F-2284-42D1-8533-E4BF70B34936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1-2284-42D1-8533-E4BF70B34936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738B-49EB-96DB-AFA74B35C7FB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6578-4592-93F5-DE212BDC5272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6B8A-4009-980A-55230C80B50E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6B8A-4009-980A-55230C80B50E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DF93-4C5F-8A87-E9CF2EE3DB69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2BDE-4002-AB71-BBD7ADFA2C55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2BDE-4002-AB71-BBD7ADFA2C55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EC35-4515-8C3B-BD42CFBC3ABF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2E51-45F4-81E6-9FD29FD86922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34CE-4802-9A3E-654C2921D0B5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DB7A-46F6-BC7F-D28C0ADA9A36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6423-4A9B-AA6B-8CBC78678AC0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9BF0-423C-921D-287168B4790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9BF0-423C-921D-287168B4790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9BF0-423C-921D-287168B4790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9BF0-423C-921D-287168B4790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CCD1-4DE6-9F2C-0BAC1DAC5AF6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C8BF-4A78-A115-4D3ECCF09FE8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C8BF-4A78-A115-4D3ECCF09FE8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C8BF-4A78-A115-4D3ECCF09FE8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3EC2-4D3E-8761-BC1C3AD72205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9BA1-4746-83A2-0E9B369C68E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EBD4-429D-B193-1EF8DBCDD778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2786-487C-8F31-E21CDFA8851F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5BCB-4B0F-B10B-C9636DFA245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E763-4EE5-8FE4-9029CA1A98AB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9671-45A0-8529-F9B807B11925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9671-45A0-8529-F9B807B11925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3465-455D-A37D-5787A8CCBE7E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3465-455D-A37D-5787A8CCBE7E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E0AB-4EFB-A053-CEC18F6F918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35CD-4FC0-98D9-9C30B7F1296A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35CD-4FC0-98D9-9C30B7F1296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B309-4CB2-B3DF-B4B554833499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B309-4CB2-B3DF-B4B554833499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B309-4CB2-B3DF-B4B554833499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B309-4CB2-B3DF-B4B554833499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9BBF-4BE6-AFFB-71500C977193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1DAE-4DF7-8E25-098F73DADF18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D7BF-4DD2-AE78-D5587D0A302E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D7BF-4DD2-AE78-D5587D0A302E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BAA7-436E-A946-0E3754EFD88A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BAA7-436E-A946-0E3754EFD88A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35B4-4AA8-B717-241B07968DE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3617-449B-AD99-E8560C07E6E6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3698-4F18-954E-7AE1BF63B5F6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2ED0-4147-A26C-9421690FDF1F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8A37-4C6D-AD7B-624B0F95A3D5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196C-48F1-9CD4-25643E6DD43D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A8EC-492E-BECF-6EC8F51BA946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A8EC-492E-BECF-6EC8F51BA946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A8EC-492E-BECF-6EC8F51BA946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67AE-41CD-B0C1-A388E92D2ED2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67AE-41CD-B0C1-A388E92D2ED2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B66C-48B3-AD3A-496CC6CC5DCD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D421-4D9B-93C3-8107C0EB1E09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54ED-4578-85D0-E551C9008228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4114-487F-8770-6F3C6EBEDACF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809A-4A78-91FA-E34671987083}"/>
              </c:ext>
            </c:extLst>
          </c:dPt>
          <c:cat>
            <c:strRef>
              <c:f>出版社!$C$6:$C$7</c:f>
              <c:strCache>
                <c:ptCount val="2"/>
                <c:pt idx="0">
                  <c:v>人民出版社</c:v>
                </c:pt>
                <c:pt idx="1">
                  <c:v>(空白)</c:v>
                </c:pt>
              </c:strCache>
            </c:strRef>
          </c:cat>
          <c:val>
            <c:numRef>
              <c:f>出版社!$D$6:$D$7</c:f>
              <c:numCache>
                <c:formatCode>0_);[Red]\(0\)</c:formatCode>
                <c:ptCount val="2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2-484B-A0A5-DD66CF1730FE}"/>
            </c:ext>
          </c:extLst>
        </c:ser>
        <c:ser>
          <c:idx val="1"/>
          <c:order val="1"/>
          <c:tx>
            <c:strRef>
              <c:f>出版社!$E$5</c:f>
              <c:strCache>
                <c:ptCount val="1"/>
                <c:pt idx="0">
                  <c:v>册数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3-2284-42D1-8533-E4BF70B349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5-2284-42D1-8533-E4BF70B349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7-2284-42D1-8533-E4BF70B349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9-2284-42D1-8533-E4BF70B3493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B-2284-42D1-8533-E4BF70B3493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D-2284-42D1-8533-E4BF70B3493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6F-2284-42D1-8533-E4BF70B3493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1-2284-42D1-8533-E4BF70B3493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3-2284-42D1-8533-E4BF70B3493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5-2284-42D1-8533-E4BF70B3493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7-2284-42D1-8533-E4BF70B3493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9-2284-42D1-8533-E4BF70B3493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B-2284-42D1-8533-E4BF70B3493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D-2284-42D1-8533-E4BF70B349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7F-2284-42D1-8533-E4BF70B349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1-2284-42D1-8533-E4BF70B349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3-2284-42D1-8533-E4BF70B349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5-2284-42D1-8533-E4BF70B349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7-2284-42D1-8533-E4BF70B349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9-2284-42D1-8533-E4BF70B349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B-2284-42D1-8533-E4BF70B349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D-2284-42D1-8533-E4BF70B349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8F-2284-42D1-8533-E4BF70B349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1-2284-42D1-8533-E4BF70B349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3-2284-42D1-8533-E4BF70B349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5-2284-42D1-8533-E4BF70B349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7-2284-42D1-8533-E4BF70B349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9-2284-42D1-8533-E4BF70B349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B-2284-42D1-8533-E4BF70B349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D-2284-42D1-8533-E4BF70B349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9F-2284-42D1-8533-E4BF70B349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1-2284-42D1-8533-E4BF70B349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3-2284-42D1-8533-E4BF70B349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5-2284-42D1-8533-E4BF70B349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7-2284-42D1-8533-E4BF70B349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9-2284-42D1-8533-E4BF70B349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B-2284-42D1-8533-E4BF70B349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D-2284-42D1-8533-E4BF70B349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AF-2284-42D1-8533-E4BF70B349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1-2284-42D1-8533-E4BF70B349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3-2284-42D1-8533-E4BF70B349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5-2284-42D1-8533-E4BF70B349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7-2284-42D1-8533-E4BF70B349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9-2284-42D1-8533-E4BF70B349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B-2284-42D1-8533-E4BF70B349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D-2284-42D1-8533-E4BF70B349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BF-2284-42D1-8533-E4BF70B349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1-2284-42D1-8533-E4BF70B349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3-2284-42D1-8533-E4BF70B349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5-2284-42D1-8533-E4BF70B349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7-2284-42D1-8533-E4BF70B349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9-2284-42D1-8533-E4BF70B349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B-2284-42D1-8533-E4BF70B349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D-2284-42D1-8533-E4BF70B349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CF-2284-42D1-8533-E4BF70B349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1-2284-42D1-8533-E4BF70B349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3-2284-42D1-8533-E4BF70B349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5-2284-42D1-8533-E4BF70B349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7-2284-42D1-8533-E4BF70B349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9-2284-42D1-8533-E4BF70B349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B-2284-42D1-8533-E4BF70B349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D-2284-42D1-8533-E4BF70B349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DF-2284-42D1-8533-E4BF70B349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1-2284-42D1-8533-E4BF70B349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3-2284-42D1-8533-E4BF70B349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5-2284-42D1-8533-E4BF70B349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7-2284-42D1-8533-E4BF70B349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9-2284-42D1-8533-E4BF70B349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B-2284-42D1-8533-E4BF70B349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D-2284-42D1-8533-E4BF70B349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EF-2284-42D1-8533-E4BF70B349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1-2284-42D1-8533-E4BF70B349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3-2284-42D1-8533-E4BF70B349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5-2284-42D1-8533-E4BF70B349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7-2284-42D1-8533-E4BF70B349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9-2284-42D1-8533-E4BF70B349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B-2284-42D1-8533-E4BF70B349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D-2284-42D1-8533-E4BF70B349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1FF-2284-42D1-8533-E4BF70B349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1-2284-42D1-8533-E4BF70B349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3-2284-42D1-8533-E4BF70B349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5-2284-42D1-8533-E4BF70B349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7-2284-42D1-8533-E4BF70B349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9-2284-42D1-8533-E4BF70B349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B-2284-42D1-8533-E4BF70B349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D-2284-42D1-8533-E4BF70B349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0F-2284-42D1-8533-E4BF70B349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1-2284-42D1-8533-E4BF70B34936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3-2284-42D1-8533-E4BF70B34936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5-2284-42D1-8533-E4BF70B34936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7-2284-42D1-8533-E4BF70B34936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9-2284-42D1-8533-E4BF70B34936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B-2284-42D1-8533-E4BF70B34936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D-2284-42D1-8533-E4BF70B34936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1F-2284-42D1-8533-E4BF70B34936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1-2284-42D1-8533-E4BF70B34936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3-2284-42D1-8533-E4BF70B34936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5-2284-42D1-8533-E4BF70B34936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7-2284-42D1-8533-E4BF70B34936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9-2284-42D1-8533-E4BF70B34936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B-2284-42D1-8533-E4BF70B34936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D-2284-42D1-8533-E4BF70B34936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2F-2284-42D1-8533-E4BF70B34936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1-2284-42D1-8533-E4BF70B34936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3-2284-42D1-8533-E4BF70B34936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5-2284-42D1-8533-E4BF70B34936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7-2284-42D1-8533-E4BF70B34936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9-2284-42D1-8533-E4BF70B34936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B-2284-42D1-8533-E4BF70B34936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D-2284-42D1-8533-E4BF70B34936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3F-2284-42D1-8533-E4BF70B34936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1-2284-42D1-8533-E4BF70B34936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3-2284-42D1-8533-E4BF70B34936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5-2284-42D1-8533-E4BF70B34936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7-2284-42D1-8533-E4BF70B34936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9-2284-42D1-8533-E4BF70B34936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B-2284-42D1-8533-E4BF70B34936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D-2284-42D1-8533-E4BF70B34936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4F-2284-42D1-8533-E4BF70B34936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1-2284-42D1-8533-E4BF70B34936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3-2284-42D1-8533-E4BF70B34936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5-2284-42D1-8533-E4BF70B34936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7-2284-42D1-8533-E4BF70B34936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9-2284-42D1-8533-E4BF70B34936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B-2284-42D1-8533-E4BF70B34936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D-2284-42D1-8533-E4BF70B34936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5F-2284-42D1-8533-E4BF70B34936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1-2284-42D1-8533-E4BF70B34936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3-2284-42D1-8533-E4BF70B34936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5-2284-42D1-8533-E4BF70B34936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7-2284-42D1-8533-E4BF70B34936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9-2284-42D1-8533-E4BF70B34936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B-2284-42D1-8533-E4BF70B34936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D-2284-42D1-8533-E4BF70B34936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6F-2284-42D1-8533-E4BF70B34936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1-2284-42D1-8533-E4BF70B34936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3-2284-42D1-8533-E4BF70B34936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5-2284-42D1-8533-E4BF70B34936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7-2284-42D1-8533-E4BF70B34936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9-2284-42D1-8533-E4BF70B34936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B-2284-42D1-8533-E4BF70B34936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D-2284-42D1-8533-E4BF70B34936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7F-2284-42D1-8533-E4BF70B34936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1-2284-42D1-8533-E4BF70B34936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3-2284-42D1-8533-E4BF70B34936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5-2284-42D1-8533-E4BF70B34936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7-2284-42D1-8533-E4BF70B34936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9-2284-42D1-8533-E4BF70B34936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B-2284-42D1-8533-E4BF70B34936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D-2284-42D1-8533-E4BF70B34936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8F-2284-42D1-8533-E4BF70B34936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1-2284-42D1-8533-E4BF70B34936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3-2284-42D1-8533-E4BF70B34936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5-2284-42D1-8533-E4BF70B34936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7-2284-42D1-8533-E4BF70B34936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9-2284-42D1-8533-E4BF70B34936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B-2284-42D1-8533-E4BF70B34936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D-2284-42D1-8533-E4BF70B34936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9F-2284-42D1-8533-E4BF70B34936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1-2284-42D1-8533-E4BF70B34936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3-2284-42D1-8533-E4BF70B34936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5-2284-42D1-8533-E4BF70B34936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7-2284-42D1-8533-E4BF70B34936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9-2284-42D1-8533-E4BF70B34936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B-2284-42D1-8533-E4BF70B34936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D-2284-42D1-8533-E4BF70B34936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AF-2284-42D1-8533-E4BF70B34936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1-2284-42D1-8533-E4BF70B34936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3-2284-42D1-8533-E4BF70B34936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5-2284-42D1-8533-E4BF70B34936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7-2284-42D1-8533-E4BF70B34936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9-2284-42D1-8533-E4BF70B34936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B-2284-42D1-8533-E4BF70B34936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D-2284-42D1-8533-E4BF70B34936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BF-2284-42D1-8533-E4BF70B34936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1-2284-42D1-8533-E4BF70B34936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3-2284-42D1-8533-E4BF70B34936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7-738B-49EB-96DB-AFA74B35C7FB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B-6578-4592-93F5-DE212BDC5272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1-6B8A-4009-980A-55230C80B50E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3-6B8A-4009-980A-55230C80B50E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7-DF93-4C5F-8A87-E9CF2EE3DB69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D-2BDE-4002-AB71-BBD7ADFA2C55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F-2BDE-4002-AB71-BBD7ADFA2C55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3-EC35-4515-8C3B-BD42CFBC3ABF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7-2E51-45F4-81E6-9FD29FD86922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B-34CE-4802-9A3E-654C2921D0B5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F-DB7A-46F6-BC7F-D28C0ADA9A36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3-6423-4A9B-AA6B-8CBC78678AC0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D-9BF0-423C-921D-287168B4790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F-9BF0-423C-921D-287168B4790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1-9BF0-423C-921D-287168B4790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3-9BF0-423C-921D-287168B4790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7-CCD1-4DE6-9F2C-0BAC1DAC5AF6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F-C8BF-4A78-A115-4D3ECCF09FE8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1-C8BF-4A78-A115-4D3ECCF09FE8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3-C8BF-4A78-A115-4D3ECCF09FE8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7-3EC2-4D3E-8761-BC1C3AD72205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B-9BA1-4746-83A2-0E9B369C68E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F-EBD4-429D-B193-1EF8DBCDD778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3-2786-487C-8F31-E21CDFA8851F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7-5BCB-4B0F-B10B-C9636DFA245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B-E763-4EE5-8FE4-9029CA1A98AB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1-9671-45A0-8529-F9B807B11925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3-9671-45A0-8529-F9B807B11925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9-3465-455D-A37D-5787A8CCBE7E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B-3465-455D-A37D-5787A8CCBE7E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F-E0AB-4EFB-A053-CEC18F6F918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5-35CD-4FC0-98D9-9C30B7F1296A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7-35CD-4FC0-98D9-9C30B7F1296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1-B309-4CB2-B3DF-B4B554833499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3-B309-4CB2-B3DF-B4B554833499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5-B309-4CB2-B3DF-B4B554833499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7-B309-4CB2-B3DF-B4B554833499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B-9BBF-4BE6-AFFB-71500C977193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F-1DAE-4DF7-8E25-098F73DADF18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5-D7BF-4DD2-AE78-D5587D0A302E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7-D7BF-4DD2-AE78-D5587D0A302E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D-BAA7-436E-A946-0E3754EFD88A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F-BAA7-436E-A946-0E3754EFD88A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3-35B4-4AA8-B717-241B07968DE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7-3617-449B-AD99-E8560C07E6E6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B-3698-4F18-954E-7AE1BF63B5F6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F-2ED0-4147-A26C-9421690FDF1F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3-8A37-4C6D-AD7B-624B0F95A3D5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7-196C-48F1-9CD4-25643E6DD43D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F-A8EC-492E-BECF-6EC8F51BA946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1-A8EC-492E-BECF-6EC8F51BA946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3-A8EC-492E-BECF-6EC8F51BA946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9-67AE-41CD-B0C1-A388E92D2ED2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B-67AE-41CD-B0C1-A388E92D2ED2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F-B66C-48B3-AD3A-496CC6CC5DCD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3-D421-4D9B-93C3-8107C0EB1E09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7-54ED-4578-85D0-E551C9008228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B-4114-487F-8770-6F3C6EBEDACF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F-809A-4A78-91FA-E34671987083}"/>
              </c:ext>
            </c:extLst>
          </c:dPt>
          <c:cat>
            <c:strRef>
              <c:f>出版社!$C$6:$C$7</c:f>
              <c:strCache>
                <c:ptCount val="2"/>
                <c:pt idx="0">
                  <c:v>人民出版社</c:v>
                </c:pt>
                <c:pt idx="1">
                  <c:v>(空白)</c:v>
                </c:pt>
              </c:strCache>
            </c:strRef>
          </c:cat>
          <c:val>
            <c:numRef>
              <c:f>出版社!$E$6:$E$7</c:f>
              <c:numCache>
                <c:formatCode>0_);[Red]\(0\)</c:formatCode>
                <c:ptCount val="2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2-484B-A0A5-DD66CF1730FE}"/>
            </c:ext>
          </c:extLst>
        </c:ser>
        <c:ser>
          <c:idx val="2"/>
          <c:order val="2"/>
          <c:tx>
            <c:strRef>
              <c:f>出版社!$F$5</c:f>
              <c:strCache>
                <c:ptCount val="1"/>
                <c:pt idx="0">
                  <c:v>购入总价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5-2284-42D1-8533-E4BF70B349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7-2284-42D1-8533-E4BF70B349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9-2284-42D1-8533-E4BF70B349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B-2284-42D1-8533-E4BF70B3493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D-2284-42D1-8533-E4BF70B3493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CF-2284-42D1-8533-E4BF70B3493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1-2284-42D1-8533-E4BF70B3493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3-2284-42D1-8533-E4BF70B3493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5-2284-42D1-8533-E4BF70B3493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7-2284-42D1-8533-E4BF70B3493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9-2284-42D1-8533-E4BF70B3493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B-2284-42D1-8533-E4BF70B3493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D-2284-42D1-8533-E4BF70B3493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DF-2284-42D1-8533-E4BF70B349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1-2284-42D1-8533-E4BF70B349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3-2284-42D1-8533-E4BF70B349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5-2284-42D1-8533-E4BF70B349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7-2284-42D1-8533-E4BF70B349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9-2284-42D1-8533-E4BF70B349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B-2284-42D1-8533-E4BF70B349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D-2284-42D1-8533-E4BF70B349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EF-2284-42D1-8533-E4BF70B349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1-2284-42D1-8533-E4BF70B349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3-2284-42D1-8533-E4BF70B349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5-2284-42D1-8533-E4BF70B349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7-2284-42D1-8533-E4BF70B349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9-2284-42D1-8533-E4BF70B349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B-2284-42D1-8533-E4BF70B349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D-2284-42D1-8533-E4BF70B349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2FF-2284-42D1-8533-E4BF70B349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1-2284-42D1-8533-E4BF70B349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3-2284-42D1-8533-E4BF70B349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5-2284-42D1-8533-E4BF70B349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7-2284-42D1-8533-E4BF70B349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9-2284-42D1-8533-E4BF70B349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B-2284-42D1-8533-E4BF70B349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D-2284-42D1-8533-E4BF70B349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0F-2284-42D1-8533-E4BF70B349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1-2284-42D1-8533-E4BF70B349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3-2284-42D1-8533-E4BF70B349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5-2284-42D1-8533-E4BF70B349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7-2284-42D1-8533-E4BF70B349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9-2284-42D1-8533-E4BF70B349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B-2284-42D1-8533-E4BF70B349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D-2284-42D1-8533-E4BF70B349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1F-2284-42D1-8533-E4BF70B349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1-2284-42D1-8533-E4BF70B349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3-2284-42D1-8533-E4BF70B349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5-2284-42D1-8533-E4BF70B349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7-2284-42D1-8533-E4BF70B349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9-2284-42D1-8533-E4BF70B349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B-2284-42D1-8533-E4BF70B349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D-2284-42D1-8533-E4BF70B349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2F-2284-42D1-8533-E4BF70B349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1-2284-42D1-8533-E4BF70B349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3-2284-42D1-8533-E4BF70B349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5-2284-42D1-8533-E4BF70B349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7-2284-42D1-8533-E4BF70B349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9-2284-42D1-8533-E4BF70B349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B-2284-42D1-8533-E4BF70B349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D-2284-42D1-8533-E4BF70B349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3F-2284-42D1-8533-E4BF70B349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1-2284-42D1-8533-E4BF70B349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3-2284-42D1-8533-E4BF70B349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5-2284-42D1-8533-E4BF70B349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7-2284-42D1-8533-E4BF70B349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9-2284-42D1-8533-E4BF70B349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B-2284-42D1-8533-E4BF70B349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D-2284-42D1-8533-E4BF70B349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4F-2284-42D1-8533-E4BF70B349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1-2284-42D1-8533-E4BF70B349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3-2284-42D1-8533-E4BF70B349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5-2284-42D1-8533-E4BF70B349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7-2284-42D1-8533-E4BF70B349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9-2284-42D1-8533-E4BF70B349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B-2284-42D1-8533-E4BF70B349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D-2284-42D1-8533-E4BF70B349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5F-2284-42D1-8533-E4BF70B349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1-2284-42D1-8533-E4BF70B349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3-2284-42D1-8533-E4BF70B349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5-2284-42D1-8533-E4BF70B349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7-2284-42D1-8533-E4BF70B349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9-2284-42D1-8533-E4BF70B349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B-2284-42D1-8533-E4BF70B349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D-2284-42D1-8533-E4BF70B349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6F-2284-42D1-8533-E4BF70B349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1-2284-42D1-8533-E4BF70B349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3-2284-42D1-8533-E4BF70B34936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5-2284-42D1-8533-E4BF70B34936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7-2284-42D1-8533-E4BF70B34936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9-2284-42D1-8533-E4BF70B34936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B-2284-42D1-8533-E4BF70B34936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D-2284-42D1-8533-E4BF70B34936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7F-2284-42D1-8533-E4BF70B34936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1-2284-42D1-8533-E4BF70B34936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3-2284-42D1-8533-E4BF70B34936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5-2284-42D1-8533-E4BF70B34936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7-2284-42D1-8533-E4BF70B34936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9-2284-42D1-8533-E4BF70B34936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B-2284-42D1-8533-E4BF70B34936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D-2284-42D1-8533-E4BF70B34936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8F-2284-42D1-8533-E4BF70B34936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1-2284-42D1-8533-E4BF70B34936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3-2284-42D1-8533-E4BF70B34936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5-2284-42D1-8533-E4BF70B34936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7-2284-42D1-8533-E4BF70B34936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9-2284-42D1-8533-E4BF70B34936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B-2284-42D1-8533-E4BF70B34936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D-2284-42D1-8533-E4BF70B34936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9F-2284-42D1-8533-E4BF70B34936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1-2284-42D1-8533-E4BF70B34936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3-2284-42D1-8533-E4BF70B34936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5-2284-42D1-8533-E4BF70B34936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7-2284-42D1-8533-E4BF70B34936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9-2284-42D1-8533-E4BF70B34936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B-2284-42D1-8533-E4BF70B34936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D-2284-42D1-8533-E4BF70B34936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AF-2284-42D1-8533-E4BF70B34936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1-2284-42D1-8533-E4BF70B34936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3-2284-42D1-8533-E4BF70B34936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5-2284-42D1-8533-E4BF70B34936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7-2284-42D1-8533-E4BF70B34936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9-2284-42D1-8533-E4BF70B34936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B-2284-42D1-8533-E4BF70B34936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D-2284-42D1-8533-E4BF70B34936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BF-2284-42D1-8533-E4BF70B34936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1-2284-42D1-8533-E4BF70B34936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3-2284-42D1-8533-E4BF70B34936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5-2284-42D1-8533-E4BF70B34936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7-2284-42D1-8533-E4BF70B34936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9-2284-42D1-8533-E4BF70B34936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B-2284-42D1-8533-E4BF70B34936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D-2284-42D1-8533-E4BF70B34936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CF-2284-42D1-8533-E4BF70B34936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1-2284-42D1-8533-E4BF70B34936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3-2284-42D1-8533-E4BF70B34936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5-2284-42D1-8533-E4BF70B34936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7-2284-42D1-8533-E4BF70B34936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9-2284-42D1-8533-E4BF70B34936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B-2284-42D1-8533-E4BF70B34936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D-2284-42D1-8533-E4BF70B34936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DF-2284-42D1-8533-E4BF70B34936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1-2284-42D1-8533-E4BF70B34936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3-2284-42D1-8533-E4BF70B34936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5-2284-42D1-8533-E4BF70B34936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7-2284-42D1-8533-E4BF70B34936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9-2284-42D1-8533-E4BF70B34936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B-2284-42D1-8533-E4BF70B34936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D-2284-42D1-8533-E4BF70B34936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EF-2284-42D1-8533-E4BF70B34936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1-2284-42D1-8533-E4BF70B34936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3-2284-42D1-8533-E4BF70B34936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5-2284-42D1-8533-E4BF70B34936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7-2284-42D1-8533-E4BF70B34936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9-2284-42D1-8533-E4BF70B34936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B-2284-42D1-8533-E4BF70B34936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D-2284-42D1-8533-E4BF70B34936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3FF-2284-42D1-8533-E4BF70B34936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1-2284-42D1-8533-E4BF70B34936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3-2284-42D1-8533-E4BF70B34936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5-2284-42D1-8533-E4BF70B34936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7-2284-42D1-8533-E4BF70B34936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9-2284-42D1-8533-E4BF70B34936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B-2284-42D1-8533-E4BF70B34936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D-2284-42D1-8533-E4BF70B34936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0F-2284-42D1-8533-E4BF70B34936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1-2284-42D1-8533-E4BF70B34936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3-2284-42D1-8533-E4BF70B34936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5-2284-42D1-8533-E4BF70B34936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7-2284-42D1-8533-E4BF70B34936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9-2284-42D1-8533-E4BF70B34936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B-2284-42D1-8533-E4BF70B34936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D-2284-42D1-8533-E4BF70B34936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1F-2284-42D1-8533-E4BF70B34936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1-2284-42D1-8533-E4BF70B34936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3-2284-42D1-8533-E4BF70B34936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5-2284-42D1-8533-E4BF70B34936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B-738B-49EB-96DB-AFA74B35C7FB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1-6578-4592-93F5-DE212BDC5272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B-6B8A-4009-980A-55230C80B50E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D-6B8A-4009-980A-55230C80B50E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3-DF93-4C5F-8A87-E9CF2EE3DB69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D-2BDE-4002-AB71-BBD7ADFA2C55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F-2BDE-4002-AB71-BBD7ADFA2C55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5-EC35-4515-8C3B-BD42CFBC3ABF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B-2E51-45F4-81E6-9FD29FD86922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1-34CE-4802-9A3E-654C2921D0B5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7-DB7A-46F6-BC7F-D28C0ADA9A36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D-6423-4A9B-AA6B-8CBC78678AC0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F-9BF0-423C-921D-287168B4790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1-9BF0-423C-921D-287168B4790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3-9BF0-423C-921D-287168B4790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5-9BF0-423C-921D-287168B4790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B-CCD1-4DE6-9F2C-0BAC1DAC5AF6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9-C8BF-4A78-A115-4D3ECCF09FE8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B-C8BF-4A78-A115-4D3ECCF09FE8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D-C8BF-4A78-A115-4D3ECCF09FE8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3-3EC2-4D3E-8761-BC1C3AD72205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9-9BA1-4746-83A2-0E9B369C68E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F-EBD4-429D-B193-1EF8DBCDD778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5-2786-487C-8F31-E21CDFA8851F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B-5BCB-4B0F-B10B-C9636DFA245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1-E763-4EE5-8FE4-9029CA1A98AB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B-9671-45A0-8529-F9B807B11925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D-9671-45A0-8529-F9B807B11925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7-3465-455D-A37D-5787A8CCBE7E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9-3465-455D-A37D-5787A8CCBE7E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F-E0AB-4EFB-A053-CEC18F6F918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9-35CD-4FC0-98D9-9C30B7F1296A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B-35CD-4FC0-98D9-9C30B7F1296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D-B309-4CB2-B3DF-B4B554833499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F-B309-4CB2-B3DF-B4B554833499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1-B309-4CB2-B3DF-B4B554833499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3-B309-4CB2-B3DF-B4B554833499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9-9BBF-4BE6-AFFB-71500C977193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F-1DAE-4DF7-8E25-098F73DADF18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9-D7BF-4DD2-AE78-D5587D0A302E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B-D7BF-4DD2-AE78-D5587D0A302E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5-BAA7-436E-A946-0E3754EFD88A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7-BAA7-436E-A946-0E3754EFD88A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D-35B4-4AA8-B717-241B07968DE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3-3617-449B-AD99-E8560C07E6E6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9-3698-4F18-954E-7AE1BF63B5F6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F-2ED0-4147-A26C-9421690FDF1F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5-8A37-4C6D-AD7B-624B0F95A3D5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B-196C-48F1-9CD4-25643E6DD43D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9-A8EC-492E-BECF-6EC8F51BA946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B-A8EC-492E-BECF-6EC8F51BA946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D-A8EC-492E-BECF-6EC8F51BA946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7-67AE-41CD-B0C1-A388E92D2ED2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9-67AE-41CD-B0C1-A388E92D2ED2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F-B66C-48B3-AD3A-496CC6CC5DCD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5-D421-4D9B-93C3-8107C0EB1E09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B-54ED-4578-85D0-E551C9008228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1-4114-487F-8770-6F3C6EBEDACF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7-809A-4A78-91FA-E34671987083}"/>
              </c:ext>
            </c:extLst>
          </c:dPt>
          <c:cat>
            <c:strRef>
              <c:f>出版社!$C$6:$C$7</c:f>
              <c:strCache>
                <c:ptCount val="2"/>
                <c:pt idx="0">
                  <c:v>人民出版社</c:v>
                </c:pt>
                <c:pt idx="1">
                  <c:v>(空白)</c:v>
                </c:pt>
              </c:strCache>
            </c:strRef>
          </c:cat>
          <c:val>
            <c:numRef>
              <c:f>出版社!$F$6:$F$7</c:f>
              <c:numCache>
                <c:formatCode>"¥"#,##0.00_);[Red]\("¥"#,##0.00\)</c:formatCode>
                <c:ptCount val="2"/>
                <c:pt idx="0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2-484B-A0A5-DD66CF1730FE}"/>
            </c:ext>
          </c:extLst>
        </c:ser>
        <c:ser>
          <c:idx val="3"/>
          <c:order val="3"/>
          <c:tx>
            <c:strRef>
              <c:f>出版社!$G$5</c:f>
              <c:strCache>
                <c:ptCount val="1"/>
                <c:pt idx="0">
                  <c:v>每册均价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7-2284-42D1-8533-E4BF70B349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9-2284-42D1-8533-E4BF70B349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B-2284-42D1-8533-E4BF70B349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D-2284-42D1-8533-E4BF70B3493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2F-2284-42D1-8533-E4BF70B3493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1-2284-42D1-8533-E4BF70B3493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3-2284-42D1-8533-E4BF70B3493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5-2284-42D1-8533-E4BF70B3493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7-2284-42D1-8533-E4BF70B3493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9-2284-42D1-8533-E4BF70B3493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B-2284-42D1-8533-E4BF70B3493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D-2284-42D1-8533-E4BF70B3493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3F-2284-42D1-8533-E4BF70B3493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1-2284-42D1-8533-E4BF70B349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3-2284-42D1-8533-E4BF70B349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5-2284-42D1-8533-E4BF70B349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7-2284-42D1-8533-E4BF70B349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9-2284-42D1-8533-E4BF70B349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B-2284-42D1-8533-E4BF70B349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D-2284-42D1-8533-E4BF70B349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4F-2284-42D1-8533-E4BF70B349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1-2284-42D1-8533-E4BF70B349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3-2284-42D1-8533-E4BF70B349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5-2284-42D1-8533-E4BF70B349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7-2284-42D1-8533-E4BF70B349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9-2284-42D1-8533-E4BF70B349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B-2284-42D1-8533-E4BF70B349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D-2284-42D1-8533-E4BF70B349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5F-2284-42D1-8533-E4BF70B349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1-2284-42D1-8533-E4BF70B349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3-2284-42D1-8533-E4BF70B349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5-2284-42D1-8533-E4BF70B349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7-2284-42D1-8533-E4BF70B349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9-2284-42D1-8533-E4BF70B349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B-2284-42D1-8533-E4BF70B349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D-2284-42D1-8533-E4BF70B349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6F-2284-42D1-8533-E4BF70B349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1-2284-42D1-8533-E4BF70B349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3-2284-42D1-8533-E4BF70B349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5-2284-42D1-8533-E4BF70B349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7-2284-42D1-8533-E4BF70B349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9-2284-42D1-8533-E4BF70B349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B-2284-42D1-8533-E4BF70B349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D-2284-42D1-8533-E4BF70B349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7F-2284-42D1-8533-E4BF70B349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1-2284-42D1-8533-E4BF70B349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3-2284-42D1-8533-E4BF70B349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5-2284-42D1-8533-E4BF70B349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7-2284-42D1-8533-E4BF70B349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9-2284-42D1-8533-E4BF70B349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B-2284-42D1-8533-E4BF70B349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D-2284-42D1-8533-E4BF70B349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8F-2284-42D1-8533-E4BF70B349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1-2284-42D1-8533-E4BF70B349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3-2284-42D1-8533-E4BF70B349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5-2284-42D1-8533-E4BF70B349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7-2284-42D1-8533-E4BF70B349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9-2284-42D1-8533-E4BF70B349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B-2284-42D1-8533-E4BF70B349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D-2284-42D1-8533-E4BF70B349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9F-2284-42D1-8533-E4BF70B349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1-2284-42D1-8533-E4BF70B349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3-2284-42D1-8533-E4BF70B349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5-2284-42D1-8533-E4BF70B349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7-2284-42D1-8533-E4BF70B349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9-2284-42D1-8533-E4BF70B349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B-2284-42D1-8533-E4BF70B349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D-2284-42D1-8533-E4BF70B349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AF-2284-42D1-8533-E4BF70B349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1-2284-42D1-8533-E4BF70B349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3-2284-42D1-8533-E4BF70B349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5-2284-42D1-8533-E4BF70B349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7-2284-42D1-8533-E4BF70B349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9-2284-42D1-8533-E4BF70B349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B-2284-42D1-8533-E4BF70B349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D-2284-42D1-8533-E4BF70B349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BF-2284-42D1-8533-E4BF70B349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1-2284-42D1-8533-E4BF70B349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3-2284-42D1-8533-E4BF70B349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5-2284-42D1-8533-E4BF70B349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7-2284-42D1-8533-E4BF70B349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9-2284-42D1-8533-E4BF70B349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B-2284-42D1-8533-E4BF70B349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D-2284-42D1-8533-E4BF70B349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CF-2284-42D1-8533-E4BF70B349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1-2284-42D1-8533-E4BF70B349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3-2284-42D1-8533-E4BF70B349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5-2284-42D1-8533-E4BF70B34936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7-2284-42D1-8533-E4BF70B34936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9-2284-42D1-8533-E4BF70B34936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B-2284-42D1-8533-E4BF70B34936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D-2284-42D1-8533-E4BF70B34936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DF-2284-42D1-8533-E4BF70B34936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1-2284-42D1-8533-E4BF70B34936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3-2284-42D1-8533-E4BF70B34936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5-2284-42D1-8533-E4BF70B34936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7-2284-42D1-8533-E4BF70B34936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9-2284-42D1-8533-E4BF70B34936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B-2284-42D1-8533-E4BF70B34936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D-2284-42D1-8533-E4BF70B34936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EF-2284-42D1-8533-E4BF70B34936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1-2284-42D1-8533-E4BF70B34936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3-2284-42D1-8533-E4BF70B34936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5-2284-42D1-8533-E4BF70B34936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7-2284-42D1-8533-E4BF70B34936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9-2284-42D1-8533-E4BF70B34936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B-2284-42D1-8533-E4BF70B34936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D-2284-42D1-8533-E4BF70B34936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4FF-2284-42D1-8533-E4BF70B34936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1-2284-42D1-8533-E4BF70B34936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3-2284-42D1-8533-E4BF70B34936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5-2284-42D1-8533-E4BF70B34936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7-2284-42D1-8533-E4BF70B34936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9-2284-42D1-8533-E4BF70B34936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B-2284-42D1-8533-E4BF70B34936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D-2284-42D1-8533-E4BF70B34936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0F-2284-42D1-8533-E4BF70B34936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1-2284-42D1-8533-E4BF70B34936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3-2284-42D1-8533-E4BF70B34936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5-2284-42D1-8533-E4BF70B34936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7-2284-42D1-8533-E4BF70B34936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9-2284-42D1-8533-E4BF70B34936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B-2284-42D1-8533-E4BF70B34936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D-2284-42D1-8533-E4BF70B34936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1F-2284-42D1-8533-E4BF70B34936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1-2284-42D1-8533-E4BF70B34936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3-2284-42D1-8533-E4BF70B34936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5-2284-42D1-8533-E4BF70B34936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7-2284-42D1-8533-E4BF70B34936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9-2284-42D1-8533-E4BF70B34936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B-2284-42D1-8533-E4BF70B34936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D-2284-42D1-8533-E4BF70B34936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2F-2284-42D1-8533-E4BF70B34936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1-2284-42D1-8533-E4BF70B34936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3-2284-42D1-8533-E4BF70B34936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5-2284-42D1-8533-E4BF70B34936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7-2284-42D1-8533-E4BF70B34936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9-2284-42D1-8533-E4BF70B34936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B-2284-42D1-8533-E4BF70B34936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D-2284-42D1-8533-E4BF70B34936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3F-2284-42D1-8533-E4BF70B34936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1-2284-42D1-8533-E4BF70B34936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3-2284-42D1-8533-E4BF70B34936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5-2284-42D1-8533-E4BF70B34936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7-2284-42D1-8533-E4BF70B34936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9-2284-42D1-8533-E4BF70B34936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B-2284-42D1-8533-E4BF70B34936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D-2284-42D1-8533-E4BF70B34936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4F-2284-42D1-8533-E4BF70B34936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1-2284-42D1-8533-E4BF70B34936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3-2284-42D1-8533-E4BF70B34936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5-2284-42D1-8533-E4BF70B34936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7-2284-42D1-8533-E4BF70B34936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9-2284-42D1-8533-E4BF70B34936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B-2284-42D1-8533-E4BF70B34936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D-2284-42D1-8533-E4BF70B34936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5F-2284-42D1-8533-E4BF70B34936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1-2284-42D1-8533-E4BF70B34936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3-2284-42D1-8533-E4BF70B34936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5-2284-42D1-8533-E4BF70B34936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7-2284-42D1-8533-E4BF70B34936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9-2284-42D1-8533-E4BF70B34936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B-2284-42D1-8533-E4BF70B34936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D-2284-42D1-8533-E4BF70B34936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6F-2284-42D1-8533-E4BF70B34936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1-2284-42D1-8533-E4BF70B34936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3-2284-42D1-8533-E4BF70B34936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5-2284-42D1-8533-E4BF70B34936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7-2284-42D1-8533-E4BF70B34936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9-2284-42D1-8533-E4BF70B34936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B-2284-42D1-8533-E4BF70B34936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D-2284-42D1-8533-E4BF70B34936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7F-2284-42D1-8533-E4BF70B34936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1-2284-42D1-8533-E4BF70B34936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3-2284-42D1-8533-E4BF70B34936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5-2284-42D1-8533-E4BF70B34936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7-2284-42D1-8533-E4BF70B34936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F-738B-49EB-96DB-AFA74B35C7FB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7-6578-4592-93F5-DE212BDC5272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5-6B8A-4009-980A-55230C80B50E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7-6B8A-4009-980A-55230C80B50E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F-DF93-4C5F-8A87-E9CF2EE3DB69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D-2BDE-4002-AB71-BBD7ADFA2C55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F-2BDE-4002-AB71-BBD7ADFA2C55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7-EC35-4515-8C3B-BD42CFBC3ABF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F-2E51-45F4-81E6-9FD29FD86922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7-34CE-4802-9A3E-654C2921D0B5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F-DB7A-46F6-BC7F-D28C0ADA9A36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7-6423-4A9B-AA6B-8CBC78678AC0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1-9BF0-423C-921D-287168B4790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3-9BF0-423C-921D-287168B4790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5-9BF0-423C-921D-287168B4790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7-9BF0-423C-921D-287168B4790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F-CCD1-4DE6-9F2C-0BAC1DAC5AF6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3-C8BF-4A78-A115-4D3ECCF09FE8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5-C8BF-4A78-A115-4D3ECCF09FE8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7-C8BF-4A78-A115-4D3ECCF09FE8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F-3EC2-4D3E-8761-BC1C3AD72205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7-9BA1-4746-83A2-0E9B369C68E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F-EBD4-429D-B193-1EF8DBCDD778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7-2786-487C-8F31-E21CDFA8851F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F-5BCB-4B0F-B10B-C9636DFA245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7-E763-4EE5-8FE4-9029CA1A98AB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5-9671-45A0-8529-F9B807B11925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7-9671-45A0-8529-F9B807B11925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5-3465-455D-A37D-5787A8CCBE7E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7-3465-455D-A37D-5787A8CCBE7E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F-E0AB-4EFB-A053-CEC18F6F918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D-35CD-4FC0-98D9-9C30B7F1296A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F-35CD-4FC0-98D9-9C30B7F1296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9-B309-4CB2-B3DF-B4B554833499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B-B309-4CB2-B3DF-B4B554833499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D-B309-4CB2-B3DF-B4B554833499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F-B309-4CB2-B3DF-B4B554833499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7-9BBF-4BE6-AFFB-71500C977193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F-1DAE-4DF7-8E25-098F73DADF18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D-D7BF-4DD2-AE78-D5587D0A302E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F-D7BF-4DD2-AE78-D5587D0A302E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D-BAA7-436E-A946-0E3754EFD88A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F-BAA7-436E-A946-0E3754EFD88A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E7-35B4-4AA8-B717-241B07968DE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EF-3617-449B-AD99-E8560C07E6E6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F7-3698-4F18-954E-7AE1BF63B5F6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FF-2ED0-4147-A26C-9421690FDF1F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07-8A37-4C6D-AD7B-624B0F95A3D5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0F-196C-48F1-9CD4-25643E6DD43D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23-A8EC-492E-BECF-6EC8F51BA946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25-A8EC-492E-BECF-6EC8F51BA946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27-A8EC-492E-BECF-6EC8F51BA946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35-67AE-41CD-B0C1-A388E92D2ED2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37-67AE-41CD-B0C1-A388E92D2ED2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3F-B66C-48B3-AD3A-496CC6CC5DCD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47-D421-4D9B-93C3-8107C0EB1E09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4F-54ED-4578-85D0-E551C9008228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57-4114-487F-8770-6F3C6EBEDACF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5F-809A-4A78-91FA-E34671987083}"/>
              </c:ext>
            </c:extLst>
          </c:dPt>
          <c:cat>
            <c:strRef>
              <c:f>出版社!$C$6:$C$7</c:f>
              <c:strCache>
                <c:ptCount val="2"/>
                <c:pt idx="0">
                  <c:v>人民出版社</c:v>
                </c:pt>
                <c:pt idx="1">
                  <c:v>(空白)</c:v>
                </c:pt>
              </c:strCache>
            </c:strRef>
          </c:cat>
          <c:val>
            <c:numRef>
              <c:f>出版社!$G$6:$G$7</c:f>
              <c:numCache>
                <c:formatCode>"¥"#,##0.00_);[Red]\("¥"#,##0.00\)</c:formatCode>
                <c:ptCount val="2"/>
                <c:pt idx="0">
                  <c:v>20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2-484B-A0A5-DD66CF1730FE}"/>
            </c:ext>
          </c:extLst>
        </c:ser>
        <c:ser>
          <c:idx val="4"/>
          <c:order val="4"/>
          <c:tx>
            <c:strRef>
              <c:f>出版社!$H$5</c:f>
              <c:strCache>
                <c:ptCount val="1"/>
                <c:pt idx="0">
                  <c:v>平均折扣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9-2284-42D1-8533-E4BF70B349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B-2284-42D1-8533-E4BF70B349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D-2284-42D1-8533-E4BF70B349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8F-2284-42D1-8533-E4BF70B3493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1-2284-42D1-8533-E4BF70B3493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3-2284-42D1-8533-E4BF70B3493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5-2284-42D1-8533-E4BF70B3493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7-2284-42D1-8533-E4BF70B3493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9-2284-42D1-8533-E4BF70B3493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B-2284-42D1-8533-E4BF70B3493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D-2284-42D1-8533-E4BF70B3493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9F-2284-42D1-8533-E4BF70B3493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1-2284-42D1-8533-E4BF70B3493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3-2284-42D1-8533-E4BF70B349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5-2284-42D1-8533-E4BF70B349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7-2284-42D1-8533-E4BF70B349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9-2284-42D1-8533-E4BF70B349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B-2284-42D1-8533-E4BF70B349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D-2284-42D1-8533-E4BF70B349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AF-2284-42D1-8533-E4BF70B349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1-2284-42D1-8533-E4BF70B349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3-2284-42D1-8533-E4BF70B349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5-2284-42D1-8533-E4BF70B349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7-2284-42D1-8533-E4BF70B349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9-2284-42D1-8533-E4BF70B349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B-2284-42D1-8533-E4BF70B349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D-2284-42D1-8533-E4BF70B349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BF-2284-42D1-8533-E4BF70B349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1-2284-42D1-8533-E4BF70B349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3-2284-42D1-8533-E4BF70B349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5-2284-42D1-8533-E4BF70B349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7-2284-42D1-8533-E4BF70B349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9-2284-42D1-8533-E4BF70B349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B-2284-42D1-8533-E4BF70B349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D-2284-42D1-8533-E4BF70B349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CF-2284-42D1-8533-E4BF70B349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1-2284-42D1-8533-E4BF70B349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3-2284-42D1-8533-E4BF70B349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5-2284-42D1-8533-E4BF70B349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7-2284-42D1-8533-E4BF70B349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9-2284-42D1-8533-E4BF70B349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B-2284-42D1-8533-E4BF70B349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D-2284-42D1-8533-E4BF70B349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DF-2284-42D1-8533-E4BF70B349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1-2284-42D1-8533-E4BF70B349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3-2284-42D1-8533-E4BF70B349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5-2284-42D1-8533-E4BF70B349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7-2284-42D1-8533-E4BF70B349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9-2284-42D1-8533-E4BF70B349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B-2284-42D1-8533-E4BF70B349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D-2284-42D1-8533-E4BF70B349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EF-2284-42D1-8533-E4BF70B349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F1-2284-42D1-8533-E4BF70B349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F3-2284-42D1-8533-E4BF70B349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F5-2284-42D1-8533-E4BF70B349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F7-2284-42D1-8533-E4BF70B349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F9-2284-42D1-8533-E4BF70B349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FB-2284-42D1-8533-E4BF70B349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FD-2284-42D1-8533-E4BF70B349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5FF-2284-42D1-8533-E4BF70B349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1-2284-42D1-8533-E4BF70B349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3-2284-42D1-8533-E4BF70B349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5-2284-42D1-8533-E4BF70B349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7-2284-42D1-8533-E4BF70B349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9-2284-42D1-8533-E4BF70B349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B-2284-42D1-8533-E4BF70B349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D-2284-42D1-8533-E4BF70B349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0F-2284-42D1-8533-E4BF70B349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11-2284-42D1-8533-E4BF70B349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13-2284-42D1-8533-E4BF70B349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15-2284-42D1-8533-E4BF70B349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17-2284-42D1-8533-E4BF70B349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19-2284-42D1-8533-E4BF70B349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1B-2284-42D1-8533-E4BF70B349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1D-2284-42D1-8533-E4BF70B349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1F-2284-42D1-8533-E4BF70B349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1-2284-42D1-8533-E4BF70B349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3-2284-42D1-8533-E4BF70B349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5-2284-42D1-8533-E4BF70B349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7-2284-42D1-8533-E4BF70B349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9-2284-42D1-8533-E4BF70B349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B-2284-42D1-8533-E4BF70B349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D-2284-42D1-8533-E4BF70B349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2F-2284-42D1-8533-E4BF70B349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1-2284-42D1-8533-E4BF70B349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3-2284-42D1-8533-E4BF70B349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5-2284-42D1-8533-E4BF70B349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7-2284-42D1-8533-E4BF70B34936}"/>
              </c:ext>
            </c:extLst>
          </c:dPt>
          <c:dPt>
            <c:idx val="88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9-2284-42D1-8533-E4BF70B34936}"/>
              </c:ext>
            </c:extLst>
          </c:dPt>
          <c:dPt>
            <c:idx val="89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B-2284-42D1-8533-E4BF70B34936}"/>
              </c:ext>
            </c:extLst>
          </c:dPt>
          <c:dPt>
            <c:idx val="90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D-2284-42D1-8533-E4BF70B34936}"/>
              </c:ext>
            </c:extLst>
          </c:dPt>
          <c:dPt>
            <c:idx val="91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3F-2284-42D1-8533-E4BF70B34936}"/>
              </c:ext>
            </c:extLst>
          </c:dPt>
          <c:dPt>
            <c:idx val="92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1-2284-42D1-8533-E4BF70B34936}"/>
              </c:ext>
            </c:extLst>
          </c:dPt>
          <c:dPt>
            <c:idx val="93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3-2284-42D1-8533-E4BF70B34936}"/>
              </c:ext>
            </c:extLst>
          </c:dPt>
          <c:dPt>
            <c:idx val="94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5-2284-42D1-8533-E4BF70B34936}"/>
              </c:ext>
            </c:extLst>
          </c:dPt>
          <c:dPt>
            <c:idx val="95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7-2284-42D1-8533-E4BF70B34936}"/>
              </c:ext>
            </c:extLst>
          </c:dPt>
          <c:dPt>
            <c:idx val="96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9-2284-42D1-8533-E4BF70B34936}"/>
              </c:ext>
            </c:extLst>
          </c:dPt>
          <c:dPt>
            <c:idx val="97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B-2284-42D1-8533-E4BF70B34936}"/>
              </c:ext>
            </c:extLst>
          </c:dPt>
          <c:dPt>
            <c:idx val="98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D-2284-42D1-8533-E4BF70B34936}"/>
              </c:ext>
            </c:extLst>
          </c:dPt>
          <c:dPt>
            <c:idx val="99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4F-2284-42D1-8533-E4BF70B34936}"/>
              </c:ext>
            </c:extLst>
          </c:dPt>
          <c:dPt>
            <c:idx val="100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1-2284-42D1-8533-E4BF70B34936}"/>
              </c:ext>
            </c:extLst>
          </c:dPt>
          <c:dPt>
            <c:idx val="10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3-2284-42D1-8533-E4BF70B34936}"/>
              </c:ext>
            </c:extLst>
          </c:dPt>
          <c:dPt>
            <c:idx val="102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5-2284-42D1-8533-E4BF70B34936}"/>
              </c:ext>
            </c:extLst>
          </c:dPt>
          <c:dPt>
            <c:idx val="103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7-2284-42D1-8533-E4BF70B34936}"/>
              </c:ext>
            </c:extLst>
          </c:dPt>
          <c:dPt>
            <c:idx val="104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9-2284-42D1-8533-E4BF70B34936}"/>
              </c:ext>
            </c:extLst>
          </c:dPt>
          <c:dPt>
            <c:idx val="105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B-2284-42D1-8533-E4BF70B34936}"/>
              </c:ext>
            </c:extLst>
          </c:dPt>
          <c:dPt>
            <c:idx val="106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D-2284-42D1-8533-E4BF70B34936}"/>
              </c:ext>
            </c:extLst>
          </c:dPt>
          <c:dPt>
            <c:idx val="107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5F-2284-42D1-8533-E4BF70B34936}"/>
              </c:ext>
            </c:extLst>
          </c:dPt>
          <c:dPt>
            <c:idx val="10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1-2284-42D1-8533-E4BF70B34936}"/>
              </c:ext>
            </c:extLst>
          </c:dPt>
          <c:dPt>
            <c:idx val="10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3-2284-42D1-8533-E4BF70B34936}"/>
              </c:ext>
            </c:extLst>
          </c:dPt>
          <c:dPt>
            <c:idx val="11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5-2284-42D1-8533-E4BF70B34936}"/>
              </c:ext>
            </c:extLst>
          </c:dPt>
          <c:dPt>
            <c:idx val="11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7-2284-42D1-8533-E4BF70B34936}"/>
              </c:ext>
            </c:extLst>
          </c:dPt>
          <c:dPt>
            <c:idx val="11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9-2284-42D1-8533-E4BF70B34936}"/>
              </c:ext>
            </c:extLst>
          </c:dPt>
          <c:dPt>
            <c:idx val="1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B-2284-42D1-8533-E4BF70B34936}"/>
              </c:ext>
            </c:extLst>
          </c:dPt>
          <c:dPt>
            <c:idx val="114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D-2284-42D1-8533-E4BF70B34936}"/>
              </c:ext>
            </c:extLst>
          </c:dPt>
          <c:dPt>
            <c:idx val="115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6F-2284-42D1-8533-E4BF70B34936}"/>
              </c:ext>
            </c:extLst>
          </c:dPt>
          <c:dPt>
            <c:idx val="11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1-2284-42D1-8533-E4BF70B34936}"/>
              </c:ext>
            </c:extLst>
          </c:dPt>
          <c:dPt>
            <c:idx val="117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3-2284-42D1-8533-E4BF70B34936}"/>
              </c:ext>
            </c:extLst>
          </c:dPt>
          <c:dPt>
            <c:idx val="118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5-2284-42D1-8533-E4BF70B34936}"/>
              </c:ext>
            </c:extLst>
          </c:dPt>
          <c:dPt>
            <c:idx val="119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7-2284-42D1-8533-E4BF70B34936}"/>
              </c:ext>
            </c:extLst>
          </c:dPt>
          <c:dPt>
            <c:idx val="12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9-2284-42D1-8533-E4BF70B34936}"/>
              </c:ext>
            </c:extLst>
          </c:dPt>
          <c:dPt>
            <c:idx val="12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B-2284-42D1-8533-E4BF70B34936}"/>
              </c:ext>
            </c:extLst>
          </c:dPt>
          <c:dPt>
            <c:idx val="122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D-2284-42D1-8533-E4BF70B34936}"/>
              </c:ext>
            </c:extLst>
          </c:dPt>
          <c:dPt>
            <c:idx val="123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7F-2284-42D1-8533-E4BF70B34936}"/>
              </c:ext>
            </c:extLst>
          </c:dPt>
          <c:dPt>
            <c:idx val="124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1-2284-42D1-8533-E4BF70B34936}"/>
              </c:ext>
            </c:extLst>
          </c:dPt>
          <c:dPt>
            <c:idx val="125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3-2284-42D1-8533-E4BF70B34936}"/>
              </c:ext>
            </c:extLst>
          </c:dPt>
          <c:dPt>
            <c:idx val="126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5-2284-42D1-8533-E4BF70B34936}"/>
              </c:ext>
            </c:extLst>
          </c:dPt>
          <c:dPt>
            <c:idx val="127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7-2284-42D1-8533-E4BF70B34936}"/>
              </c:ext>
            </c:extLst>
          </c:dPt>
          <c:dPt>
            <c:idx val="128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9-2284-42D1-8533-E4BF70B34936}"/>
              </c:ext>
            </c:extLst>
          </c:dPt>
          <c:dPt>
            <c:idx val="129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B-2284-42D1-8533-E4BF70B34936}"/>
              </c:ext>
            </c:extLst>
          </c:dPt>
          <c:dPt>
            <c:idx val="130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D-2284-42D1-8533-E4BF70B34936}"/>
              </c:ext>
            </c:extLst>
          </c:dPt>
          <c:dPt>
            <c:idx val="131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8F-2284-42D1-8533-E4BF70B34936}"/>
              </c:ext>
            </c:extLst>
          </c:dPt>
          <c:dPt>
            <c:idx val="13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91-2284-42D1-8533-E4BF70B34936}"/>
              </c:ext>
            </c:extLst>
          </c:dPt>
          <c:dPt>
            <c:idx val="13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93-2284-42D1-8533-E4BF70B34936}"/>
              </c:ext>
            </c:extLst>
          </c:dPt>
          <c:dPt>
            <c:idx val="13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95-2284-42D1-8533-E4BF70B34936}"/>
              </c:ext>
            </c:extLst>
          </c:dPt>
          <c:dPt>
            <c:idx val="135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97-2284-42D1-8533-E4BF70B34936}"/>
              </c:ext>
            </c:extLst>
          </c:dPt>
          <c:dPt>
            <c:idx val="13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99-2284-42D1-8533-E4BF70B34936}"/>
              </c:ext>
            </c:extLst>
          </c:dPt>
          <c:dPt>
            <c:idx val="13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9B-2284-42D1-8533-E4BF70B34936}"/>
              </c:ext>
            </c:extLst>
          </c:dPt>
          <c:dPt>
            <c:idx val="138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9D-2284-42D1-8533-E4BF70B34936}"/>
              </c:ext>
            </c:extLst>
          </c:dPt>
          <c:dPt>
            <c:idx val="139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9F-2284-42D1-8533-E4BF70B34936}"/>
              </c:ext>
            </c:extLst>
          </c:dPt>
          <c:dPt>
            <c:idx val="14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1-2284-42D1-8533-E4BF70B34936}"/>
              </c:ext>
            </c:extLst>
          </c:dPt>
          <c:dPt>
            <c:idx val="141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3-2284-42D1-8533-E4BF70B34936}"/>
              </c:ext>
            </c:extLst>
          </c:dPt>
          <c:dPt>
            <c:idx val="142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5-2284-42D1-8533-E4BF70B34936}"/>
              </c:ext>
            </c:extLst>
          </c:dPt>
          <c:dPt>
            <c:idx val="14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7-2284-42D1-8533-E4BF70B34936}"/>
              </c:ext>
            </c:extLst>
          </c:dPt>
          <c:dPt>
            <c:idx val="144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9-2284-42D1-8533-E4BF70B34936}"/>
              </c:ext>
            </c:extLst>
          </c:dPt>
          <c:dPt>
            <c:idx val="145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B-2284-42D1-8533-E4BF70B34936}"/>
              </c:ext>
            </c:extLst>
          </c:dPt>
          <c:dPt>
            <c:idx val="146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D-2284-42D1-8533-E4BF70B34936}"/>
              </c:ext>
            </c:extLst>
          </c:dPt>
          <c:dPt>
            <c:idx val="147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AF-2284-42D1-8533-E4BF70B34936}"/>
              </c:ext>
            </c:extLst>
          </c:dPt>
          <c:dPt>
            <c:idx val="148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1-2284-42D1-8533-E4BF70B34936}"/>
              </c:ext>
            </c:extLst>
          </c:dPt>
          <c:dPt>
            <c:idx val="149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3-2284-42D1-8533-E4BF70B34936}"/>
              </c:ext>
            </c:extLst>
          </c:dPt>
          <c:dPt>
            <c:idx val="150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5-2284-42D1-8533-E4BF70B34936}"/>
              </c:ext>
            </c:extLst>
          </c:dPt>
          <c:dPt>
            <c:idx val="151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7-2284-42D1-8533-E4BF70B34936}"/>
              </c:ext>
            </c:extLst>
          </c:dPt>
          <c:dPt>
            <c:idx val="152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9-2284-42D1-8533-E4BF70B34936}"/>
              </c:ext>
            </c:extLst>
          </c:dPt>
          <c:dPt>
            <c:idx val="153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B-2284-42D1-8533-E4BF70B34936}"/>
              </c:ext>
            </c:extLst>
          </c:dPt>
          <c:dPt>
            <c:idx val="154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D-2284-42D1-8533-E4BF70B34936}"/>
              </c:ext>
            </c:extLst>
          </c:dPt>
          <c:dPt>
            <c:idx val="155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BF-2284-42D1-8533-E4BF70B34936}"/>
              </c:ext>
            </c:extLst>
          </c:dPt>
          <c:dPt>
            <c:idx val="156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1-2284-42D1-8533-E4BF70B34936}"/>
              </c:ext>
            </c:extLst>
          </c:dPt>
          <c:dPt>
            <c:idx val="157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3-2284-42D1-8533-E4BF70B34936}"/>
              </c:ext>
            </c:extLst>
          </c:dPt>
          <c:dPt>
            <c:idx val="158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5-2284-42D1-8533-E4BF70B34936}"/>
              </c:ext>
            </c:extLst>
          </c:dPt>
          <c:dPt>
            <c:idx val="159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7-2284-42D1-8533-E4BF70B34936}"/>
              </c:ext>
            </c:extLst>
          </c:dPt>
          <c:dPt>
            <c:idx val="160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9-2284-42D1-8533-E4BF70B34936}"/>
              </c:ext>
            </c:extLst>
          </c:dPt>
          <c:dPt>
            <c:idx val="161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B-2284-42D1-8533-E4BF70B34936}"/>
              </c:ext>
            </c:extLst>
          </c:dPt>
          <c:dPt>
            <c:idx val="16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D-2284-42D1-8533-E4BF70B34936}"/>
              </c:ext>
            </c:extLst>
          </c:dPt>
          <c:dPt>
            <c:idx val="16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CF-2284-42D1-8533-E4BF70B34936}"/>
              </c:ext>
            </c:extLst>
          </c:dPt>
          <c:dPt>
            <c:idx val="16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1-2284-42D1-8533-E4BF70B34936}"/>
              </c:ext>
            </c:extLst>
          </c:dPt>
          <c:dPt>
            <c:idx val="165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3-2284-42D1-8533-E4BF70B34936}"/>
              </c:ext>
            </c:extLst>
          </c:dPt>
          <c:dPt>
            <c:idx val="166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5-2284-42D1-8533-E4BF70B34936}"/>
              </c:ext>
            </c:extLst>
          </c:dPt>
          <c:dPt>
            <c:idx val="16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7-2284-42D1-8533-E4BF70B34936}"/>
              </c:ext>
            </c:extLst>
          </c:dPt>
          <c:dPt>
            <c:idx val="168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9-2284-42D1-8533-E4BF70B34936}"/>
              </c:ext>
            </c:extLst>
          </c:dPt>
          <c:dPt>
            <c:idx val="16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B-2284-42D1-8533-E4BF70B34936}"/>
              </c:ext>
            </c:extLst>
          </c:dPt>
          <c:dPt>
            <c:idx val="17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D-2284-42D1-8533-E4BF70B34936}"/>
              </c:ext>
            </c:extLst>
          </c:dPt>
          <c:dPt>
            <c:idx val="17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DF-2284-42D1-8533-E4BF70B34936}"/>
              </c:ext>
            </c:extLst>
          </c:dPt>
          <c:dPt>
            <c:idx val="17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E1-2284-42D1-8533-E4BF70B34936}"/>
              </c:ext>
            </c:extLst>
          </c:dPt>
          <c:dPt>
            <c:idx val="173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E3-2284-42D1-8533-E4BF70B34936}"/>
              </c:ext>
            </c:extLst>
          </c:dPt>
          <c:dPt>
            <c:idx val="174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E5-2284-42D1-8533-E4BF70B34936}"/>
              </c:ext>
            </c:extLst>
          </c:dPt>
          <c:dPt>
            <c:idx val="175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E7-2284-42D1-8533-E4BF70B34936}"/>
              </c:ext>
            </c:extLst>
          </c:dPt>
          <c:dPt>
            <c:idx val="176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E9-2284-42D1-8533-E4BF70B34936}"/>
              </c:ext>
            </c:extLst>
          </c:dPt>
          <c:dPt>
            <c:idx val="17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F3-738B-49EB-96DB-AFA74B35C7FB}"/>
              </c:ext>
            </c:extLst>
          </c:dPt>
          <c:dPt>
            <c:idx val="17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6FD-6578-4592-93F5-DE212BDC5272}"/>
              </c:ext>
            </c:extLst>
          </c:dPt>
          <c:dPt>
            <c:idx val="179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0F-6B8A-4009-980A-55230C80B50E}"/>
              </c:ext>
            </c:extLst>
          </c:dPt>
          <c:dPt>
            <c:idx val="18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11-6B8A-4009-980A-55230C80B50E}"/>
              </c:ext>
            </c:extLst>
          </c:dPt>
          <c:dPt>
            <c:idx val="181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1B-DF93-4C5F-8A87-E9CF2EE3DB69}"/>
              </c:ext>
            </c:extLst>
          </c:dPt>
          <c:dPt>
            <c:idx val="182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2D-2BDE-4002-AB71-BBD7ADFA2C55}"/>
              </c:ext>
            </c:extLst>
          </c:dPt>
          <c:dPt>
            <c:idx val="183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2F-2BDE-4002-AB71-BBD7ADFA2C55}"/>
              </c:ext>
            </c:extLst>
          </c:dPt>
          <c:dPt>
            <c:idx val="184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39-EC35-4515-8C3B-BD42CFBC3ABF}"/>
              </c:ext>
            </c:extLst>
          </c:dPt>
          <c:dPt>
            <c:idx val="185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43-2E51-45F4-81E6-9FD29FD86922}"/>
              </c:ext>
            </c:extLst>
          </c:dPt>
          <c:dPt>
            <c:idx val="186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4D-34CE-4802-9A3E-654C2921D0B5}"/>
              </c:ext>
            </c:extLst>
          </c:dPt>
          <c:dPt>
            <c:idx val="18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57-DB7A-46F6-BC7F-D28C0ADA9A36}"/>
              </c:ext>
            </c:extLst>
          </c:dPt>
          <c:dPt>
            <c:idx val="188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61-6423-4A9B-AA6B-8CBC78678AC0}"/>
              </c:ext>
            </c:extLst>
          </c:dPt>
          <c:dPt>
            <c:idx val="189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83-9BF0-423C-921D-287168B4790C}"/>
              </c:ext>
            </c:extLst>
          </c:dPt>
          <c:dPt>
            <c:idx val="19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85-9BF0-423C-921D-287168B4790C}"/>
              </c:ext>
            </c:extLst>
          </c:dPt>
          <c:dPt>
            <c:idx val="19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87-9BF0-423C-921D-287168B4790C}"/>
              </c:ext>
            </c:extLst>
          </c:dPt>
          <c:dPt>
            <c:idx val="192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89-9BF0-423C-921D-287168B4790C}"/>
              </c:ext>
            </c:extLst>
          </c:dPt>
          <c:dPt>
            <c:idx val="193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93-CCD1-4DE6-9F2C-0BAC1DAC5AF6}"/>
              </c:ext>
            </c:extLst>
          </c:dPt>
          <c:dPt>
            <c:idx val="194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AD-C8BF-4A78-A115-4D3ECCF09FE8}"/>
              </c:ext>
            </c:extLst>
          </c:dPt>
          <c:dPt>
            <c:idx val="195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AF-C8BF-4A78-A115-4D3ECCF09FE8}"/>
              </c:ext>
            </c:extLst>
          </c:dPt>
          <c:dPt>
            <c:idx val="19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B1-C8BF-4A78-A115-4D3ECCF09FE8}"/>
              </c:ext>
            </c:extLst>
          </c:dPt>
          <c:dPt>
            <c:idx val="197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BB-3EC2-4D3E-8761-BC1C3AD72205}"/>
              </c:ext>
            </c:extLst>
          </c:dPt>
          <c:dPt>
            <c:idx val="19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C5-9BA1-4746-83A2-0E9B369C68EC}"/>
              </c:ext>
            </c:extLst>
          </c:dPt>
          <c:dPt>
            <c:idx val="199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CF-EBD4-429D-B193-1EF8DBCDD778}"/>
              </c:ext>
            </c:extLst>
          </c:dPt>
          <c:dPt>
            <c:idx val="200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D9-2786-487C-8F31-E21CDFA8851F}"/>
              </c:ext>
            </c:extLst>
          </c:dPt>
          <c:dPt>
            <c:idx val="201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E3-5BCB-4B0F-B10B-C9636DFA245C}"/>
              </c:ext>
            </c:extLst>
          </c:dPt>
          <c:dPt>
            <c:idx val="202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ED-E763-4EE5-8FE4-9029CA1A98AB}"/>
              </c:ext>
            </c:extLst>
          </c:dPt>
          <c:dPt>
            <c:idx val="203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7FF-9671-45A0-8529-F9B807B11925}"/>
              </c:ext>
            </c:extLst>
          </c:dPt>
          <c:dPt>
            <c:idx val="204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01-9671-45A0-8529-F9B807B11925}"/>
              </c:ext>
            </c:extLst>
          </c:dPt>
          <c:dPt>
            <c:idx val="205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13-3465-455D-A37D-5787A8CCBE7E}"/>
              </c:ext>
            </c:extLst>
          </c:dPt>
          <c:dPt>
            <c:idx val="206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15-3465-455D-A37D-5787A8CCBE7E}"/>
              </c:ext>
            </c:extLst>
          </c:dPt>
          <c:dPt>
            <c:idx val="207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1F-E0AB-4EFB-A053-CEC18F6F918C}"/>
              </c:ext>
            </c:extLst>
          </c:dPt>
          <c:dPt>
            <c:idx val="208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31-35CD-4FC0-98D9-9C30B7F1296A}"/>
              </c:ext>
            </c:extLst>
          </c:dPt>
          <c:dPt>
            <c:idx val="209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33-35CD-4FC0-98D9-9C30B7F1296A}"/>
              </c:ext>
            </c:extLst>
          </c:dPt>
          <c:dPt>
            <c:idx val="210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55-B309-4CB2-B3DF-B4B554833499}"/>
              </c:ext>
            </c:extLst>
          </c:dPt>
          <c:dPt>
            <c:idx val="211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57-B309-4CB2-B3DF-B4B554833499}"/>
              </c:ext>
            </c:extLst>
          </c:dPt>
          <c:dPt>
            <c:idx val="212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59-B309-4CB2-B3DF-B4B554833499}"/>
              </c:ext>
            </c:extLst>
          </c:dPt>
          <c:dPt>
            <c:idx val="213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5B-B309-4CB2-B3DF-B4B554833499}"/>
              </c:ext>
            </c:extLst>
          </c:dPt>
          <c:dPt>
            <c:idx val="214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65-9BBF-4BE6-AFFB-71500C977193}"/>
              </c:ext>
            </c:extLst>
          </c:dPt>
          <c:dPt>
            <c:idx val="215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6F-1DAE-4DF7-8E25-098F73DADF18}"/>
              </c:ext>
            </c:extLst>
          </c:dPt>
          <c:dPt>
            <c:idx val="216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81-D7BF-4DD2-AE78-D5587D0A302E}"/>
              </c:ext>
            </c:extLst>
          </c:dPt>
          <c:dPt>
            <c:idx val="2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83-D7BF-4DD2-AE78-D5587D0A302E}"/>
              </c:ext>
            </c:extLst>
          </c:dPt>
          <c:dPt>
            <c:idx val="218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95-BAA7-436E-A946-0E3754EFD88A}"/>
              </c:ext>
            </c:extLst>
          </c:dPt>
          <c:dPt>
            <c:idx val="219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97-BAA7-436E-A946-0E3754EFD88A}"/>
              </c:ext>
            </c:extLst>
          </c:dPt>
          <c:dPt>
            <c:idx val="22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A1-35B4-4AA8-B717-241B07968DEC}"/>
              </c:ext>
            </c:extLst>
          </c:dPt>
          <c:dPt>
            <c:idx val="22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AB-3617-449B-AD99-E8560C07E6E6}"/>
              </c:ext>
            </c:extLst>
          </c:dPt>
          <c:dPt>
            <c:idx val="222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B5-3698-4F18-954E-7AE1BF63B5F6}"/>
              </c:ext>
            </c:extLst>
          </c:dPt>
          <c:dPt>
            <c:idx val="22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BF-2ED0-4147-A26C-9421690FDF1F}"/>
              </c:ext>
            </c:extLst>
          </c:dPt>
          <c:dPt>
            <c:idx val="22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C9-8A37-4C6D-AD7B-624B0F95A3D5}"/>
              </c:ext>
            </c:extLst>
          </c:dPt>
          <c:dPt>
            <c:idx val="22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D3-196C-48F1-9CD4-25643E6DD43D}"/>
              </c:ext>
            </c:extLst>
          </c:dPt>
          <c:dPt>
            <c:idx val="226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ED-A8EC-492E-BECF-6EC8F51BA946}"/>
              </c:ext>
            </c:extLst>
          </c:dPt>
          <c:dPt>
            <c:idx val="227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EF-A8EC-492E-BECF-6EC8F51BA946}"/>
              </c:ext>
            </c:extLst>
          </c:dPt>
          <c:dPt>
            <c:idx val="228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8F1-A8EC-492E-BECF-6EC8F51BA946}"/>
              </c:ext>
            </c:extLst>
          </c:dPt>
          <c:dPt>
            <c:idx val="229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903-67AE-41CD-B0C1-A388E92D2ED2}"/>
              </c:ext>
            </c:extLst>
          </c:dPt>
          <c:dPt>
            <c:idx val="23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905-67AE-41CD-B0C1-A388E92D2ED2}"/>
              </c:ext>
            </c:extLst>
          </c:dPt>
          <c:dPt>
            <c:idx val="23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90F-B66C-48B3-AD3A-496CC6CC5DCD}"/>
              </c:ext>
            </c:extLst>
          </c:dPt>
          <c:dPt>
            <c:idx val="232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919-D421-4D9B-93C3-8107C0EB1E09}"/>
              </c:ext>
            </c:extLst>
          </c:dPt>
          <c:dPt>
            <c:idx val="233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923-54ED-4578-85D0-E551C9008228}"/>
              </c:ext>
            </c:extLst>
          </c:dPt>
          <c:dPt>
            <c:idx val="234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92D-4114-487F-8770-6F3C6EBEDACF}"/>
              </c:ext>
            </c:extLst>
          </c:dPt>
          <c:dPt>
            <c:idx val="235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937-809A-4A78-91FA-E34671987083}"/>
              </c:ext>
            </c:extLst>
          </c:dPt>
          <c:cat>
            <c:strRef>
              <c:f>出版社!$C$6:$C$7</c:f>
              <c:strCache>
                <c:ptCount val="2"/>
                <c:pt idx="0">
                  <c:v>人民出版社</c:v>
                </c:pt>
                <c:pt idx="1">
                  <c:v>(空白)</c:v>
                </c:pt>
              </c:strCache>
            </c:strRef>
          </c:cat>
          <c:val>
            <c:numRef>
              <c:f>出版社!$H$6:$H$7</c:f>
              <c:numCache>
                <c:formatCode>0.00_);[Red]\(0.00\)</c:formatCode>
                <c:ptCount val="2"/>
                <c:pt idx="0">
                  <c:v>5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2-484B-A0A5-DD66CF17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[书库 20210516.xlsm]类别!类别统计</c:name>
    <c:fmtId val="2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9.7416703569478971E-2"/>
              <c:y val="-4.205099897321280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6.4123800348104928E-2"/>
              <c:y val="-5.6712601567173074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8968477467833107E-2"/>
              <c:y val="-2.9715095408854248E-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2.5163884563130838E-2"/>
              <c:y val="-5.9542626076342448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2.164915414879617E-2"/>
              <c:y val="2.0800566786197783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ofPieChart>
        <c:ofPieType val="bar"/>
        <c:varyColors val="1"/>
        <c:ser>
          <c:idx val="0"/>
          <c:order val="0"/>
          <c:tx>
            <c:strRef>
              <c:f>类别!$D$5</c:f>
              <c:strCache>
                <c:ptCount val="1"/>
                <c:pt idx="0">
                  <c:v>套数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BF-463A-8B3A-648A7395AD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BF-463A-8B3A-648A7395AD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F-463A-8B3A-648A7395AD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BF-463A-8B3A-648A7395AD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83AD-4DB7-9107-8279421E70A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3AD-4DB7-9107-8279421E70A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83AD-4DB7-9107-8279421E70A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3AD-4DB7-9107-8279421E70A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83AD-4DB7-9107-8279421E70A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3AD-4DB7-9107-8279421E70A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83AD-4DB7-9107-8279421E70A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3AD-4DB7-9107-8279421E70A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83AD-4DB7-9107-8279421E70A3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83AD-4DB7-9107-8279421E70A3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3AD-4DB7-9107-8279421E70A3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3AD-4DB7-9107-8279421E70A3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83AD-4DB7-9107-8279421E70A3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3AD-4DB7-9107-8279421E70A3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3AD-4DB7-9107-8279421E70A3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3AD-4DB7-9107-8279421E70A3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83AD-4DB7-9107-8279421E70A3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3AD-4DB7-9107-8279421E70A3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9C49-4A04-BE60-72B2A31EE08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9C49-4A04-BE60-72B2A31EE08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9C49-4A04-BE60-72B2A31EE08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类别!$C$6</c:f>
              <c:strCache>
                <c:ptCount val="1"/>
                <c:pt idx="0">
                  <c:v>马列毛邓</c:v>
                </c:pt>
              </c:strCache>
            </c:strRef>
          </c:cat>
          <c:val>
            <c:numRef>
              <c:f>类别!$D$6</c:f>
              <c:numCache>
                <c:formatCode>0_);[Red]\(0\)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AD-4DB7-9107-8279421E70A3}"/>
            </c:ext>
          </c:extLst>
        </c:ser>
        <c:ser>
          <c:idx val="1"/>
          <c:order val="1"/>
          <c:tx>
            <c:strRef>
              <c:f>类别!$E$5</c:f>
              <c:strCache>
                <c:ptCount val="1"/>
                <c:pt idx="0">
                  <c:v>册数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7BF-463A-8B3A-648A7395AD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7BF-463A-8B3A-648A7395AD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7BF-463A-8B3A-648A7395AD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7BF-463A-8B3A-648A7395AD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7BF-463A-8B3A-648A7395AD6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7BF-463A-8B3A-648A7395AD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7BF-463A-8B3A-648A7395AD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7BF-463A-8B3A-648A7395AD6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7BF-463A-8B3A-648A7395AD6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7BF-463A-8B3A-648A7395AD6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7BF-463A-8B3A-648A7395AD6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7BF-463A-8B3A-648A7395AD6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7BF-463A-8B3A-648A7395AD6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7BF-463A-8B3A-648A7395AD6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7BF-463A-8B3A-648A7395AD6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7BF-463A-8B3A-648A7395AD6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7BF-463A-8B3A-648A7395AD6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7BF-463A-8B3A-648A7395AD6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7BF-463A-8B3A-648A7395AD6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7BF-463A-8B3A-648A7395AD6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7BF-463A-8B3A-648A7395AD6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7BF-463A-8B3A-648A7395AD6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9C49-4A04-BE60-72B2A31EE08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9C49-4A04-BE60-72B2A31EE08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9C49-4A04-BE60-72B2A31EE08C}"/>
              </c:ext>
            </c:extLst>
          </c:dPt>
          <c:cat>
            <c:strRef>
              <c:f>类别!$C$6</c:f>
              <c:strCache>
                <c:ptCount val="1"/>
                <c:pt idx="0">
                  <c:v>马列毛邓</c:v>
                </c:pt>
              </c:strCache>
            </c:strRef>
          </c:cat>
          <c:val>
            <c:numRef>
              <c:f>类别!$E$6</c:f>
              <c:numCache>
                <c:formatCode>0_);[Red]\(0\)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AD-4DB7-9107-8279421E70A3}"/>
            </c:ext>
          </c:extLst>
        </c:ser>
        <c:ser>
          <c:idx val="2"/>
          <c:order val="2"/>
          <c:tx>
            <c:strRef>
              <c:f>类别!$F$5</c:f>
              <c:strCache>
                <c:ptCount val="1"/>
                <c:pt idx="0">
                  <c:v>购入总价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7BF-463A-8B3A-648A7395AD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7BF-463A-8B3A-648A7395AD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7BF-463A-8B3A-648A7395AD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7BF-463A-8B3A-648A7395AD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7BF-463A-8B3A-648A7395AD6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7BF-463A-8B3A-648A7395AD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7BF-463A-8B3A-648A7395AD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7BF-463A-8B3A-648A7395AD6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7BF-463A-8B3A-648A7395AD6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7BF-463A-8B3A-648A7395AD6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7BF-463A-8B3A-648A7395AD6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7BF-463A-8B3A-648A7395AD6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7BF-463A-8B3A-648A7395AD6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7BF-463A-8B3A-648A7395AD6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7BF-463A-8B3A-648A7395AD6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7BF-463A-8B3A-648A7395AD6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7BF-463A-8B3A-648A7395AD6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7BF-463A-8B3A-648A7395AD6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7BF-463A-8B3A-648A7395AD6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7BF-463A-8B3A-648A7395AD6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7BF-463A-8B3A-648A7395AD6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F7BF-463A-8B3A-648A7395AD6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9C49-4A04-BE60-72B2A31EE08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9C49-4A04-BE60-72B2A31EE08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9C49-4A04-BE60-72B2A31EE08C}"/>
              </c:ext>
            </c:extLst>
          </c:dPt>
          <c:cat>
            <c:strRef>
              <c:f>类别!$C$6</c:f>
              <c:strCache>
                <c:ptCount val="1"/>
                <c:pt idx="0">
                  <c:v>马列毛邓</c:v>
                </c:pt>
              </c:strCache>
            </c:strRef>
          </c:cat>
          <c:val>
            <c:numRef>
              <c:f>类别!$F$6</c:f>
              <c:numCache>
                <c:formatCode>"¥"#,##0.00_);[Red]\("¥"#,##0.00\)</c:formatCode>
                <c:ptCount val="1"/>
                <c:pt idx="0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AD-4DB7-9107-8279421E70A3}"/>
            </c:ext>
          </c:extLst>
        </c:ser>
        <c:ser>
          <c:idx val="3"/>
          <c:order val="3"/>
          <c:tx>
            <c:strRef>
              <c:f>类别!$G$5</c:f>
              <c:strCache>
                <c:ptCount val="1"/>
                <c:pt idx="0">
                  <c:v>每册均价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F7BF-463A-8B3A-648A7395AD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F7BF-463A-8B3A-648A7395AD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F7BF-463A-8B3A-648A7395AD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F7BF-463A-8B3A-648A7395AD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F7BF-463A-8B3A-648A7395AD6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F7BF-463A-8B3A-648A7395AD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F7BF-463A-8B3A-648A7395AD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F7BF-463A-8B3A-648A7395AD6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F7BF-463A-8B3A-648A7395AD6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F7BF-463A-8B3A-648A7395AD6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F7BF-463A-8B3A-648A7395AD6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F7BF-463A-8B3A-648A7395AD6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F7BF-463A-8B3A-648A7395AD6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F7BF-463A-8B3A-648A7395AD6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F7BF-463A-8B3A-648A7395AD6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F7BF-463A-8B3A-648A7395AD6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F7BF-463A-8B3A-648A7395AD6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F7BF-463A-8B3A-648A7395AD6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F7BF-463A-8B3A-648A7395AD6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F7BF-463A-8B3A-648A7395AD6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F7BF-463A-8B3A-648A7395AD6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F7BF-463A-8B3A-648A7395AD6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9C49-4A04-BE60-72B2A31EE08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9C49-4A04-BE60-72B2A31EE08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9C49-4A04-BE60-72B2A31EE08C}"/>
              </c:ext>
            </c:extLst>
          </c:dPt>
          <c:cat>
            <c:strRef>
              <c:f>类别!$C$6</c:f>
              <c:strCache>
                <c:ptCount val="1"/>
                <c:pt idx="0">
                  <c:v>马列毛邓</c:v>
                </c:pt>
              </c:strCache>
            </c:strRef>
          </c:cat>
          <c:val>
            <c:numRef>
              <c:f>类别!$G$6</c:f>
              <c:numCache>
                <c:formatCode>"¥"#,##0.00_);[Red]\("¥"#,##0.00\)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AD-4DB7-9107-8279421E70A3}"/>
            </c:ext>
          </c:extLst>
        </c:ser>
        <c:ser>
          <c:idx val="4"/>
          <c:order val="4"/>
          <c:tx>
            <c:strRef>
              <c:f>类别!$H$5</c:f>
              <c:strCache>
                <c:ptCount val="1"/>
                <c:pt idx="0">
                  <c:v>平均折扣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1-F7BF-463A-8B3A-648A7395AD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3-F7BF-463A-8B3A-648A7395AD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5-F7BF-463A-8B3A-648A7395AD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7-F7BF-463A-8B3A-648A7395AD6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9-F7BF-463A-8B3A-648A7395AD6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B-F7BF-463A-8B3A-648A7395AD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D-F7BF-463A-8B3A-648A7395AD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BF-F7BF-463A-8B3A-648A7395AD6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1-F7BF-463A-8B3A-648A7395AD6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3-F7BF-463A-8B3A-648A7395AD6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5-F7BF-463A-8B3A-648A7395AD6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7-F7BF-463A-8B3A-648A7395AD6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9-F7BF-463A-8B3A-648A7395AD6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B-F7BF-463A-8B3A-648A7395AD67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D-F7BF-463A-8B3A-648A7395AD67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CF-F7BF-463A-8B3A-648A7395AD6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1-F7BF-463A-8B3A-648A7395AD67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3-F7BF-463A-8B3A-648A7395AD67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5-F7BF-463A-8B3A-648A7395AD6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7-F7BF-463A-8B3A-648A7395AD6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9-F7BF-463A-8B3A-648A7395AD67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DB-F7BF-463A-8B3A-648A7395AD67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5-9C49-4A04-BE60-72B2A31EE08C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7-9C49-4A04-BE60-72B2A31EE08C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F9-9C49-4A04-BE60-72B2A31EE08C}"/>
              </c:ext>
            </c:extLst>
          </c:dPt>
          <c:cat>
            <c:strRef>
              <c:f>类别!$C$6</c:f>
              <c:strCache>
                <c:ptCount val="1"/>
                <c:pt idx="0">
                  <c:v>马列毛邓</c:v>
                </c:pt>
              </c:strCache>
            </c:strRef>
          </c:cat>
          <c:val>
            <c:numRef>
              <c:f>类别!$H$6</c:f>
              <c:numCache>
                <c:formatCode>0.00_);[Red]\(0.00\)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AD-4DB7-9107-8279421E7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200">
                <a:solidFill>
                  <a:schemeClr val="bg1"/>
                </a:solidFill>
              </a:rPr>
              <a:t>系列收藏总进度</a:t>
            </a:r>
          </a:p>
        </c:rich>
      </c:tx>
      <c:layout>
        <c:manualLayout>
          <c:xMode val="edge"/>
          <c:yMode val="edge"/>
          <c:x val="0.24324102458148841"/>
          <c:y val="0.59091608392268435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</c:pictureOptions>
          <c:dLbls>
            <c:delete val="1"/>
          </c:dLbls>
          <c:val>
            <c:numRef>
              <c:f>系列!$K$2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90-4437-B236-3B1B0541DDCA}"/>
            </c:ext>
          </c:extLst>
        </c:ser>
        <c:ser>
          <c:idx val="1"/>
          <c:order val="1"/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Scale"/>
          </c:pictureOptions>
          <c:dLbls>
            <c:dLbl>
              <c:idx val="0"/>
              <c:layout>
                <c:manualLayout>
                  <c:x val="0"/>
                  <c:y val="0.13519880622822675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zh-CN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0.59257016545844543"/>
                      <c:h val="0.69099262953528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690-4437-B236-3B1B0541DD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系列!$L$2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690-4437-B236-3B1B0541DD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1249018288"/>
        <c:axId val="1249025832"/>
      </c:barChart>
      <c:catAx>
        <c:axId val="1249018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49025832"/>
        <c:crosses val="autoZero"/>
        <c:auto val="1"/>
        <c:lblAlgn val="ctr"/>
        <c:lblOffset val="100"/>
        <c:noMultiLvlLbl val="0"/>
      </c:catAx>
      <c:valAx>
        <c:axId val="1249025832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124901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[书库 20210516.xlsm]图书公司!图书公司统计</c:name>
    <c:fmtId val="29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0371363176166116E-2"/>
          <c:y val="7.2458862301369081E-2"/>
          <c:w val="0.69755853897486508"/>
          <c:h val="0.80196764608091409"/>
        </c:manualLayout>
      </c:layout>
      <c:pieChart>
        <c:varyColors val="1"/>
        <c:ser>
          <c:idx val="0"/>
          <c:order val="0"/>
          <c:tx>
            <c:strRef>
              <c:f>图书公司!$D$5</c:f>
              <c:strCache>
                <c:ptCount val="1"/>
                <c:pt idx="0">
                  <c:v>套数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图书公司!$C$6</c:f>
              <c:strCache>
                <c:ptCount val="1"/>
                <c:pt idx="0">
                  <c:v>国家</c:v>
                </c:pt>
              </c:strCache>
            </c:strRef>
          </c:cat>
          <c:val>
            <c:numRef>
              <c:f>图书公司!$D$6</c:f>
              <c:numCache>
                <c:formatCode>0_);[Red]\(0\)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C1-9E22-4DBF-B73C-C1AFD480EC13}"/>
            </c:ext>
          </c:extLst>
        </c:ser>
        <c:ser>
          <c:idx val="1"/>
          <c:order val="1"/>
          <c:tx>
            <c:strRef>
              <c:f>图书公司!$E$5</c:f>
              <c:strCache>
                <c:ptCount val="1"/>
                <c:pt idx="0">
                  <c:v>册数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图书公司!$C$6</c:f>
              <c:strCache>
                <c:ptCount val="1"/>
                <c:pt idx="0">
                  <c:v>国家</c:v>
                </c:pt>
              </c:strCache>
            </c:strRef>
          </c:cat>
          <c:val>
            <c:numRef>
              <c:f>图书公司!$E$6</c:f>
              <c:numCache>
                <c:formatCode>0_);[Red]\(0\)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C2-9E22-4DBF-B73C-C1AFD480EC13}"/>
            </c:ext>
          </c:extLst>
        </c:ser>
        <c:ser>
          <c:idx val="2"/>
          <c:order val="2"/>
          <c:tx>
            <c:strRef>
              <c:f>图书公司!$F$5</c:f>
              <c:strCache>
                <c:ptCount val="1"/>
                <c:pt idx="0">
                  <c:v>购入总价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图书公司!$C$6</c:f>
              <c:strCache>
                <c:ptCount val="1"/>
                <c:pt idx="0">
                  <c:v>国家</c:v>
                </c:pt>
              </c:strCache>
            </c:strRef>
          </c:cat>
          <c:val>
            <c:numRef>
              <c:f>图书公司!$F$6</c:f>
              <c:numCache>
                <c:formatCode>"¥"#,##0.00_);[Red]\("¥"#,##0.00\)</c:formatCode>
                <c:ptCount val="1"/>
                <c:pt idx="0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C3-9E22-4DBF-B73C-C1AFD480EC13}"/>
            </c:ext>
          </c:extLst>
        </c:ser>
        <c:ser>
          <c:idx val="3"/>
          <c:order val="3"/>
          <c:tx>
            <c:strRef>
              <c:f>图书公司!$G$5</c:f>
              <c:strCache>
                <c:ptCount val="1"/>
                <c:pt idx="0">
                  <c:v>每册均价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图书公司!$C$6</c:f>
              <c:strCache>
                <c:ptCount val="1"/>
                <c:pt idx="0">
                  <c:v>国家</c:v>
                </c:pt>
              </c:strCache>
            </c:strRef>
          </c:cat>
          <c:val>
            <c:numRef>
              <c:f>图书公司!$G$6</c:f>
              <c:numCache>
                <c:formatCode>"¥"#,##0.00_);[Red]\("¥"#,##0.00\)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C4-9E22-4DBF-B73C-C1AFD480EC13}"/>
            </c:ext>
          </c:extLst>
        </c:ser>
        <c:ser>
          <c:idx val="4"/>
          <c:order val="4"/>
          <c:tx>
            <c:strRef>
              <c:f>图书公司!$H$5</c:f>
              <c:strCache>
                <c:ptCount val="1"/>
                <c:pt idx="0">
                  <c:v>平均折扣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图书公司!$C$6</c:f>
              <c:strCache>
                <c:ptCount val="1"/>
                <c:pt idx="0">
                  <c:v>国家</c:v>
                </c:pt>
              </c:strCache>
            </c:strRef>
          </c:cat>
          <c:val>
            <c:numRef>
              <c:f>图书公司!$H$6</c:f>
              <c:numCache>
                <c:formatCode>0.00_);[Red]\(0.00\)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C5-9E22-4DBF-B73C-C1AFD480E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5C-4F04-8CC0-AC5915C572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DA-41D7-9EAD-7FC4D76B2D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BDA-41D7-9EAD-7FC4D76B2D1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A-41D7-9EAD-7FC4D76B2D1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DA-41D7-9EAD-7FC4D76B2D1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C5C-4F04-8CC0-AC5915C572C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BDA-41D7-9EAD-7FC4D76B2D1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BDA-41D7-9EAD-7FC4D76B2D1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BDA-41D7-9EAD-7FC4D76B2D1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B12-4929-B445-498CBC53D460}"/>
              </c:ext>
            </c:extLst>
          </c:dPt>
          <c:dLbls>
            <c:dLbl>
              <c:idx val="2"/>
              <c:layout>
                <c:manualLayout>
                  <c:x val="-7.1391079066323061E-3"/>
                  <c:y val="8.6264220538473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DA-41D7-9EAD-7FC4D76B2D18}"/>
                </c:ext>
              </c:extLst>
            </c:dLbl>
            <c:dLbl>
              <c:idx val="3"/>
              <c:layout>
                <c:manualLayout>
                  <c:x val="-3.7480316509819436E-2"/>
                  <c:y val="5.949256588860216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A-41D7-9EAD-7FC4D76B2D18}"/>
                </c:ext>
              </c:extLst>
            </c:dLbl>
            <c:dLbl>
              <c:idx val="4"/>
              <c:layout>
                <c:manualLayout>
                  <c:x val="-3.5695539533161402E-2"/>
                  <c:y val="-2.97462829443011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DA-41D7-9EAD-7FC4D76B2D18}"/>
                </c:ext>
              </c:extLst>
            </c:dLbl>
            <c:dLbl>
              <c:idx val="5"/>
              <c:layout>
                <c:manualLayout>
                  <c:x val="-1.2493438836606478E-2"/>
                  <c:y val="-8.626422053847335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C5C-4F04-8CC0-AC5915C572C1}"/>
                </c:ext>
              </c:extLst>
            </c:dLbl>
            <c:dLbl>
              <c:idx val="7"/>
              <c:layout>
                <c:manualLayout>
                  <c:x val="-8.7454071856245416E-2"/>
                  <c:y val="1.189851317772045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DA-41D7-9EAD-7FC4D76B2D18}"/>
                </c:ext>
              </c:extLst>
            </c:dLbl>
            <c:dLbl>
              <c:idx val="8"/>
              <c:layout>
                <c:manualLayout>
                  <c:x val="-3.5695539533162021E-3"/>
                  <c:y val="5.9492565888602279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DA-41D7-9EAD-7FC4D76B2D18}"/>
                </c:ext>
              </c:extLst>
            </c:dLbl>
            <c:dLbl>
              <c:idx val="9"/>
              <c:layout>
                <c:manualLayout>
                  <c:x val="0.1070866185994841"/>
                  <c:y val="8.9238848832903419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B12-4929-B445-498CBC53D46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(装帧!$C$5:$C$10,装帧!$C$12:$C$14,装帧!$C$15)</c:f>
              <c:strCache>
                <c:ptCount val="9"/>
                <c:pt idx="0">
                  <c:v>纸衣硬精装</c:v>
                </c:pt>
                <c:pt idx="1">
                  <c:v>硬壳精装</c:v>
                </c:pt>
                <c:pt idx="2">
                  <c:v>布面精装</c:v>
                </c:pt>
                <c:pt idx="3">
                  <c:v>布脊精装</c:v>
                </c:pt>
                <c:pt idx="4">
                  <c:v>皮面精装</c:v>
                </c:pt>
                <c:pt idx="5">
                  <c:v>软精装</c:v>
                </c:pt>
                <c:pt idx="6">
                  <c:v>普通平装</c:v>
                </c:pt>
                <c:pt idx="7">
                  <c:v>锁线平装</c:v>
                </c:pt>
                <c:pt idx="8">
                  <c:v>裸脊锁线平装</c:v>
                </c:pt>
              </c:strCache>
            </c:strRef>
          </c:cat>
          <c:val>
            <c:numRef>
              <c:f>(装帧!$D$5:$D$10,装帧!$D$12:$D$14,装帧!$D$15)</c:f>
              <c:numCache>
                <c:formatCode>#,##0_);[Red]\(#,##0\)</c:formatCode>
                <c:ptCount val="10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A-41D7-9EAD-7FC4D76B2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[书库 20210516.xlsm]购入时间!购入时间统计</c:name>
    <c:fmtId val="33"/>
  </c:pivotSource>
  <c:chart>
    <c:autoTitleDeleted val="0"/>
    <c:pivotFmts>
      <c:pivotFmt>
        <c:idx val="0"/>
        <c:spPr>
          <a:solidFill>
            <a:srgbClr val="5B9BD5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B9BD5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accent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</c:pivotFmts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购入时间!$C$5</c:f>
              <c:strCache>
                <c:ptCount val="1"/>
                <c:pt idx="0">
                  <c:v>套数</c:v>
                </c:pt>
              </c:strCache>
            </c:strRef>
          </c:tx>
          <c:spPr>
            <a:solidFill>
              <a:srgbClr val="5B9BD5"/>
            </a:solidFill>
            <a:ln w="19050">
              <a:solidFill>
                <a:schemeClr val="accent1"/>
              </a:solidFill>
            </a:ln>
            <a:effectLst/>
          </c:spPr>
          <c:invertIfNegative val="0"/>
          <c:cat>
            <c:strRef>
              <c:f>购入时间!$B$6:$B$10</c:f>
              <c:strCache>
                <c:ptCount val="5"/>
                <c:pt idx="0">
                  <c:v>2019/12/3</c:v>
                </c:pt>
                <c:pt idx="1">
                  <c:v>2019/11/3</c:v>
                </c:pt>
                <c:pt idx="2">
                  <c:v>2019/12/4</c:v>
                </c:pt>
                <c:pt idx="3">
                  <c:v>2019/12/5</c:v>
                </c:pt>
                <c:pt idx="4">
                  <c:v>2019/12/6</c:v>
                </c:pt>
              </c:strCache>
            </c:strRef>
          </c:cat>
          <c:val>
            <c:numRef>
              <c:f>购入时间!$C$6:$C$10</c:f>
              <c:numCache>
                <c:formatCode>0_);[Red]\(0\)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649-4AF3-9C05-24D88CFD4DCB}"/>
            </c:ext>
          </c:extLst>
        </c:ser>
        <c:ser>
          <c:idx val="3"/>
          <c:order val="1"/>
          <c:tx>
            <c:strRef>
              <c:f>购入时间!$D$5</c:f>
              <c:strCache>
                <c:ptCount val="1"/>
                <c:pt idx="0">
                  <c:v>册数</c:v>
                </c:pt>
              </c:strCache>
            </c:strRef>
          </c:tx>
          <c:spPr>
            <a:solidFill>
              <a:srgbClr val="5B9BD5"/>
            </a:solidFill>
            <a:ln w="19050">
              <a:solidFill>
                <a:schemeClr val="accent1"/>
              </a:solidFill>
            </a:ln>
            <a:effectLst/>
          </c:spPr>
          <c:invertIfNegative val="0"/>
          <c:cat>
            <c:strRef>
              <c:f>购入时间!$B$6:$B$10</c:f>
              <c:strCache>
                <c:ptCount val="5"/>
                <c:pt idx="0">
                  <c:v>2019/12/3</c:v>
                </c:pt>
                <c:pt idx="1">
                  <c:v>2019/11/3</c:v>
                </c:pt>
                <c:pt idx="2">
                  <c:v>2019/12/4</c:v>
                </c:pt>
                <c:pt idx="3">
                  <c:v>2019/12/5</c:v>
                </c:pt>
                <c:pt idx="4">
                  <c:v>2019/12/6</c:v>
                </c:pt>
              </c:strCache>
            </c:strRef>
          </c:cat>
          <c:val>
            <c:numRef>
              <c:f>购入时间!$D$6:$D$10</c:f>
              <c:numCache>
                <c:formatCode>0_);[Red]\(0\)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649-4AF3-9C05-24D88CFD4DCB}"/>
            </c:ext>
          </c:extLst>
        </c:ser>
        <c:ser>
          <c:idx val="0"/>
          <c:order val="2"/>
          <c:tx>
            <c:strRef>
              <c:f>购入时间!$E$5</c:f>
              <c:strCache>
                <c:ptCount val="1"/>
                <c:pt idx="0">
                  <c:v>购入总价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购入时间!$B$6:$B$10</c:f>
              <c:strCache>
                <c:ptCount val="5"/>
                <c:pt idx="0">
                  <c:v>2019/12/3</c:v>
                </c:pt>
                <c:pt idx="1">
                  <c:v>2019/11/3</c:v>
                </c:pt>
                <c:pt idx="2">
                  <c:v>2019/12/4</c:v>
                </c:pt>
                <c:pt idx="3">
                  <c:v>2019/12/5</c:v>
                </c:pt>
                <c:pt idx="4">
                  <c:v>2019/12/6</c:v>
                </c:pt>
              </c:strCache>
            </c:strRef>
          </c:cat>
          <c:val>
            <c:numRef>
              <c:f>购入时间!$E$6:$E$10</c:f>
              <c:numCache>
                <c:formatCode>"¥"#,##0.00_);[Red]\("¥"#,##0.00\)</c:formatCode>
                <c:ptCount val="5"/>
                <c:pt idx="0">
                  <c:v>35</c:v>
                </c:pt>
                <c:pt idx="1">
                  <c:v>20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649-4AF3-9C05-24D88CFD4DCB}"/>
            </c:ext>
          </c:extLst>
        </c:ser>
        <c:ser>
          <c:idx val="1"/>
          <c:order val="3"/>
          <c:tx>
            <c:strRef>
              <c:f>购入时间!$F$5</c:f>
              <c:strCache>
                <c:ptCount val="1"/>
                <c:pt idx="0">
                  <c:v>每册均价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购入时间!$B$6:$B$10</c:f>
              <c:strCache>
                <c:ptCount val="5"/>
                <c:pt idx="0">
                  <c:v>2019/12/3</c:v>
                </c:pt>
                <c:pt idx="1">
                  <c:v>2019/11/3</c:v>
                </c:pt>
                <c:pt idx="2">
                  <c:v>2019/12/4</c:v>
                </c:pt>
                <c:pt idx="3">
                  <c:v>2019/12/5</c:v>
                </c:pt>
                <c:pt idx="4">
                  <c:v>2019/12/6</c:v>
                </c:pt>
              </c:strCache>
            </c:strRef>
          </c:cat>
          <c:val>
            <c:numRef>
              <c:f>购入时间!$F$6:$F$10</c:f>
              <c:numCache>
                <c:formatCode>"¥"#,##0.00_);[Red]\("¥"#,##0.00\)</c:formatCode>
                <c:ptCount val="5"/>
                <c:pt idx="0">
                  <c:v>35</c:v>
                </c:pt>
                <c:pt idx="1">
                  <c:v>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649-4AF3-9C05-24D88CFD4DCB}"/>
            </c:ext>
          </c:extLst>
        </c:ser>
        <c:ser>
          <c:idx val="4"/>
          <c:order val="4"/>
          <c:tx>
            <c:strRef>
              <c:f>购入时间!$G$5</c:f>
              <c:strCache>
                <c:ptCount val="1"/>
                <c:pt idx="0">
                  <c:v>平均折扣</c:v>
                </c:pt>
              </c:strCache>
            </c:strRef>
          </c:tx>
          <c:spPr>
            <a:solidFill>
              <a:schemeClr val="accent5"/>
            </a:solidFill>
            <a:ln w="19050">
              <a:solidFill>
                <a:schemeClr val="accent2"/>
              </a:solidFill>
            </a:ln>
            <a:effectLst/>
          </c:spPr>
          <c:invertIfNegative val="0"/>
          <c:cat>
            <c:strRef>
              <c:f>购入时间!$B$6:$B$10</c:f>
              <c:strCache>
                <c:ptCount val="5"/>
                <c:pt idx="0">
                  <c:v>2019/12/3</c:v>
                </c:pt>
                <c:pt idx="1">
                  <c:v>2019/11/3</c:v>
                </c:pt>
                <c:pt idx="2">
                  <c:v>2019/12/4</c:v>
                </c:pt>
                <c:pt idx="3">
                  <c:v>2019/12/5</c:v>
                </c:pt>
                <c:pt idx="4">
                  <c:v>2019/12/6</c:v>
                </c:pt>
              </c:strCache>
            </c:strRef>
          </c:cat>
          <c:val>
            <c:numRef>
              <c:f>购入时间!$G$6:$G$10</c:f>
              <c:numCache>
                <c:formatCode>0.00_);[Red]\(0.00\)</c:formatCode>
                <c:ptCount val="5"/>
                <c:pt idx="0">
                  <c:v>7.7777777777777777</c:v>
                </c:pt>
                <c:pt idx="1">
                  <c:v>1.4285714285714284</c:v>
                </c:pt>
                <c:pt idx="2">
                  <c:v>7.7777777777777777</c:v>
                </c:pt>
                <c:pt idx="3">
                  <c:v>7.7777777777777777</c:v>
                </c:pt>
                <c:pt idx="4">
                  <c:v>7.7777777777777777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649-4AF3-9C05-24D88CFD4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24474328"/>
        <c:axId val="924480888"/>
      </c:barChart>
      <c:catAx>
        <c:axId val="924474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4480888"/>
        <c:crosses val="autoZero"/>
        <c:auto val="1"/>
        <c:lblAlgn val="ctr"/>
        <c:lblOffset val="100"/>
        <c:noMultiLvlLbl val="0"/>
      </c:catAx>
      <c:valAx>
        <c:axId val="92448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24474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96660609731475"/>
          <c:y val="0.14231212721159278"/>
          <c:w val="0.56206678780537045"/>
          <c:h val="0.80996793082853347"/>
        </c:manualLayout>
      </c:layout>
      <c:pieChart>
        <c:varyColors val="1"/>
        <c:ser>
          <c:idx val="0"/>
          <c:order val="0"/>
          <c:tx>
            <c:strRef>
              <c:f>购入方式!$D$5</c:f>
              <c:strCache>
                <c:ptCount val="1"/>
                <c:pt idx="0">
                  <c:v>套数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6F-4D27-AF98-9646615C571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6F-4D27-AF98-9646615C571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6F-4D27-AF98-9646615C57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62B-4834-96EA-5FF83547AA90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2B-4834-96EA-5FF83547AA90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62B-4834-96EA-5FF83547AA90}"/>
              </c:ext>
            </c:extLst>
          </c:dPt>
          <c:dPt>
            <c:idx val="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62B-4834-96EA-5FF83547AA90}"/>
              </c:ext>
            </c:extLst>
          </c:dPt>
          <c:dPt>
            <c:idx val="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2B-4834-96EA-5FF83547AA90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C62B-4834-96EA-5FF83547AA90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C62B-4834-96EA-5FF83547AA90}"/>
              </c:ext>
            </c:extLst>
          </c:dPt>
          <c:dPt>
            <c:idx val="1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62B-4834-96EA-5FF83547AA90}"/>
              </c:ext>
            </c:extLst>
          </c:dPt>
          <c:dPt>
            <c:idx val="1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62B-4834-96EA-5FF83547AA90}"/>
              </c:ext>
            </c:extLst>
          </c:dPt>
          <c:dPt>
            <c:idx val="1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2B-4834-96EA-5FF83547AA90}"/>
              </c:ext>
            </c:extLst>
          </c:dPt>
          <c:dLbls>
            <c:dLbl>
              <c:idx val="0"/>
              <c:layout>
                <c:manualLayout>
                  <c:x val="-9.2044558707543661E-2"/>
                  <c:y val="1.946192129517298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6F-4D27-AF98-9646615C571C}"/>
                </c:ext>
              </c:extLst>
            </c:dLbl>
            <c:dLbl>
              <c:idx val="1"/>
              <c:layout>
                <c:manualLayout>
                  <c:x val="1.857923357369912E-2"/>
                  <c:y val="-1.29746141967820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6F-4D27-AF98-9646615C571C}"/>
                </c:ext>
              </c:extLst>
            </c:dLbl>
            <c:dLbl>
              <c:idx val="2"/>
              <c:layout>
                <c:manualLayout>
                  <c:x val="-6.5027317507946922E-2"/>
                  <c:y val="-3.2436535491955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6F-4D27-AF98-9646615C571C}"/>
                </c:ext>
              </c:extLst>
            </c:dLbl>
            <c:dLbl>
              <c:idx val="3"/>
              <c:layout>
                <c:manualLayout>
                  <c:x val="-2.1249998140857554E-2"/>
                  <c:y val="4.674913410244160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2B-4834-96EA-5FF83547AA90}"/>
                </c:ext>
              </c:extLst>
            </c:dLbl>
            <c:dLbl>
              <c:idx val="5"/>
              <c:layout>
                <c:manualLayout>
                  <c:x val="-6.3246746668310039E-2"/>
                  <c:y val="-9.0620528802366779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2B-4834-96EA-5FF83547AA90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2B-4834-96EA-5FF83547AA90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2B-4834-96EA-5FF83547AA90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2B-4834-96EA-5FF83547AA90}"/>
                </c:ext>
              </c:extLst>
            </c:dLbl>
            <c:dLbl>
              <c:idx val="9"/>
              <c:layout>
                <c:manualLayout>
                  <c:x val="1.1495902875941533E-2"/>
                  <c:y val="-5.6575703042751356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2B-4834-96EA-5FF83547AA90}"/>
                </c:ext>
              </c:extLst>
            </c:dLbl>
            <c:dLbl>
              <c:idx val="10"/>
              <c:layout>
                <c:manualLayout>
                  <c:x val="0.10218580334170252"/>
                  <c:y val="-4.493328545326099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2B-4834-96EA-5FF83547AA90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2B-4834-96EA-5FF83547AA90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2B-4834-96EA-5FF83547AA9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multiLvlStrRef>
              <c:f>购入方式!$B$6:$C$18</c:f>
              <c:multiLvlStrCache>
                <c:ptCount val="13"/>
                <c:lvl>
                  <c:pt idx="0">
                    <c:v>淘宝网购</c:v>
                  </c:pt>
                  <c:pt idx="1">
                    <c:v>京东网购</c:v>
                  </c:pt>
                  <c:pt idx="2">
                    <c:v>当当网购</c:v>
                  </c:pt>
                  <c:pt idx="3">
                    <c:v>中国图书网购</c:v>
                  </c:pt>
                  <c:pt idx="4">
                    <c:v>亚马逊网购</c:v>
                  </c:pt>
                  <c:pt idx="5">
                    <c:v>孔夫子网购</c:v>
                  </c:pt>
                  <c:pt idx="6">
                    <c:v>获赠</c:v>
                  </c:pt>
                  <c:pt idx="7">
                    <c:v>多抓鱼网购</c:v>
                  </c:pt>
                  <c:pt idx="8">
                    <c:v>微店网购</c:v>
                  </c:pt>
                  <c:pt idx="9">
                    <c:v>书店或书展购入</c:v>
                  </c:pt>
                  <c:pt idx="10">
                    <c:v>北新网购</c:v>
                  </c:pt>
                  <c:pt idx="11">
                    <c:v>官网及官方众筹购入</c:v>
                  </c:pt>
                  <c:pt idx="12">
                    <c:v>个人私下交易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:lvl>
              </c:multiLvlStrCache>
            </c:multiLvlStrRef>
          </c:cat>
          <c:val>
            <c:numRef>
              <c:f>购入方式!$D$6:$D$18</c:f>
              <c:numCache>
                <c:formatCode>General</c:formatCode>
                <c:ptCount val="13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2B-4834-96EA-5FF83547AA90}"/>
            </c:ext>
          </c:extLst>
        </c:ser>
        <c:ser>
          <c:idx val="1"/>
          <c:order val="1"/>
          <c:tx>
            <c:strRef>
              <c:f>购入方式!$E$5</c:f>
              <c:strCache>
                <c:ptCount val="1"/>
                <c:pt idx="0">
                  <c:v>册数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F26F-4D27-AF98-9646615C571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F26F-4D27-AF98-9646615C571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F26F-4D27-AF98-9646615C57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F26F-4D27-AF98-9646615C571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F26F-4D27-AF98-9646615C571C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F26F-4D27-AF98-9646615C571C}"/>
              </c:ext>
            </c:extLst>
          </c:dPt>
          <c:dPt>
            <c:idx val="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F26F-4D27-AF98-9646615C571C}"/>
              </c:ext>
            </c:extLst>
          </c:dPt>
          <c:dPt>
            <c:idx val="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F26F-4D27-AF98-9646615C571C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F26F-4D27-AF98-9646615C571C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F26F-4D27-AF98-9646615C571C}"/>
              </c:ext>
            </c:extLst>
          </c:dPt>
          <c:dPt>
            <c:idx val="1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F26F-4D27-AF98-9646615C571C}"/>
              </c:ext>
            </c:extLst>
          </c:dPt>
          <c:dPt>
            <c:idx val="1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F26F-4D27-AF98-9646615C571C}"/>
              </c:ext>
            </c:extLst>
          </c:dPt>
          <c:dPt>
            <c:idx val="1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F26F-4D27-AF98-9646615C571C}"/>
              </c:ext>
            </c:extLst>
          </c:dPt>
          <c:cat>
            <c:multiLvlStrRef>
              <c:f>购入方式!$B$6:$C$18</c:f>
              <c:multiLvlStrCache>
                <c:ptCount val="13"/>
                <c:lvl>
                  <c:pt idx="0">
                    <c:v>淘宝网购</c:v>
                  </c:pt>
                  <c:pt idx="1">
                    <c:v>京东网购</c:v>
                  </c:pt>
                  <c:pt idx="2">
                    <c:v>当当网购</c:v>
                  </c:pt>
                  <c:pt idx="3">
                    <c:v>中国图书网购</c:v>
                  </c:pt>
                  <c:pt idx="4">
                    <c:v>亚马逊网购</c:v>
                  </c:pt>
                  <c:pt idx="5">
                    <c:v>孔夫子网购</c:v>
                  </c:pt>
                  <c:pt idx="6">
                    <c:v>获赠</c:v>
                  </c:pt>
                  <c:pt idx="7">
                    <c:v>多抓鱼网购</c:v>
                  </c:pt>
                  <c:pt idx="8">
                    <c:v>微店网购</c:v>
                  </c:pt>
                  <c:pt idx="9">
                    <c:v>书店或书展购入</c:v>
                  </c:pt>
                  <c:pt idx="10">
                    <c:v>北新网购</c:v>
                  </c:pt>
                  <c:pt idx="11">
                    <c:v>官网及官方众筹购入</c:v>
                  </c:pt>
                  <c:pt idx="12">
                    <c:v>个人私下交易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:lvl>
              </c:multiLvlStrCache>
            </c:multiLvlStrRef>
          </c:cat>
          <c:val>
            <c:numRef>
              <c:f>购入方式!$E$6:$E$18</c:f>
              <c:numCache>
                <c:formatCode>General</c:formatCode>
                <c:ptCount val="13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2B-4834-96EA-5FF83547AA90}"/>
            </c:ext>
          </c:extLst>
        </c:ser>
        <c:ser>
          <c:idx val="2"/>
          <c:order val="2"/>
          <c:tx>
            <c:strRef>
              <c:f>购入方式!$F$5</c:f>
              <c:strCache>
                <c:ptCount val="1"/>
                <c:pt idx="0">
                  <c:v>购入总价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F26F-4D27-AF98-9646615C571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F26F-4D27-AF98-9646615C571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F26F-4D27-AF98-9646615C57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F26F-4D27-AF98-9646615C571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F26F-4D27-AF98-9646615C571C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F26F-4D27-AF98-9646615C571C}"/>
              </c:ext>
            </c:extLst>
          </c:dPt>
          <c:dPt>
            <c:idx val="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F26F-4D27-AF98-9646615C571C}"/>
              </c:ext>
            </c:extLst>
          </c:dPt>
          <c:dPt>
            <c:idx val="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F26F-4D27-AF98-9646615C571C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F26F-4D27-AF98-9646615C571C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F26F-4D27-AF98-9646615C571C}"/>
              </c:ext>
            </c:extLst>
          </c:dPt>
          <c:dPt>
            <c:idx val="1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F26F-4D27-AF98-9646615C571C}"/>
              </c:ext>
            </c:extLst>
          </c:dPt>
          <c:dPt>
            <c:idx val="1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F26F-4D27-AF98-9646615C571C}"/>
              </c:ext>
            </c:extLst>
          </c:dPt>
          <c:dPt>
            <c:idx val="1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F26F-4D27-AF98-9646615C571C}"/>
              </c:ext>
            </c:extLst>
          </c:dPt>
          <c:cat>
            <c:multiLvlStrRef>
              <c:f>购入方式!$B$6:$C$18</c:f>
              <c:multiLvlStrCache>
                <c:ptCount val="13"/>
                <c:lvl>
                  <c:pt idx="0">
                    <c:v>淘宝网购</c:v>
                  </c:pt>
                  <c:pt idx="1">
                    <c:v>京东网购</c:v>
                  </c:pt>
                  <c:pt idx="2">
                    <c:v>当当网购</c:v>
                  </c:pt>
                  <c:pt idx="3">
                    <c:v>中国图书网购</c:v>
                  </c:pt>
                  <c:pt idx="4">
                    <c:v>亚马逊网购</c:v>
                  </c:pt>
                  <c:pt idx="5">
                    <c:v>孔夫子网购</c:v>
                  </c:pt>
                  <c:pt idx="6">
                    <c:v>获赠</c:v>
                  </c:pt>
                  <c:pt idx="7">
                    <c:v>多抓鱼网购</c:v>
                  </c:pt>
                  <c:pt idx="8">
                    <c:v>微店网购</c:v>
                  </c:pt>
                  <c:pt idx="9">
                    <c:v>书店或书展购入</c:v>
                  </c:pt>
                  <c:pt idx="10">
                    <c:v>北新网购</c:v>
                  </c:pt>
                  <c:pt idx="11">
                    <c:v>官网及官方众筹购入</c:v>
                  </c:pt>
                  <c:pt idx="12">
                    <c:v>个人私下交易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:lvl>
              </c:multiLvlStrCache>
            </c:multiLvlStrRef>
          </c:cat>
          <c:val>
            <c:numRef>
              <c:f>购入方式!$F$6:$F$18</c:f>
              <c:numCache>
                <c:formatCode>"¥"#,##0.00_);\("¥"#,##0.00\)</c:formatCode>
                <c:ptCount val="13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2B-4834-96EA-5FF83547AA90}"/>
            </c:ext>
          </c:extLst>
        </c:ser>
        <c:ser>
          <c:idx val="3"/>
          <c:order val="3"/>
          <c:tx>
            <c:strRef>
              <c:f>购入方式!$G$5</c:f>
              <c:strCache>
                <c:ptCount val="1"/>
                <c:pt idx="0">
                  <c:v>每册均价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F26F-4D27-AF98-9646615C571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F26F-4D27-AF98-9646615C571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F26F-4D27-AF98-9646615C57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F26F-4D27-AF98-9646615C571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F26F-4D27-AF98-9646615C571C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F26F-4D27-AF98-9646615C571C}"/>
              </c:ext>
            </c:extLst>
          </c:dPt>
          <c:dPt>
            <c:idx val="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F26F-4D27-AF98-9646615C571C}"/>
              </c:ext>
            </c:extLst>
          </c:dPt>
          <c:dPt>
            <c:idx val="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F26F-4D27-AF98-9646615C571C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F26F-4D27-AF98-9646615C571C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F26F-4D27-AF98-9646615C571C}"/>
              </c:ext>
            </c:extLst>
          </c:dPt>
          <c:dPt>
            <c:idx val="1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F26F-4D27-AF98-9646615C571C}"/>
              </c:ext>
            </c:extLst>
          </c:dPt>
          <c:dPt>
            <c:idx val="1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F26F-4D27-AF98-9646615C571C}"/>
              </c:ext>
            </c:extLst>
          </c:dPt>
          <c:dPt>
            <c:idx val="1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F26F-4D27-AF98-9646615C571C}"/>
              </c:ext>
            </c:extLst>
          </c:dPt>
          <c:cat>
            <c:multiLvlStrRef>
              <c:f>购入方式!$B$6:$C$18</c:f>
              <c:multiLvlStrCache>
                <c:ptCount val="13"/>
                <c:lvl>
                  <c:pt idx="0">
                    <c:v>淘宝网购</c:v>
                  </c:pt>
                  <c:pt idx="1">
                    <c:v>京东网购</c:v>
                  </c:pt>
                  <c:pt idx="2">
                    <c:v>当当网购</c:v>
                  </c:pt>
                  <c:pt idx="3">
                    <c:v>中国图书网购</c:v>
                  </c:pt>
                  <c:pt idx="4">
                    <c:v>亚马逊网购</c:v>
                  </c:pt>
                  <c:pt idx="5">
                    <c:v>孔夫子网购</c:v>
                  </c:pt>
                  <c:pt idx="6">
                    <c:v>获赠</c:v>
                  </c:pt>
                  <c:pt idx="7">
                    <c:v>多抓鱼网购</c:v>
                  </c:pt>
                  <c:pt idx="8">
                    <c:v>微店网购</c:v>
                  </c:pt>
                  <c:pt idx="9">
                    <c:v>书店或书展购入</c:v>
                  </c:pt>
                  <c:pt idx="10">
                    <c:v>北新网购</c:v>
                  </c:pt>
                  <c:pt idx="11">
                    <c:v>官网及官方众筹购入</c:v>
                  </c:pt>
                  <c:pt idx="12">
                    <c:v>个人私下交易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:lvl>
              </c:multiLvlStrCache>
            </c:multiLvlStrRef>
          </c:cat>
          <c:val>
            <c:numRef>
              <c:f>购入方式!$G$6:$G$18</c:f>
              <c:numCache>
                <c:formatCode>"¥"#,##0.00_);\("¥"#,##0.00\)</c:formatCode>
                <c:ptCount val="13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2B-4834-96EA-5FF83547AA90}"/>
            </c:ext>
          </c:extLst>
        </c:ser>
        <c:ser>
          <c:idx val="4"/>
          <c:order val="4"/>
          <c:tx>
            <c:strRef>
              <c:f>购入方式!$H$5</c:f>
              <c:strCache>
                <c:ptCount val="1"/>
                <c:pt idx="0">
                  <c:v>平均折扣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F26F-4D27-AF98-9646615C571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F26F-4D27-AF98-9646615C571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F26F-4D27-AF98-9646615C57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F26F-4D27-AF98-9646615C571C}"/>
              </c:ext>
            </c:extLst>
          </c:dPt>
          <c:dPt>
            <c:idx val="4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F26F-4D27-AF98-9646615C571C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F26F-4D27-AF98-9646615C571C}"/>
              </c:ext>
            </c:extLst>
          </c:dPt>
          <c:dPt>
            <c:idx val="6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F26F-4D27-AF98-9646615C571C}"/>
              </c:ext>
            </c:extLst>
          </c:dPt>
          <c:dPt>
            <c:idx val="7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F26F-4D27-AF98-9646615C571C}"/>
              </c:ext>
            </c:extLst>
          </c:dPt>
          <c:dPt>
            <c:idx val="8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F26F-4D27-AF98-9646615C571C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F26F-4D27-AF98-9646615C571C}"/>
              </c:ext>
            </c:extLst>
          </c:dPt>
          <c:dPt>
            <c:idx val="1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F26F-4D27-AF98-9646615C571C}"/>
              </c:ext>
            </c:extLst>
          </c:dPt>
          <c:dPt>
            <c:idx val="11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F26F-4D27-AF98-9646615C571C}"/>
              </c:ext>
            </c:extLst>
          </c:dPt>
          <c:dPt>
            <c:idx val="12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F26F-4D27-AF98-9646615C571C}"/>
              </c:ext>
            </c:extLst>
          </c:dPt>
          <c:cat>
            <c:multiLvlStrRef>
              <c:f>购入方式!$B$6:$C$18</c:f>
              <c:multiLvlStrCache>
                <c:ptCount val="13"/>
                <c:lvl>
                  <c:pt idx="0">
                    <c:v>淘宝网购</c:v>
                  </c:pt>
                  <c:pt idx="1">
                    <c:v>京东网购</c:v>
                  </c:pt>
                  <c:pt idx="2">
                    <c:v>当当网购</c:v>
                  </c:pt>
                  <c:pt idx="3">
                    <c:v>中国图书网购</c:v>
                  </c:pt>
                  <c:pt idx="4">
                    <c:v>亚马逊网购</c:v>
                  </c:pt>
                  <c:pt idx="5">
                    <c:v>孔夫子网购</c:v>
                  </c:pt>
                  <c:pt idx="6">
                    <c:v>获赠</c:v>
                  </c:pt>
                  <c:pt idx="7">
                    <c:v>多抓鱼网购</c:v>
                  </c:pt>
                  <c:pt idx="8">
                    <c:v>微店网购</c:v>
                  </c:pt>
                  <c:pt idx="9">
                    <c:v>书店或书展购入</c:v>
                  </c:pt>
                  <c:pt idx="10">
                    <c:v>北新网购</c:v>
                  </c:pt>
                  <c:pt idx="11">
                    <c:v>官网及官方众筹购入</c:v>
                  </c:pt>
                  <c:pt idx="12">
                    <c:v>个人私下交易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:lvl>
              </c:multiLvlStrCache>
            </c:multiLvlStrRef>
          </c:cat>
          <c:val>
            <c:numRef>
              <c:f>购入方式!$H$6:$H$18</c:f>
              <c:numCache>
                <c:formatCode>0.00_);[Red]\(0.00\)</c:formatCode>
                <c:ptCount val="13"/>
                <c:pt idx="0">
                  <c:v>1.4285714285714284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7.7777777777777777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2B-4834-96EA-5FF83547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zh-CN" altLang="zh-CN" sz="1800" b="1" i="0" baseline="0">
                <a:solidFill>
                  <a:schemeClr val="accent1"/>
                </a:solidFill>
                <a:effectLst/>
              </a:rPr>
              <a:t>书籍</a:t>
            </a:r>
            <a:r>
              <a:rPr lang="zh-CN" altLang="en-US" sz="1800" b="1" i="0" baseline="0">
                <a:solidFill>
                  <a:schemeClr val="accent1"/>
                </a:solidFill>
                <a:effectLst/>
              </a:rPr>
              <a:t>页数</a:t>
            </a:r>
            <a:r>
              <a:rPr lang="zh-CN" altLang="zh-CN" sz="1800" b="1" i="0" baseline="0">
                <a:solidFill>
                  <a:schemeClr val="accent1"/>
                </a:solidFill>
                <a:effectLst/>
              </a:rPr>
              <a:t>直方图</a:t>
            </a:r>
            <a:endParaRPr lang="zh-CN" altLang="zh-CN" sz="1400">
              <a:solidFill>
                <a:schemeClr val="accent1"/>
              </a:solidFill>
              <a:effectLst/>
            </a:endParaRPr>
          </a:p>
        </cx:rich>
      </cx:tx>
    </cx:title>
    <cx:plotArea>
      <cx:plotAreaRegion>
        <cx:series layoutId="clusteredColumn" uniqueId="{BA574A36-82CE-4D09-A435-BADDFC61C3EF}">
          <cx:tx>
            <cx:txData>
              <cx:f>_xlchart.v1.0</cx:f>
              <cx:v/>
            </cx:txData>
          </cx:tx>
          <cx:dataId val="0"/>
          <cx:layoutPr>
            <cx:binning intervalClosed="r" overflow="1000">
              <cx:binSize val="50"/>
            </cx:binning>
          </cx:layoutPr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zh-CN" alt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txPr>
      </cx:axis>
      <cx:axis id="1">
        <cx:valScaling/>
        <cx:majorGridlines/>
        <cx:tickLabels/>
      </cx:axis>
    </cx:plotArea>
  </cx:chart>
  <cx:spPr>
    <a:ln>
      <a:solidFill>
        <a:schemeClr val="accent1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rich>
          <a:bodyPr rot="0" spcFirstLastPara="1" vertOverflow="ellipsis" vert="horz" wrap="square" lIns="38100" tIns="19050" rIns="38100" bIns="19050" anchor="ctr" anchorCtr="1" compatLnSpc="0"/>
          <a:lstStyle/>
          <a:p>
            <a:pPr algn="ctr" rtl="0">
              <a:defRPr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kumimoji="0" lang="zh-CN" altLang="zh-CN" sz="1800" b="1" i="0" u="none" strike="noStrike" kern="0" cap="none" spc="0" normalizeH="0" baseline="0" noProof="0">
                <a:ln>
                  <a:noFill/>
                </a:ln>
                <a:solidFill>
                  <a:srgbClr val="5B9BD5"/>
                </a:solidFill>
                <a:effectLst/>
                <a:uLnTx/>
                <a:uFillTx/>
                <a:latin typeface="Calibri" panose="020F0502020204030204"/>
                <a:ea typeface="等线" panose="02010600030101010101" pitchFamily="2" charset="-122"/>
              </a:rPr>
              <a:t>书籍</a:t>
            </a:r>
            <a:r>
              <a:rPr kumimoji="0" lang="zh-CN" altLang="en-US" sz="1800" b="1" i="0" u="none" strike="noStrike" kern="0" cap="none" spc="0" normalizeH="0" baseline="0" noProof="0">
                <a:ln>
                  <a:noFill/>
                </a:ln>
                <a:solidFill>
                  <a:srgbClr val="5B9BD5"/>
                </a:solidFill>
                <a:effectLst/>
                <a:uLnTx/>
                <a:uFillTx/>
                <a:latin typeface="Calibri" panose="020F0502020204030204"/>
                <a:ea typeface="等线" panose="02010600030101010101" pitchFamily="2" charset="-122"/>
              </a:rPr>
              <a:t>字数</a:t>
            </a:r>
            <a:r>
              <a:rPr kumimoji="0" lang="zh-CN" altLang="zh-CN" sz="1800" b="1" i="0" u="none" strike="noStrike" kern="0" cap="none" spc="0" normalizeH="0" baseline="0" noProof="0">
                <a:ln>
                  <a:noFill/>
                </a:ln>
                <a:solidFill>
                  <a:srgbClr val="5B9BD5"/>
                </a:solidFill>
                <a:effectLst/>
                <a:uLnTx/>
                <a:uFillTx/>
                <a:latin typeface="Calibri" panose="020F0502020204030204"/>
                <a:ea typeface="等线" panose="02010600030101010101" pitchFamily="2" charset="-122"/>
              </a:rPr>
              <a:t>直方图</a:t>
            </a:r>
            <a:endParaRPr lang="zh-CN" altLang="zh-CN" sz="1400">
              <a:solidFill>
                <a:schemeClr val="accent1"/>
              </a:solidFill>
              <a:effectLst/>
            </a:endParaRPr>
          </a:p>
        </cx:rich>
      </cx:tx>
    </cx:title>
    <cx:plotArea>
      <cx:plotAreaRegion>
        <cx:series layoutId="clusteredColumn" uniqueId="{35F827F3-D165-410D-BB2C-2E670D72F2E1}">
          <cx:tx>
            <cx:txData>
              <cx:f>_xlchart.v1.2</cx:f>
              <cx:v/>
            </cx:txData>
          </cx:tx>
          <cx:dataLabels>
            <cx:visibility seriesName="0" categoryName="0" value="1"/>
          </cx:dataLabels>
          <cx:dataId val="0"/>
          <cx:layoutPr>
            <cx:binning intervalClosed="r" overflow="1000">
              <cx:binSize val="50"/>
            </cx:binning>
          </cx:layoutPr>
        </cx:series>
      </cx:plotAreaRegion>
      <cx:axis id="0">
        <cx:catScaling gapWidth="0"/>
        <cx:tickLabels/>
        <cx:numFmt formatCode="#,##0_);[红色](#,##0)" sourceLinked="0"/>
      </cx:axis>
      <cx:axis id="1">
        <cx:valScaling max="100" min="0"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书籍购入价格直方图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/>
          </a:pPr>
          <a:r>
            <a:rPr lang="zh-CN" altLang="en-US" sz="1600" b="1" i="0" u="none" strike="noStrike" baseline="0">
              <a:solidFill>
                <a:schemeClr val="accent1"/>
              </a:solidFill>
              <a:latin typeface="Calibri" panose="020F0502020204030204"/>
              <a:ea typeface="等线" panose="02010600030101010101" pitchFamily="2" charset="-122"/>
            </a:rPr>
            <a:t>书籍购入价格直方图</a:t>
          </a:r>
        </a:p>
      </cx:txPr>
    </cx:title>
    <cx:plotArea>
      <cx:plotAreaRegion>
        <cx:series layoutId="clusteredColumn" uniqueId="{CDFADF27-209C-4EA5-AC56-49C7DABE5AF1}">
          <cx:tx>
            <cx:txData>
              <cx:f>_xlchart.v1.4</cx:f>
              <cx:v/>
            </cx:txData>
          </cx:tx>
          <cx:dataId val="0"/>
          <cx:layoutPr>
            <cx:binning intervalClosed="r" underflow="0" overflow="80">
              <cx:binCount val="40"/>
            </cx:binning>
          </cx:layoutPr>
        </cx:series>
      </cx:plotAreaRegion>
      <cx:axis id="0">
        <cx:catScaling gapWidth="0"/>
        <cx:tickLabels/>
        <cx:numFmt formatCode="¥#,##0_);[红色](¥#,##0)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zh-CN" alt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等线" panose="02010600030101010101" pitchFamily="2" charset="-122"/>
            </a:endParaRPr>
          </a:p>
        </cx:txPr>
      </cx:axis>
      <cx:axis id="1">
        <cx:valScaling/>
        <cx:majorGridlines/>
        <cx:tickLabels/>
        <cx:numFmt formatCode="#,##0_);[红色](#,##0)" sourceLinked="0"/>
      </cx:axis>
    </cx:plotArea>
  </cx:chart>
  <cx:spPr>
    <a:ln>
      <a:solidFill>
        <a:schemeClr val="accent1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png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drawing1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1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1.png"/><Relationship Id="rId1" Type="http://schemas.openxmlformats.org/officeDocument/2006/relationships/chart" Target="../charts/chart6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2.png"/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4372</xdr:colOff>
      <xdr:row>2</xdr:row>
      <xdr:rowOff>111801</xdr:rowOff>
    </xdr:from>
    <xdr:to>
      <xdr:col>5</xdr:col>
      <xdr:colOff>905435</xdr:colOff>
      <xdr:row>4</xdr:row>
      <xdr:rowOff>67235</xdr:rowOff>
    </xdr:to>
    <xdr:sp macro="[0]!通过豆瓣API获取书籍信息__录入框方式" textlink="">
      <xdr:nvSpPr>
        <xdr:cNvPr id="5" name="矩形: 圆角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69948" y="577966"/>
          <a:ext cx="901063" cy="421598"/>
        </a:xfrm>
        <a:prstGeom prst="roundRect">
          <a:avLst/>
        </a:prstGeom>
        <a:ln w="38100">
          <a:solidFill>
            <a:schemeClr val="accent1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 b="1"/>
            <a:t> ISBN </a:t>
          </a:r>
          <a:r>
            <a:rPr lang="zh-CN" altLang="en-US" sz="1200" b="1"/>
            <a:t>录入</a:t>
          </a:r>
        </a:p>
      </xdr:txBody>
    </xdr:sp>
    <xdr:clientData/>
  </xdr:twoCellAnchor>
  <xdr:twoCellAnchor editAs="oneCell">
    <xdr:from>
      <xdr:col>2</xdr:col>
      <xdr:colOff>2470197</xdr:colOff>
      <xdr:row>2</xdr:row>
      <xdr:rowOff>39220</xdr:rowOff>
    </xdr:from>
    <xdr:to>
      <xdr:col>2</xdr:col>
      <xdr:colOff>3083719</xdr:colOff>
      <xdr:row>4</xdr:row>
      <xdr:rowOff>200305</xdr:rowOff>
    </xdr:to>
    <xdr:pic macro="[0]!按照规则排序书库主表格">
      <xdr:nvPicPr>
        <xdr:cNvPr id="4" name="图片 3">
          <a:extLst>
            <a:ext uri="{FF2B5EF4-FFF2-40B4-BE49-F238E27FC236}">
              <a16:creationId xmlns:a16="http://schemas.microsoft.com/office/drawing/2014/main" id="{6C373AF0-7613-470D-B877-1CA116A97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5072" y="491658"/>
          <a:ext cx="613522" cy="6135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123261</xdr:colOff>
      <xdr:row>9</xdr:row>
      <xdr:rowOff>201705</xdr:rowOff>
    </xdr:from>
    <xdr:to>
      <xdr:col>3</xdr:col>
      <xdr:colOff>680820</xdr:colOff>
      <xdr:row>12</xdr:row>
      <xdr:rowOff>86911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821EFC95-ED5C-4894-BCFA-5AE0F4C2D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173" y="2218764"/>
          <a:ext cx="557559" cy="557559"/>
        </a:xfrm>
        <a:prstGeom prst="rect">
          <a:avLst/>
        </a:prstGeom>
      </xdr:spPr>
    </xdr:pic>
    <xdr:clientData/>
  </xdr:twoCellAnchor>
  <xdr:twoCellAnchor editAs="oneCell">
    <xdr:from>
      <xdr:col>8</xdr:col>
      <xdr:colOff>138793</xdr:colOff>
      <xdr:row>9</xdr:row>
      <xdr:rowOff>194823</xdr:rowOff>
    </xdr:from>
    <xdr:to>
      <xdr:col>8</xdr:col>
      <xdr:colOff>696352</xdr:colOff>
      <xdr:row>12</xdr:row>
      <xdr:rowOff>80029</xdr:rowOff>
    </xdr:to>
    <xdr:pic>
      <xdr:nvPicPr>
        <xdr:cNvPr id="31" name="图片 30">
          <a:extLst>
            <a:ext uri="{FF2B5EF4-FFF2-40B4-BE49-F238E27FC236}">
              <a16:creationId xmlns:a16="http://schemas.microsoft.com/office/drawing/2014/main" id="{A519DA81-D882-4158-8057-EFBDEF0A70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0822" y="2211882"/>
          <a:ext cx="557559" cy="557559"/>
        </a:xfrm>
        <a:prstGeom prst="rect">
          <a:avLst/>
        </a:prstGeom>
      </xdr:spPr>
    </xdr:pic>
    <xdr:clientData/>
  </xdr:twoCellAnchor>
  <xdr:twoCellAnchor editAs="oneCell">
    <xdr:from>
      <xdr:col>2</xdr:col>
      <xdr:colOff>145676</xdr:colOff>
      <xdr:row>2</xdr:row>
      <xdr:rowOff>56030</xdr:rowOff>
    </xdr:from>
    <xdr:to>
      <xdr:col>2</xdr:col>
      <xdr:colOff>655851</xdr:colOff>
      <xdr:row>4</xdr:row>
      <xdr:rowOff>117969</xdr:rowOff>
    </xdr:to>
    <xdr:pic>
      <xdr:nvPicPr>
        <xdr:cNvPr id="33" name="图片 32">
          <a:extLst>
            <a:ext uri="{FF2B5EF4-FFF2-40B4-BE49-F238E27FC236}">
              <a16:creationId xmlns:a16="http://schemas.microsoft.com/office/drawing/2014/main" id="{26B17477-3B0D-46FB-9B76-196130528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6764" y="504265"/>
          <a:ext cx="510175" cy="510175"/>
        </a:xfrm>
        <a:prstGeom prst="rect">
          <a:avLst/>
        </a:prstGeom>
      </xdr:spPr>
    </xdr:pic>
    <xdr:clientData/>
  </xdr:twoCellAnchor>
  <xdr:twoCellAnchor editAs="oneCell">
    <xdr:from>
      <xdr:col>6</xdr:col>
      <xdr:colOff>126511</xdr:colOff>
      <xdr:row>2</xdr:row>
      <xdr:rowOff>89647</xdr:rowOff>
    </xdr:from>
    <xdr:to>
      <xdr:col>6</xdr:col>
      <xdr:colOff>638735</xdr:colOff>
      <xdr:row>4</xdr:row>
      <xdr:rowOff>122373</xdr:rowOff>
    </xdr:to>
    <xdr:pic>
      <xdr:nvPicPr>
        <xdr:cNvPr id="37" name="图片 36">
          <a:extLst>
            <a:ext uri="{FF2B5EF4-FFF2-40B4-BE49-F238E27FC236}">
              <a16:creationId xmlns:a16="http://schemas.microsoft.com/office/drawing/2014/main" id="{65AC2B66-2F31-4AF3-8705-33C59533A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893" y="537882"/>
          <a:ext cx="512224" cy="480962"/>
        </a:xfrm>
        <a:prstGeom prst="rect">
          <a:avLst/>
        </a:prstGeom>
      </xdr:spPr>
    </xdr:pic>
    <xdr:clientData/>
  </xdr:twoCellAnchor>
  <xdr:twoCellAnchor editAs="oneCell">
    <xdr:from>
      <xdr:col>1</xdr:col>
      <xdr:colOff>156883</xdr:colOff>
      <xdr:row>2</xdr:row>
      <xdr:rowOff>44824</xdr:rowOff>
    </xdr:from>
    <xdr:to>
      <xdr:col>1</xdr:col>
      <xdr:colOff>686117</xdr:colOff>
      <xdr:row>4</xdr:row>
      <xdr:rowOff>125822</xdr:rowOff>
    </xdr:to>
    <xdr:pic>
      <xdr:nvPicPr>
        <xdr:cNvPr id="47" name="图片 46">
          <a:extLst>
            <a:ext uri="{FF2B5EF4-FFF2-40B4-BE49-F238E27FC236}">
              <a16:creationId xmlns:a16="http://schemas.microsoft.com/office/drawing/2014/main" id="{993A8B84-3334-4D45-83A4-585F411EA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148" y="493059"/>
          <a:ext cx="529234" cy="529234"/>
        </a:xfrm>
        <a:prstGeom prst="rect">
          <a:avLst/>
        </a:prstGeom>
      </xdr:spPr>
    </xdr:pic>
    <xdr:clientData/>
  </xdr:twoCellAnchor>
  <xdr:twoCellAnchor editAs="oneCell">
    <xdr:from>
      <xdr:col>10</xdr:col>
      <xdr:colOff>123266</xdr:colOff>
      <xdr:row>2</xdr:row>
      <xdr:rowOff>22416</xdr:rowOff>
    </xdr:from>
    <xdr:to>
      <xdr:col>10</xdr:col>
      <xdr:colOff>683560</xdr:colOff>
      <xdr:row>4</xdr:row>
      <xdr:rowOff>134474</xdr:rowOff>
    </xdr:to>
    <xdr:pic>
      <xdr:nvPicPr>
        <xdr:cNvPr id="53" name="图片 52">
          <a:extLst>
            <a:ext uri="{FF2B5EF4-FFF2-40B4-BE49-F238E27FC236}">
              <a16:creationId xmlns:a16="http://schemas.microsoft.com/office/drawing/2014/main" id="{68714EE4-6B00-4FC0-8EEE-2A5187AA0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942" y="470651"/>
          <a:ext cx="560294" cy="560294"/>
        </a:xfrm>
        <a:prstGeom prst="rect">
          <a:avLst/>
        </a:prstGeom>
      </xdr:spPr>
    </xdr:pic>
    <xdr:clientData/>
  </xdr:twoCellAnchor>
  <xdr:twoCellAnchor editAs="oneCell">
    <xdr:from>
      <xdr:col>2</xdr:col>
      <xdr:colOff>179294</xdr:colOff>
      <xdr:row>10</xdr:row>
      <xdr:rowOff>11206</xdr:rowOff>
    </xdr:from>
    <xdr:to>
      <xdr:col>2</xdr:col>
      <xdr:colOff>683559</xdr:colOff>
      <xdr:row>12</xdr:row>
      <xdr:rowOff>67235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B858E2FA-D6AD-439E-B9A0-4099F05885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0382" y="2252382"/>
          <a:ext cx="504265" cy="504265"/>
        </a:xfrm>
        <a:prstGeom prst="rect">
          <a:avLst/>
        </a:prstGeom>
      </xdr:spPr>
    </xdr:pic>
    <xdr:clientData/>
  </xdr:twoCellAnchor>
  <xdr:twoCellAnchor editAs="oneCell">
    <xdr:from>
      <xdr:col>12</xdr:col>
      <xdr:colOff>123264</xdr:colOff>
      <xdr:row>10</xdr:row>
      <xdr:rowOff>42088</xdr:rowOff>
    </xdr:from>
    <xdr:to>
      <xdr:col>12</xdr:col>
      <xdr:colOff>639350</xdr:colOff>
      <xdr:row>12</xdr:row>
      <xdr:rowOff>78440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FA65721-8A09-45E5-B444-488D4F703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02588" y="2283264"/>
          <a:ext cx="516086" cy="484588"/>
        </a:xfrm>
        <a:prstGeom prst="rect">
          <a:avLst/>
        </a:prstGeom>
      </xdr:spPr>
    </xdr:pic>
    <xdr:clientData/>
  </xdr:twoCellAnchor>
  <xdr:twoCellAnchor editAs="oneCell">
    <xdr:from>
      <xdr:col>1</xdr:col>
      <xdr:colOff>96372</xdr:colOff>
      <xdr:row>9</xdr:row>
      <xdr:rowOff>174812</xdr:rowOff>
    </xdr:from>
    <xdr:to>
      <xdr:col>1</xdr:col>
      <xdr:colOff>705076</xdr:colOff>
      <xdr:row>12</xdr:row>
      <xdr:rowOff>118783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24DC295B-003C-4734-BAD1-4C63676AD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637" y="2191871"/>
          <a:ext cx="608704" cy="616324"/>
        </a:xfrm>
        <a:prstGeom prst="rect">
          <a:avLst/>
        </a:prstGeom>
      </xdr:spPr>
    </xdr:pic>
    <xdr:clientData/>
  </xdr:twoCellAnchor>
  <xdr:twoCellAnchor editAs="oneCell">
    <xdr:from>
      <xdr:col>3</xdr:col>
      <xdr:colOff>123264</xdr:colOff>
      <xdr:row>2</xdr:row>
      <xdr:rowOff>11205</xdr:rowOff>
    </xdr:from>
    <xdr:to>
      <xdr:col>3</xdr:col>
      <xdr:colOff>739590</xdr:colOff>
      <xdr:row>4</xdr:row>
      <xdr:rowOff>179295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EEC755AB-DB17-428B-9D98-E26DF574C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176" y="459440"/>
          <a:ext cx="616326" cy="616326"/>
        </a:xfrm>
        <a:prstGeom prst="rect">
          <a:avLst/>
        </a:prstGeom>
      </xdr:spPr>
    </xdr:pic>
    <xdr:clientData/>
  </xdr:twoCellAnchor>
  <xdr:twoCellAnchor editAs="oneCell">
    <xdr:from>
      <xdr:col>10</xdr:col>
      <xdr:colOff>145677</xdr:colOff>
      <xdr:row>10</xdr:row>
      <xdr:rowOff>56030</xdr:rowOff>
    </xdr:from>
    <xdr:to>
      <xdr:col>10</xdr:col>
      <xdr:colOff>649941</xdr:colOff>
      <xdr:row>12</xdr:row>
      <xdr:rowOff>112058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2E7A7A63-ED94-4BEA-837A-E23ABA4A5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1353" y="2297206"/>
          <a:ext cx="504264" cy="504264"/>
        </a:xfrm>
        <a:prstGeom prst="rect">
          <a:avLst/>
        </a:prstGeom>
      </xdr:spPr>
    </xdr:pic>
    <xdr:clientData/>
  </xdr:twoCellAnchor>
  <xdr:twoCellAnchor editAs="oneCell">
    <xdr:from>
      <xdr:col>11</xdr:col>
      <xdr:colOff>33617</xdr:colOff>
      <xdr:row>1</xdr:row>
      <xdr:rowOff>224115</xdr:rowOff>
    </xdr:from>
    <xdr:to>
      <xdr:col>11</xdr:col>
      <xdr:colOff>694764</xdr:colOff>
      <xdr:row>4</xdr:row>
      <xdr:rowOff>212909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F5A008B4-5434-4642-B2EA-2AAD65DE7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117" y="448233"/>
          <a:ext cx="661147" cy="661147"/>
        </a:xfrm>
        <a:prstGeom prst="rect">
          <a:avLst/>
        </a:prstGeom>
      </xdr:spPr>
    </xdr:pic>
    <xdr:clientData/>
  </xdr:twoCellAnchor>
  <xdr:twoCellAnchor editAs="oneCell">
    <xdr:from>
      <xdr:col>8</xdr:col>
      <xdr:colOff>112059</xdr:colOff>
      <xdr:row>2</xdr:row>
      <xdr:rowOff>44823</xdr:rowOff>
    </xdr:from>
    <xdr:to>
      <xdr:col>8</xdr:col>
      <xdr:colOff>683559</xdr:colOff>
      <xdr:row>4</xdr:row>
      <xdr:rowOff>168087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6B4EB03C-A365-4190-89EF-85BCB54EE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4088" y="493058"/>
          <a:ext cx="571500" cy="571500"/>
        </a:xfrm>
        <a:prstGeom prst="rect">
          <a:avLst/>
        </a:prstGeom>
      </xdr:spPr>
    </xdr:pic>
    <xdr:clientData/>
  </xdr:twoCellAnchor>
  <xdr:twoCellAnchor>
    <xdr:from>
      <xdr:col>12</xdr:col>
      <xdr:colOff>78441</xdr:colOff>
      <xdr:row>1</xdr:row>
      <xdr:rowOff>201916</xdr:rowOff>
    </xdr:from>
    <xdr:to>
      <xdr:col>12</xdr:col>
      <xdr:colOff>727361</xdr:colOff>
      <xdr:row>4</xdr:row>
      <xdr:rowOff>190501</xdr:rowOff>
    </xdr:to>
    <xdr:grpSp>
      <xdr:nvGrpSpPr>
        <xdr:cNvPr id="23" name="组合 22">
          <a:extLst>
            <a:ext uri="{FF2B5EF4-FFF2-40B4-BE49-F238E27FC236}">
              <a16:creationId xmlns:a16="http://schemas.microsoft.com/office/drawing/2014/main" id="{F6903CC3-6711-4748-B209-C0353550B2A6}"/>
            </a:ext>
          </a:extLst>
        </xdr:cNvPr>
        <xdr:cNvGrpSpPr/>
      </xdr:nvGrpSpPr>
      <xdr:grpSpPr>
        <a:xfrm>
          <a:off x="8658561" y="430516"/>
          <a:ext cx="648920" cy="674385"/>
          <a:chOff x="10930058" y="418941"/>
          <a:chExt cx="2404941" cy="2404941"/>
        </a:xfrm>
      </xdr:grpSpPr>
      <xdr:pic>
        <xdr:nvPicPr>
          <xdr:cNvPr id="19" name="图片 18">
            <a:extLst>
              <a:ext uri="{FF2B5EF4-FFF2-40B4-BE49-F238E27FC236}">
                <a16:creationId xmlns:a16="http://schemas.microsoft.com/office/drawing/2014/main" id="{FE103B3A-D7C8-49ED-AC26-B68AAFFADD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10930058" y="418941"/>
            <a:ext cx="2404941" cy="2404941"/>
          </a:xfrm>
          <a:prstGeom prst="rect">
            <a:avLst/>
          </a:prstGeom>
        </xdr:spPr>
      </xdr:pic>
      <xdr:pic>
        <xdr:nvPicPr>
          <xdr:cNvPr id="21" name="图片 20">
            <a:extLst>
              <a:ext uri="{FF2B5EF4-FFF2-40B4-BE49-F238E27FC236}">
                <a16:creationId xmlns:a16="http://schemas.microsoft.com/office/drawing/2014/main" id="{8F788AF7-BB88-4811-9EFC-037E822BA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120986" y="718012"/>
            <a:ext cx="1931361" cy="1931361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85099</xdr:colOff>
      <xdr:row>10</xdr:row>
      <xdr:rowOff>22414</xdr:rowOff>
    </xdr:from>
    <xdr:to>
      <xdr:col>7</xdr:col>
      <xdr:colOff>44823</xdr:colOff>
      <xdr:row>12</xdr:row>
      <xdr:rowOff>120532</xdr:rowOff>
    </xdr:to>
    <xdr:grpSp>
      <xdr:nvGrpSpPr>
        <xdr:cNvPr id="40" name="组合 39">
          <a:extLst>
            <a:ext uri="{FF2B5EF4-FFF2-40B4-BE49-F238E27FC236}">
              <a16:creationId xmlns:a16="http://schemas.microsoft.com/office/drawing/2014/main" id="{F56EEC5B-474C-492A-912A-29F3565668AD}"/>
            </a:ext>
          </a:extLst>
        </xdr:cNvPr>
        <xdr:cNvGrpSpPr/>
      </xdr:nvGrpSpPr>
      <xdr:grpSpPr>
        <a:xfrm>
          <a:off x="4199899" y="2308414"/>
          <a:ext cx="767444" cy="555318"/>
          <a:chOff x="6337980" y="1636060"/>
          <a:chExt cx="4865465" cy="3467840"/>
        </a:xfrm>
      </xdr:grpSpPr>
      <xdr:pic>
        <xdr:nvPicPr>
          <xdr:cNvPr id="27" name="图片 26">
            <a:extLst>
              <a:ext uri="{FF2B5EF4-FFF2-40B4-BE49-F238E27FC236}">
                <a16:creationId xmlns:a16="http://schemas.microsoft.com/office/drawing/2014/main" id="{375FDE8B-AB3E-4B4A-AEA1-CFDABA4B3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37980" y="1636060"/>
            <a:ext cx="3467841" cy="3467840"/>
          </a:xfrm>
          <a:prstGeom prst="rect">
            <a:avLst/>
          </a:prstGeom>
        </xdr:spPr>
      </xdr:pic>
      <xdr:pic>
        <xdr:nvPicPr>
          <xdr:cNvPr id="38" name="图片 37">
            <a:extLst>
              <a:ext uri="{FF2B5EF4-FFF2-40B4-BE49-F238E27FC236}">
                <a16:creationId xmlns:a16="http://schemas.microsoft.com/office/drawing/2014/main" id="{383D9FA4-1A48-4C47-84E1-758B9E8182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0031441">
            <a:off x="8797851" y="2073164"/>
            <a:ext cx="2405594" cy="240559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45497</xdr:colOff>
      <xdr:row>9</xdr:row>
      <xdr:rowOff>100853</xdr:rowOff>
    </xdr:from>
    <xdr:to>
      <xdr:col>8</xdr:col>
      <xdr:colOff>68973</xdr:colOff>
      <xdr:row>13</xdr:row>
      <xdr:rowOff>22411</xdr:rowOff>
    </xdr:to>
    <xdr:grpSp>
      <xdr:nvGrpSpPr>
        <xdr:cNvPr id="59" name="组合 58">
          <a:extLst>
            <a:ext uri="{FF2B5EF4-FFF2-40B4-BE49-F238E27FC236}">
              <a16:creationId xmlns:a16="http://schemas.microsoft.com/office/drawing/2014/main" id="{3F54DB91-1B5F-4A8B-93EF-05CC928E63DF}"/>
            </a:ext>
          </a:extLst>
        </xdr:cNvPr>
        <xdr:cNvGrpSpPr/>
      </xdr:nvGrpSpPr>
      <xdr:grpSpPr>
        <a:xfrm>
          <a:off x="4968017" y="2158253"/>
          <a:ext cx="754996" cy="835958"/>
          <a:chOff x="9693089" y="2868705"/>
          <a:chExt cx="1933575" cy="1905000"/>
        </a:xfrm>
      </xdr:grpSpPr>
      <xdr:pic>
        <xdr:nvPicPr>
          <xdr:cNvPr id="54" name="图片 53">
            <a:extLst>
              <a:ext uri="{FF2B5EF4-FFF2-40B4-BE49-F238E27FC236}">
                <a16:creationId xmlns:a16="http://schemas.microsoft.com/office/drawing/2014/main" id="{56C4E5AE-9AF9-49C5-8237-44E75EA159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693089" y="2868705"/>
            <a:ext cx="1933575" cy="1905000"/>
          </a:xfrm>
          <a:prstGeom prst="rect">
            <a:avLst/>
          </a:prstGeom>
        </xdr:spPr>
      </xdr:pic>
      <xdr:pic>
        <xdr:nvPicPr>
          <xdr:cNvPr id="44" name="图片 43">
            <a:extLst>
              <a:ext uri="{FF2B5EF4-FFF2-40B4-BE49-F238E27FC236}">
                <a16:creationId xmlns:a16="http://schemas.microsoft.com/office/drawing/2014/main" id="{39A30AA1-1012-466D-8354-F3E2387EB2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4940" y="3440205"/>
            <a:ext cx="728383" cy="728383"/>
          </a:xfrm>
          <a:prstGeom prst="rect">
            <a:avLst/>
          </a:prstGeom>
        </xdr:spPr>
      </xdr:pic>
      <xdr:pic>
        <xdr:nvPicPr>
          <xdr:cNvPr id="4" name="图片 3">
            <a:extLst>
              <a:ext uri="{FF2B5EF4-FFF2-40B4-BE49-F238E27FC236}">
                <a16:creationId xmlns:a16="http://schemas.microsoft.com/office/drawing/2014/main" id="{776139EA-D8A1-4EF2-9B1F-D23390353A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89558" y="3720354"/>
            <a:ext cx="829235" cy="829235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100852</xdr:colOff>
      <xdr:row>1</xdr:row>
      <xdr:rowOff>224116</xdr:rowOff>
    </xdr:from>
    <xdr:to>
      <xdr:col>5</xdr:col>
      <xdr:colOff>739587</xdr:colOff>
      <xdr:row>4</xdr:row>
      <xdr:rowOff>190498</xdr:rowOff>
    </xdr:to>
    <xdr:pic>
      <xdr:nvPicPr>
        <xdr:cNvPr id="61" name="图片 60">
          <a:extLst>
            <a:ext uri="{FF2B5EF4-FFF2-40B4-BE49-F238E27FC236}">
              <a16:creationId xmlns:a16="http://schemas.microsoft.com/office/drawing/2014/main" id="{8695EEE3-0EFB-49E7-AC3C-2D8B743FC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2411" y="448234"/>
          <a:ext cx="638735" cy="638735"/>
        </a:xfrm>
        <a:prstGeom prst="rect">
          <a:avLst/>
        </a:prstGeom>
      </xdr:spPr>
    </xdr:pic>
    <xdr:clientData/>
  </xdr:twoCellAnchor>
  <xdr:twoCellAnchor>
    <xdr:from>
      <xdr:col>5</xdr:col>
      <xdr:colOff>122690</xdr:colOff>
      <xdr:row>10</xdr:row>
      <xdr:rowOff>11206</xdr:rowOff>
    </xdr:from>
    <xdr:to>
      <xdr:col>5</xdr:col>
      <xdr:colOff>649939</xdr:colOff>
      <xdr:row>12</xdr:row>
      <xdr:rowOff>123264</xdr:rowOff>
    </xdr:to>
    <xdr:grpSp>
      <xdr:nvGrpSpPr>
        <xdr:cNvPr id="74" name="组合 73">
          <a:extLst>
            <a:ext uri="{FF2B5EF4-FFF2-40B4-BE49-F238E27FC236}">
              <a16:creationId xmlns:a16="http://schemas.microsoft.com/office/drawing/2014/main" id="{AE66728C-1871-44AE-94D1-7F301D9AA877}"/>
            </a:ext>
          </a:extLst>
        </xdr:cNvPr>
        <xdr:cNvGrpSpPr/>
      </xdr:nvGrpSpPr>
      <xdr:grpSpPr>
        <a:xfrm>
          <a:off x="3505970" y="2297206"/>
          <a:ext cx="527249" cy="569258"/>
          <a:chOff x="10252184" y="1859967"/>
          <a:chExt cx="1951021" cy="2073297"/>
        </a:xfrm>
      </xdr:grpSpPr>
      <xdr:pic>
        <xdr:nvPicPr>
          <xdr:cNvPr id="67" name="图片 66">
            <a:extLst>
              <a:ext uri="{FF2B5EF4-FFF2-40B4-BE49-F238E27FC236}">
                <a16:creationId xmlns:a16="http://schemas.microsoft.com/office/drawing/2014/main" id="{16E7F5BE-1A81-4366-8269-B39E5FD035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2184" y="1859967"/>
            <a:ext cx="1951021" cy="1951021"/>
          </a:xfrm>
          <a:prstGeom prst="rect">
            <a:avLst/>
          </a:prstGeom>
        </xdr:spPr>
      </xdr:pic>
      <xdr:pic>
        <xdr:nvPicPr>
          <xdr:cNvPr id="72" name="图片 71">
            <a:extLst>
              <a:ext uri="{FF2B5EF4-FFF2-40B4-BE49-F238E27FC236}">
                <a16:creationId xmlns:a16="http://schemas.microsoft.com/office/drawing/2014/main" id="{37026763-5ABC-480F-B119-26DBE72BE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73677" y="2549147"/>
            <a:ext cx="1384119" cy="1384117"/>
          </a:xfrm>
          <a:prstGeom prst="rect">
            <a:avLst/>
          </a:prstGeom>
        </xdr:spPr>
      </xdr:pic>
      <xdr:pic>
        <xdr:nvPicPr>
          <xdr:cNvPr id="70" name="图片 69">
            <a:extLst>
              <a:ext uri="{FF2B5EF4-FFF2-40B4-BE49-F238E27FC236}">
                <a16:creationId xmlns:a16="http://schemas.microsoft.com/office/drawing/2014/main" id="{49505DFD-6E09-4700-9DFC-C2EF60FF03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00082" y="2554943"/>
            <a:ext cx="988113" cy="98811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39372</xdr:colOff>
      <xdr:row>2</xdr:row>
      <xdr:rowOff>56030</xdr:rowOff>
    </xdr:from>
    <xdr:to>
      <xdr:col>7</xdr:col>
      <xdr:colOff>745175</xdr:colOff>
      <xdr:row>4</xdr:row>
      <xdr:rowOff>123264</xdr:rowOff>
    </xdr:to>
    <xdr:grpSp>
      <xdr:nvGrpSpPr>
        <xdr:cNvPr id="81" name="组合 80">
          <a:extLst>
            <a:ext uri="{FF2B5EF4-FFF2-40B4-BE49-F238E27FC236}">
              <a16:creationId xmlns:a16="http://schemas.microsoft.com/office/drawing/2014/main" id="{5199CA24-38E2-4B94-9D71-0085BD50E571}"/>
            </a:ext>
          </a:extLst>
        </xdr:cNvPr>
        <xdr:cNvGrpSpPr/>
      </xdr:nvGrpSpPr>
      <xdr:grpSpPr>
        <a:xfrm>
          <a:off x="4961892" y="513230"/>
          <a:ext cx="690563" cy="524434"/>
          <a:chOff x="10806794" y="1180941"/>
          <a:chExt cx="1786535" cy="1304762"/>
        </a:xfrm>
      </xdr:grpSpPr>
      <xdr:pic>
        <xdr:nvPicPr>
          <xdr:cNvPr id="80" name="图片 79">
            <a:extLst>
              <a:ext uri="{FF2B5EF4-FFF2-40B4-BE49-F238E27FC236}">
                <a16:creationId xmlns:a16="http://schemas.microsoft.com/office/drawing/2014/main" id="{8D8816F9-DDE6-4F8C-8BFB-699ABEFA33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06794" y="1180941"/>
            <a:ext cx="1352381" cy="1304762"/>
          </a:xfrm>
          <a:prstGeom prst="rect">
            <a:avLst/>
          </a:prstGeom>
        </xdr:spPr>
      </xdr:pic>
      <xdr:pic>
        <xdr:nvPicPr>
          <xdr:cNvPr id="78" name="图片 77">
            <a:extLst>
              <a:ext uri="{FF2B5EF4-FFF2-40B4-BE49-F238E27FC236}">
                <a16:creationId xmlns:a16="http://schemas.microsoft.com/office/drawing/2014/main" id="{B14E79A2-4366-4797-92BB-32E826B82C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 cstate="hq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44244" y="1557218"/>
            <a:ext cx="849085" cy="84908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448235</xdr:colOff>
      <xdr:row>5</xdr:row>
      <xdr:rowOff>5</xdr:rowOff>
    </xdr:from>
    <xdr:to>
      <xdr:col>16</xdr:col>
      <xdr:colOff>201706</xdr:colOff>
      <xdr:row>23</xdr:row>
      <xdr:rowOff>201705</xdr:rowOff>
    </xdr:to>
    <xdr:graphicFrame macro="">
      <xdr:nvGraphicFramePr>
        <xdr:cNvPr id="5" name="出版社饼状图">
          <a:extLst>
            <a:ext uri="{FF2B5EF4-FFF2-40B4-BE49-F238E27FC236}">
              <a16:creationId xmlns:a16="http://schemas.microsoft.com/office/drawing/2014/main" id="{3347A7BC-2E99-431D-8976-9EB5E60A1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475130</xdr:colOff>
      <xdr:row>1</xdr:row>
      <xdr:rowOff>150160</xdr:rowOff>
    </xdr:from>
    <xdr:to>
      <xdr:col>3</xdr:col>
      <xdr:colOff>145676</xdr:colOff>
      <xdr:row>3</xdr:row>
      <xdr:rowOff>206189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BF980A13-85D7-4A0A-9DD0-DC90F38CE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730" y="383242"/>
          <a:ext cx="504264" cy="5221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33618</xdr:colOff>
      <xdr:row>5</xdr:row>
      <xdr:rowOff>1119</xdr:rowOff>
    </xdr:from>
    <xdr:to>
      <xdr:col>17</xdr:col>
      <xdr:colOff>11206</xdr:colOff>
      <xdr:row>24</xdr:row>
      <xdr:rowOff>179293</xdr:rowOff>
    </xdr:to>
    <xdr:graphicFrame macro="">
      <xdr:nvGraphicFramePr>
        <xdr:cNvPr id="2" name="类别饼状图">
          <a:extLst>
            <a:ext uri="{FF2B5EF4-FFF2-40B4-BE49-F238E27FC236}">
              <a16:creationId xmlns:a16="http://schemas.microsoft.com/office/drawing/2014/main" id="{3EC203FE-56B2-4D72-9097-328A79942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661147</xdr:colOff>
      <xdr:row>1</xdr:row>
      <xdr:rowOff>123264</xdr:rowOff>
    </xdr:from>
    <xdr:to>
      <xdr:col>3</xdr:col>
      <xdr:colOff>283134</xdr:colOff>
      <xdr:row>3</xdr:row>
      <xdr:rowOff>100852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A370CA1A-8C84-46A8-9E98-C81C7B12D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706" y="347382"/>
          <a:ext cx="510988" cy="42582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352985</xdr:colOff>
      <xdr:row>6</xdr:row>
      <xdr:rowOff>56031</xdr:rowOff>
    </xdr:from>
    <xdr:to>
      <xdr:col>11</xdr:col>
      <xdr:colOff>1019735</xdr:colOff>
      <xdr:row>14</xdr:row>
      <xdr:rowOff>179295</xdr:rowOff>
    </xdr:to>
    <xdr:graphicFrame macro="">
      <xdr:nvGraphicFramePr>
        <xdr:cNvPr id="2" name="系列收藏总进度">
          <a:extLst>
            <a:ext uri="{FF2B5EF4-FFF2-40B4-BE49-F238E27FC236}">
              <a16:creationId xmlns:a16="http://schemas.microsoft.com/office/drawing/2014/main" id="{28D211FB-3658-4906-8295-88C6256C2D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419547</xdr:colOff>
      <xdr:row>1</xdr:row>
      <xdr:rowOff>112058</xdr:rowOff>
    </xdr:from>
    <xdr:to>
      <xdr:col>2</xdr:col>
      <xdr:colOff>890195</xdr:colOff>
      <xdr:row>3</xdr:row>
      <xdr:rowOff>134471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6EBAE59F-6D31-453A-B4A1-BB734425C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9147" y="345140"/>
          <a:ext cx="470648" cy="48857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644337</xdr:colOff>
      <xdr:row>4</xdr:row>
      <xdr:rowOff>219635</xdr:rowOff>
    </xdr:from>
    <xdr:to>
      <xdr:col>15</xdr:col>
      <xdr:colOff>336176</xdr:colOff>
      <xdr:row>22</xdr:row>
      <xdr:rowOff>11206</xdr:rowOff>
    </xdr:to>
    <xdr:graphicFrame macro="">
      <xdr:nvGraphicFramePr>
        <xdr:cNvPr id="2" name="图书公司饼状图">
          <a:extLst>
            <a:ext uri="{FF2B5EF4-FFF2-40B4-BE49-F238E27FC236}">
              <a16:creationId xmlns:a16="http://schemas.microsoft.com/office/drawing/2014/main" id="{5A90B860-F886-410E-8D93-8C5EB7393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101973</xdr:colOff>
      <xdr:row>1</xdr:row>
      <xdr:rowOff>123264</xdr:rowOff>
    </xdr:from>
    <xdr:to>
      <xdr:col>2</xdr:col>
      <xdr:colOff>540172</xdr:colOff>
      <xdr:row>3</xdr:row>
      <xdr:rowOff>84043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F0304037-DD57-45D6-B201-4A2E55CE2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73" y="356346"/>
          <a:ext cx="438199" cy="42694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280146</xdr:colOff>
      <xdr:row>1</xdr:row>
      <xdr:rowOff>145675</xdr:rowOff>
    </xdr:from>
    <xdr:to>
      <xdr:col>5</xdr:col>
      <xdr:colOff>100851</xdr:colOff>
      <xdr:row>3</xdr:row>
      <xdr:rowOff>100851</xdr:rowOff>
    </xdr:to>
    <xdr:pic macro="[0]!刷新作者信息">
      <xdr:nvPicPr>
        <xdr:cNvPr id="4" name="图片 3">
          <a:extLst>
            <a:ext uri="{FF2B5EF4-FFF2-40B4-BE49-F238E27FC236}">
              <a16:creationId xmlns:a16="http://schemas.microsoft.com/office/drawing/2014/main" id="{F288D7A4-FEF3-461D-B9E1-9D7B81E74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7234" y="369793"/>
          <a:ext cx="403411" cy="403411"/>
        </a:xfrm>
        <a:prstGeom prst="rect">
          <a:avLst/>
        </a:prstGeom>
      </xdr:spPr>
    </xdr:pic>
    <xdr:clientData/>
  </xdr:twoCellAnchor>
  <xdr:twoCellAnchor editAs="oneCell">
    <xdr:from>
      <xdr:col>2</xdr:col>
      <xdr:colOff>1210238</xdr:colOff>
      <xdr:row>1</xdr:row>
      <xdr:rowOff>112057</xdr:rowOff>
    </xdr:from>
    <xdr:to>
      <xdr:col>2</xdr:col>
      <xdr:colOff>1680772</xdr:colOff>
      <xdr:row>3</xdr:row>
      <xdr:rowOff>89645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46A8425C-A65D-4595-9BC8-E6A7091DA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8267" y="336175"/>
          <a:ext cx="470534" cy="4258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78441</xdr:colOff>
      <xdr:row>1</xdr:row>
      <xdr:rowOff>168088</xdr:rowOff>
    </xdr:from>
    <xdr:to>
      <xdr:col>3</xdr:col>
      <xdr:colOff>459441</xdr:colOff>
      <xdr:row>3</xdr:row>
      <xdr:rowOff>100853</xdr:rowOff>
    </xdr:to>
    <xdr:pic macro="[0]!刷新译者信息">
      <xdr:nvPicPr>
        <xdr:cNvPr id="5" name="图片 4">
          <a:extLst>
            <a:ext uri="{FF2B5EF4-FFF2-40B4-BE49-F238E27FC236}">
              <a16:creationId xmlns:a16="http://schemas.microsoft.com/office/drawing/2014/main" id="{698C335A-7148-428D-937F-7C68C641F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8029" y="392206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2</xdr:col>
      <xdr:colOff>1882587</xdr:colOff>
      <xdr:row>1</xdr:row>
      <xdr:rowOff>103681</xdr:rowOff>
    </xdr:from>
    <xdr:to>
      <xdr:col>2</xdr:col>
      <xdr:colOff>2364440</xdr:colOff>
      <xdr:row>3</xdr:row>
      <xdr:rowOff>123264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520BEE7-D4BC-4E6B-BBC9-0153139C6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5440" y="327799"/>
          <a:ext cx="481853" cy="46781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179293</xdr:colOff>
      <xdr:row>1</xdr:row>
      <xdr:rowOff>156880</xdr:rowOff>
    </xdr:from>
    <xdr:to>
      <xdr:col>4</xdr:col>
      <xdr:colOff>560294</xdr:colOff>
      <xdr:row>3</xdr:row>
      <xdr:rowOff>89646</xdr:rowOff>
    </xdr:to>
    <xdr:pic macro="[0]!刷新编者信息">
      <xdr:nvPicPr>
        <xdr:cNvPr id="3" name="图片 2">
          <a:extLst>
            <a:ext uri="{FF2B5EF4-FFF2-40B4-BE49-F238E27FC236}">
              <a16:creationId xmlns:a16="http://schemas.microsoft.com/office/drawing/2014/main" id="{07271654-B516-41B2-A029-ABCA2465D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8440" y="380998"/>
          <a:ext cx="381001" cy="381001"/>
        </a:xfrm>
        <a:prstGeom prst="rect">
          <a:avLst/>
        </a:prstGeom>
      </xdr:spPr>
    </xdr:pic>
    <xdr:clientData/>
  </xdr:twoCellAnchor>
  <xdr:twoCellAnchor editAs="oneCell">
    <xdr:from>
      <xdr:col>2</xdr:col>
      <xdr:colOff>1120589</xdr:colOff>
      <xdr:row>1</xdr:row>
      <xdr:rowOff>89646</xdr:rowOff>
    </xdr:from>
    <xdr:to>
      <xdr:col>2</xdr:col>
      <xdr:colOff>1636059</xdr:colOff>
      <xdr:row>3</xdr:row>
      <xdr:rowOff>156881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516EED9A-C0F3-45F3-A062-E8EC91EBA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4295" y="313764"/>
          <a:ext cx="515470" cy="515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201706</xdr:colOff>
      <xdr:row>1</xdr:row>
      <xdr:rowOff>44823</xdr:rowOff>
    </xdr:from>
    <xdr:to>
      <xdr:col>1</xdr:col>
      <xdr:colOff>563656</xdr:colOff>
      <xdr:row>2</xdr:row>
      <xdr:rowOff>201706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47D09D96-A825-491A-A1FD-3394E2061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41" y="274544"/>
          <a:ext cx="361950" cy="38660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11206</xdr:colOff>
      <xdr:row>10</xdr:row>
      <xdr:rowOff>67235</xdr:rowOff>
    </xdr:from>
    <xdr:to>
      <xdr:col>18</xdr:col>
      <xdr:colOff>481853</xdr:colOff>
      <xdr:row>28</xdr:row>
      <xdr:rowOff>67234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书籍页数直方图">
              <a:extLst>
                <a:ext uri="{FF2B5EF4-FFF2-40B4-BE49-F238E27FC236}">
                  <a16:creationId xmlns:a16="http://schemas.microsoft.com/office/drawing/2014/main" id="{70C05A30-FEB9-4F6B-81D6-267B602DD6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666" y="2353235"/>
              <a:ext cx="13417027" cy="41147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11206</xdr:colOff>
      <xdr:row>10</xdr:row>
      <xdr:rowOff>67235</xdr:rowOff>
    </xdr:from>
    <xdr:to>
      <xdr:col>14</xdr:col>
      <xdr:colOff>280147</xdr:colOff>
      <xdr:row>33</xdr:row>
      <xdr:rowOff>11206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书籍页数直方图">
              <a:extLst>
                <a:ext uri="{FF2B5EF4-FFF2-40B4-BE49-F238E27FC236}">
                  <a16:creationId xmlns:a16="http://schemas.microsoft.com/office/drawing/2014/main" id="{A5C3C457-8286-411A-B955-E3D0D31A68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666" y="2353235"/>
              <a:ext cx="11935161" cy="52017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1</xdr:row>
      <xdr:rowOff>21293</xdr:rowOff>
    </xdr:from>
    <xdr:to>
      <xdr:col>15</xdr:col>
      <xdr:colOff>280148</xdr:colOff>
      <xdr:row>20</xdr:row>
      <xdr:rowOff>32499</xdr:rowOff>
    </xdr:to>
    <xdr:graphicFrame macro="">
      <xdr:nvGraphicFramePr>
        <xdr:cNvPr id="4" name="装帧分布饼状图">
          <a:extLst>
            <a:ext uri="{FF2B5EF4-FFF2-40B4-BE49-F238E27FC236}">
              <a16:creationId xmlns:a16="http://schemas.microsoft.com/office/drawing/2014/main" id="{E5CDEB29-85E5-4519-AC0C-D31BC7215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140076</xdr:colOff>
      <xdr:row>1</xdr:row>
      <xdr:rowOff>78440</xdr:rowOff>
    </xdr:from>
    <xdr:to>
      <xdr:col>2</xdr:col>
      <xdr:colOff>442634</xdr:colOff>
      <xdr:row>2</xdr:row>
      <xdr:rowOff>156881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AFE46438-D00C-4AFB-B7C7-F3D1BC43D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7605" y="302558"/>
          <a:ext cx="302558" cy="30255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352987</xdr:colOff>
      <xdr:row>0</xdr:row>
      <xdr:rowOff>219635</xdr:rowOff>
    </xdr:from>
    <xdr:to>
      <xdr:col>26</xdr:col>
      <xdr:colOff>648540</xdr:colOff>
      <xdr:row>19</xdr:row>
      <xdr:rowOff>123265</xdr:rowOff>
    </xdr:to>
    <xdr:graphicFrame macro="">
      <xdr:nvGraphicFramePr>
        <xdr:cNvPr id="2" name="购入时间组合图">
          <a:extLst>
            <a:ext uri="{FF2B5EF4-FFF2-40B4-BE49-F238E27FC236}">
              <a16:creationId xmlns:a16="http://schemas.microsoft.com/office/drawing/2014/main" id="{4A7F2463-AC3B-43DC-84ED-CFD8D6128F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846045</xdr:colOff>
      <xdr:row>1</xdr:row>
      <xdr:rowOff>89646</xdr:rowOff>
    </xdr:from>
    <xdr:to>
      <xdr:col>3</xdr:col>
      <xdr:colOff>38308</xdr:colOff>
      <xdr:row>3</xdr:row>
      <xdr:rowOff>145675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147697F-81A5-49C5-8ACB-A1C29A3A2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92" y="313764"/>
          <a:ext cx="499434" cy="50426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470648</xdr:colOff>
      <xdr:row>0</xdr:row>
      <xdr:rowOff>219633</xdr:rowOff>
    </xdr:from>
    <xdr:to>
      <xdr:col>16</xdr:col>
      <xdr:colOff>470648</xdr:colOff>
      <xdr:row>18</xdr:row>
      <xdr:rowOff>100853</xdr:rowOff>
    </xdr:to>
    <xdr:graphicFrame macro="">
      <xdr:nvGraphicFramePr>
        <xdr:cNvPr id="3" name="购入方式饼状图">
          <a:extLst>
            <a:ext uri="{FF2B5EF4-FFF2-40B4-BE49-F238E27FC236}">
              <a16:creationId xmlns:a16="http://schemas.microsoft.com/office/drawing/2014/main" id="{1485F745-9A8D-4A24-AF0D-FA80581987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84046</xdr:colOff>
      <xdr:row>1</xdr:row>
      <xdr:rowOff>44823</xdr:rowOff>
    </xdr:from>
    <xdr:to>
      <xdr:col>3</xdr:col>
      <xdr:colOff>621928</xdr:colOff>
      <xdr:row>3</xdr:row>
      <xdr:rowOff>134470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23D22F32-6ED0-4479-B193-775F6582B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7281" y="274544"/>
          <a:ext cx="537882" cy="54908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3469</xdr:colOff>
      <xdr:row>19</xdr:row>
      <xdr:rowOff>216833</xdr:rowOff>
    </xdr:from>
    <xdr:to>
      <xdr:col>20</xdr:col>
      <xdr:colOff>277907</xdr:colOff>
      <xdr:row>40</xdr:row>
      <xdr:rowOff>170330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书籍购入价格直方图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481" y="4645398"/>
              <a:ext cx="19835426" cy="48482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4/&#20070;&#24211;%201202105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书库"/>
      <sheetName val="基本信息"/>
      <sheetName val="类别"/>
      <sheetName val="出版社"/>
      <sheetName val="系列"/>
      <sheetName val="图书公司"/>
      <sheetName val="作者"/>
      <sheetName val="译者"/>
      <sheetName val="编者"/>
      <sheetName val="版印"/>
      <sheetName val="页数"/>
      <sheetName val="字数"/>
      <sheetName val="装帧"/>
      <sheetName val="购入时间"/>
      <sheetName val="购入方式"/>
      <sheetName val="价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黄国龙" refreshedDate="44407.811777083334" missingItemsLimit="0" createdVersion="6" refreshedVersion="7" minRefreshableVersion="3" recordCount="25" xr:uid="{00000000-000A-0000-FFFF-FFFF4D000000}">
  <cacheSource type="worksheet">
    <worksheetSource name="书库"/>
  </cacheSource>
  <cacheFields count="45">
    <cacheField name="序号" numFmtId="0">
      <sharedItems containsString="0" containsBlank="1" containsNumber="1" containsInteger="1" minValue="1" maxValue="8"/>
    </cacheField>
    <cacheField name="书名" numFmtId="0">
      <sharedItems containsBlank="1"/>
    </cacheField>
    <cacheField name="类别" numFmtId="0">
      <sharedItems containsBlank="1" count="2">
        <s v="马列毛邓"/>
        <m/>
      </sharedItems>
    </cacheField>
    <cacheField name="出版社" numFmtId="0">
      <sharedItems containsBlank="1" count="2">
        <s v="人民出版社"/>
        <m/>
      </sharedItems>
    </cacheField>
    <cacheField name="系列" numFmtId="0">
      <sharedItems containsBlank="1"/>
    </cacheField>
    <cacheField name="图书公司" numFmtId="0">
      <sharedItems containsBlank="1" count="2">
        <s v="国家"/>
        <m/>
      </sharedItems>
    </cacheField>
    <cacheField name="作者" numFmtId="0">
      <sharedItems containsBlank="1"/>
    </cacheField>
    <cacheField name="译者" numFmtId="0">
      <sharedItems containsBlank="1"/>
    </cacheField>
    <cacheField name="版次" numFmtId="184">
      <sharedItems containsNonDate="0" containsDate="1" containsString="0" containsBlank="1" minDate="1960-04-01T00:00:00" maxDate="1972-05-02T00:00:00"/>
    </cacheField>
    <cacheField name="印次" numFmtId="192">
      <sharedItems containsNonDate="0" containsDate="1" containsString="0" containsBlank="1" minDate="1977-04-05T00:00:00" maxDate="1977-08-08T00:00:00"/>
    </cacheField>
    <cacheField name="页数" numFmtId="178">
      <sharedItems containsString="0" containsBlank="1" containsNumber="1" containsInteger="1" minValue="753" maxValue="1005"/>
    </cacheField>
    <cacheField name="字数（千字）" numFmtId="178">
      <sharedItems containsNonDate="0" containsString="0" containsBlank="1"/>
    </cacheField>
    <cacheField name="装帧" numFmtId="185">
      <sharedItems containsBlank="1"/>
    </cacheField>
    <cacheField name="文字排版" numFmtId="185">
      <sharedItems containsBlank="1"/>
    </cacheField>
    <cacheField name="ISBN" numFmtId="0">
      <sharedItems containsBlank="1" containsMixedTypes="1" containsNumber="1" containsInteger="1" minValue="1" maxValue="9787010019444"/>
    </cacheField>
    <cacheField name="购买时间" numFmtId="188">
      <sharedItems containsNonDate="0" containsDate="1" containsString="0" containsBlank="1" minDate="2019-11-03T00:00:00" maxDate="2019-12-07T00:00:00" count="6">
        <d v="2019-11-03T00:00:00"/>
        <d v="2019-12-03T00:00:00"/>
        <d v="2019-12-04T00:00:00"/>
        <d v="2019-12-05T00:00:00"/>
        <d v="2019-12-06T00:00:00"/>
        <m/>
      </sharedItems>
    </cacheField>
    <cacheField name="购入方式地点" numFmtId="0">
      <sharedItems containsBlank="1"/>
    </cacheField>
    <cacheField name="定价" numFmtId="176">
      <sharedItems containsString="0" containsBlank="1" containsNumber="1" containsInteger="1" minValue="35" maxValue="45"/>
    </cacheField>
    <cacheField name="购入价" numFmtId="176">
      <sharedItems containsString="0" containsBlank="1" containsNumber="1" containsInteger="1" minValue="5" maxValue="35"/>
    </cacheField>
    <cacheField name="折扣" numFmtId="10">
      <sharedItems containsString="0" containsBlank="1" containsNumber="1" minValue="0.43999999999999995" maxValue="1.3629629629629629"/>
    </cacheField>
    <cacheField name="存放地" numFmtId="0">
      <sharedItems containsBlank="1"/>
    </cacheField>
    <cacheField name="备注" numFmtId="0">
      <sharedItems containsBlank="1"/>
    </cacheField>
    <cacheField name="套装册数" numFmtId="178">
      <sharedItems containsString="0" containsBlank="1" containsNumber="1" containsInteger="1" minValue="1" maxValue="1"/>
    </cacheField>
    <cacheField name="系列册数" numFmtId="178">
      <sharedItems containsString="0" containsBlank="1" containsNumber="1" containsInteger="1" minValue="4" maxValue="4"/>
    </cacheField>
    <cacheField name="评分" numFmtId="0">
      <sharedItems containsNonDate="0" containsString="0" containsBlank="1"/>
    </cacheField>
    <cacheField name="册均价 For 统计" numFmtId="176">
      <sharedItems containsMixedTypes="1" containsNumber="1" containsInteger="1" minValue="5" maxValue="35"/>
    </cacheField>
    <cacheField name="系列名 For 统计" numFmtId="49">
      <sharedItems containsMixedTypes="1" containsNumber="1" containsInteger="1" minValue="0" maxValue="0" count="2">
        <s v="马恩列斯毛著作"/>
        <n v="0"/>
      </sharedItems>
    </cacheField>
    <cacheField name="作者 For 统计" numFmtId="181">
      <sharedItems/>
    </cacheField>
    <cacheField name="第一作者 For 统计" numFmtId="181">
      <sharedItems/>
    </cacheField>
    <cacheField name="第二作者 For 统计" numFmtId="181">
      <sharedItems/>
    </cacheField>
    <cacheField name="第三作者 For 统计" numFmtId="181">
      <sharedItems/>
    </cacheField>
    <cacheField name="第四作者 For 统计" numFmtId="181">
      <sharedItems/>
    </cacheField>
    <cacheField name="译者 For 统计" numFmtId="181">
      <sharedItems/>
    </cacheField>
    <cacheField name="第一译者 For 统计" numFmtId="181">
      <sharedItems/>
    </cacheField>
    <cacheField name="第二译者 For 统计" numFmtId="181">
      <sharedItems/>
    </cacheField>
    <cacheField name="第三译者 For 统计" numFmtId="181">
      <sharedItems/>
    </cacheField>
    <cacheField name="第四译者 For 统计" numFmtId="181">
      <sharedItems/>
    </cacheField>
    <cacheField name="编者 For 统计" numFmtId="181">
      <sharedItems/>
    </cacheField>
    <cacheField name="第一编者 For 统计" numFmtId="181">
      <sharedItems/>
    </cacheField>
    <cacheField name="第二编者 For 统计" numFmtId="181">
      <sharedItems/>
    </cacheField>
    <cacheField name="第三编者 For 统计" numFmtId="181">
      <sharedItems/>
    </cacheField>
    <cacheField name="收藏进度 For 统计" numFmtId="10">
      <sharedItems containsMixedTypes="1" containsNumber="1" minValue="0.25" maxValue="0.25"/>
    </cacheField>
    <cacheField name="印刷数量" numFmtId="178">
      <sharedItems containsSemiMixedTypes="0" containsString="0" containsNumber="1" containsInteger="1" minValue="0" maxValue="7"/>
    </cacheField>
    <cacheField name="册均价 For 数据透视表" numFmtId="0" formula="购入价/套装册数" databaseField="0"/>
    <cacheField name="折扣 For 数据透视表" numFmtId="0" formula="购入价/定价*10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"/>
    <s v="列宁选集1"/>
    <x v="0"/>
    <x v="0"/>
    <s v="马恩列斯毛著作"/>
    <x v="0"/>
    <s v="(汉)列宁/著  中央编译局/主编"/>
    <s v="中共中央马克思恩格斯列宁斯大林著作编译局"/>
    <d v="1960-04-01T00:00:00"/>
    <d v="1977-08-07T00:00:00"/>
    <n v="858"/>
    <m/>
    <s v="精装"/>
    <s v="横排"/>
    <s v="100188-1"/>
    <x v="0"/>
    <s v="淘宝网购"/>
    <n v="35"/>
    <n v="5"/>
    <n v="0.50083194675540765"/>
    <s v="家"/>
    <s v="已拆封"/>
    <n v="1"/>
    <n v="4"/>
    <m/>
    <n v="5"/>
    <x v="0"/>
    <s v="(汉)列宁1中央编译局"/>
    <s v="(汉)列宁"/>
    <s v=""/>
    <s v=""/>
    <s v=""/>
    <s v="中共中央马克思恩格斯列宁斯大林著作编译局"/>
    <s v="中共中央马克思恩格斯列宁斯大林著作编译局"/>
    <s v=""/>
    <s v=""/>
    <s v=""/>
    <s v="中央编译局"/>
    <s v="中央编译局"/>
    <s v=""/>
    <s v=""/>
    <n v="0.25"/>
    <n v="7"/>
  </r>
  <r>
    <n v="2"/>
    <s v="列宁选集2"/>
    <x v="0"/>
    <x v="0"/>
    <s v="马恩列斯毛著作"/>
    <x v="0"/>
    <s v="[苏俄]列宁/著  中央编译局/主编"/>
    <s v="中共中央马克思恩格斯列宁斯大林著作编译局"/>
    <d v="1960-04-01T00:00:00"/>
    <d v="1977-08-07T00:00:00"/>
    <n v="1005"/>
    <m/>
    <s v="精装"/>
    <s v="横排"/>
    <s v="100188-2"/>
    <x v="0"/>
    <s v="淘宝网购"/>
    <n v="35"/>
    <n v="5"/>
    <n v="0.44"/>
    <s v="家"/>
    <s v="已拆封"/>
    <n v="1"/>
    <n v="4"/>
    <m/>
    <n v="5"/>
    <x v="0"/>
    <s v="[苏俄]列宁1中央编译局"/>
    <s v="[苏俄]列宁"/>
    <s v=""/>
    <s v=""/>
    <s v=""/>
    <s v="中共中央马克思恩格斯列宁斯大林著作编译局"/>
    <s v="中共中央马克思恩格斯列宁斯大林著作编译局"/>
    <s v=""/>
    <s v=""/>
    <s v=""/>
    <s v="中央编译局"/>
    <s v="中央编译局"/>
    <s v=""/>
    <s v=""/>
    <n v="0.25"/>
    <n v="7"/>
  </r>
  <r>
    <n v="3"/>
    <s v="列宁选集3"/>
    <x v="0"/>
    <x v="0"/>
    <s v="马恩列斯毛著作"/>
    <x v="0"/>
    <s v="[苏俄]列宁/著  中央编译局/主编"/>
    <s v="中共中央马克思恩格斯列宁斯大林著作编译局"/>
    <d v="1960-04-01T00:00:00"/>
    <d v="1977-08-07T00:00:00"/>
    <n v="988"/>
    <m/>
    <s v="精装"/>
    <s v="横排"/>
    <s v="100188-3"/>
    <x v="0"/>
    <s v="淘宝网购"/>
    <n v="35"/>
    <n v="5"/>
    <n v="0.43999999999999995"/>
    <s v="家"/>
    <s v="已拆封"/>
    <n v="1"/>
    <n v="4"/>
    <m/>
    <n v="5"/>
    <x v="0"/>
    <s v="[苏俄]列宁1中央编译局"/>
    <s v="[苏俄]列宁"/>
    <s v=""/>
    <s v=""/>
    <s v=""/>
    <s v="中共中央马克思恩格斯列宁斯大林著作编译局"/>
    <s v="中共中央马克思恩格斯列宁斯大林著作编译局"/>
    <s v=""/>
    <s v=""/>
    <s v=""/>
    <s v="中央编译局"/>
    <s v="中央编译局"/>
    <s v=""/>
    <s v=""/>
    <n v="0.25"/>
    <n v="7"/>
  </r>
  <r>
    <n v="4"/>
    <s v="列宁选集4"/>
    <x v="0"/>
    <x v="0"/>
    <s v="马恩列斯毛著作"/>
    <x v="0"/>
    <s v="[苏俄]列宁/著  中央编译局/主编"/>
    <s v="中共中央马克思恩格斯列宁斯大林著作编译局"/>
    <d v="1960-04-01T00:00:00"/>
    <d v="1977-08-07T00:00:00"/>
    <m/>
    <m/>
    <s v="精装"/>
    <s v="横排"/>
    <s v="100188-4"/>
    <x v="0"/>
    <s v="淘宝网购"/>
    <n v="35"/>
    <n v="5"/>
    <n v="0.50083194675540765"/>
    <s v="家"/>
    <s v="已拆封"/>
    <n v="1"/>
    <n v="4"/>
    <m/>
    <n v="5"/>
    <x v="0"/>
    <s v="[苏俄]列宁1中央编译局"/>
    <s v="[苏俄]列宁"/>
    <s v=""/>
    <s v=""/>
    <s v=""/>
    <s v="中共中央马克思恩格斯列宁斯大林著作编译局"/>
    <s v="中共中央马克思恩格斯列宁斯大林著作编译局"/>
    <s v=""/>
    <s v=""/>
    <s v=""/>
    <s v="中央编译局"/>
    <s v="中央编译局"/>
    <s v=""/>
    <s v=""/>
    <n v="0.25"/>
    <n v="7"/>
  </r>
  <r>
    <n v="5"/>
    <s v="马克思恩格斯选集1"/>
    <x v="0"/>
    <x v="0"/>
    <s v="马恩列斯毛著作"/>
    <x v="0"/>
    <s v="[德国]恩格斯/著   中央编译局/主编"/>
    <s v="中共中央马克思恩格斯列宁斯大林著作编译局"/>
    <d v="1972-05-01T00:00:00"/>
    <d v="1977-04-05T00:00:00"/>
    <n v="974"/>
    <m/>
    <s v="精装"/>
    <s v="横排"/>
    <s v="978-7-5306-4114-X"/>
    <x v="1"/>
    <s v="孔夫子网购"/>
    <n v="45"/>
    <n v="35"/>
    <n v="0.50083194675540765"/>
    <s v="家"/>
    <s v="已拆封"/>
    <n v="1"/>
    <n v="4"/>
    <m/>
    <n v="35"/>
    <x v="0"/>
    <s v="[德国]恩格斯1 中央编译局"/>
    <s v="[德国]恩格斯"/>
    <s v=""/>
    <s v=""/>
    <s v=""/>
    <s v="中共中央马克思恩格斯列宁斯大林著作编译局"/>
    <s v="中共中央马克思恩格斯列宁斯大林著作编译局"/>
    <s v=""/>
    <s v=""/>
    <s v=""/>
    <s v=" 中央编译局"/>
    <s v=" 中央编译局"/>
    <s v=""/>
    <s v=""/>
    <n v="0.25"/>
    <n v="5"/>
  </r>
  <r>
    <n v="6"/>
    <s v="马克思恩格斯选集2"/>
    <x v="0"/>
    <x v="0"/>
    <s v="马恩列斯毛著作"/>
    <x v="0"/>
    <s v="[德国]恩格斯/著   中央编译局/主编"/>
    <s v="中共中央马克思恩格斯列宁斯大林著作编译局"/>
    <d v="1972-05-01T00:00:00"/>
    <d v="1977-04-05T00:00:00"/>
    <n v="753"/>
    <m/>
    <s v="精装"/>
    <s v="横排"/>
    <n v="9787010019444"/>
    <x v="2"/>
    <s v="孔夫子网购"/>
    <n v="45"/>
    <n v="35"/>
    <n v="0.50083194675540765"/>
    <s v="家"/>
    <s v="已拆封"/>
    <n v="1"/>
    <n v="4"/>
    <m/>
    <n v="35"/>
    <x v="0"/>
    <s v="[德国]恩格斯1 中央编译局"/>
    <s v="[德国]恩格斯"/>
    <s v=""/>
    <s v=""/>
    <s v=""/>
    <s v="中共中央马克思恩格斯列宁斯大林著作编译局"/>
    <s v="中共中央马克思恩格斯列宁斯大林著作编译局"/>
    <s v=""/>
    <s v=""/>
    <s v=""/>
    <s v=" 中央编译局"/>
    <s v=" 中央编译局"/>
    <s v=""/>
    <s v=""/>
    <n v="0.25"/>
    <n v="5"/>
  </r>
  <r>
    <n v="7"/>
    <s v="马克思恩格斯选集3"/>
    <x v="0"/>
    <x v="0"/>
    <s v="马恩列斯毛著作"/>
    <x v="0"/>
    <s v="[德国]恩格斯/著   中央编译局/主编"/>
    <s v="中共中央马克思恩格斯列宁斯大林著作编译局"/>
    <d v="1972-05-01T00:00:00"/>
    <d v="1977-04-05T00:00:00"/>
    <m/>
    <m/>
    <s v="精装"/>
    <s v="横排"/>
    <n v="9787010015026"/>
    <x v="3"/>
    <s v="孔夫子网购"/>
    <n v="45"/>
    <n v="35"/>
    <n v="1.3629629629629629"/>
    <s v="家"/>
    <s v="已拆封"/>
    <n v="1"/>
    <n v="4"/>
    <m/>
    <n v="35"/>
    <x v="0"/>
    <s v="[德国]恩格斯1 中央编译局"/>
    <s v="[德国]恩格斯"/>
    <s v=""/>
    <s v=""/>
    <s v=""/>
    <s v="中共中央马克思恩格斯列宁斯大林著作编译局"/>
    <s v="中共中央马克思恩格斯列宁斯大林著作编译局"/>
    <s v=""/>
    <s v=""/>
    <s v=""/>
    <s v=" 中央编译局"/>
    <s v=" 中央编译局"/>
    <s v=""/>
    <s v=""/>
    <n v="0.25"/>
    <n v="5"/>
  </r>
  <r>
    <n v="8"/>
    <s v="马克思恩格斯选集4"/>
    <x v="0"/>
    <x v="0"/>
    <s v="马恩列斯毛著作"/>
    <x v="0"/>
    <s v="[德国]恩格斯/著   中央编译局/主编"/>
    <s v="中共中央马克思恩格斯列宁斯大林著作编译局"/>
    <d v="1972-05-01T00:00:00"/>
    <d v="1977-04-05T00:00:00"/>
    <m/>
    <m/>
    <s v="精装"/>
    <s v="横排"/>
    <n v="1"/>
    <x v="4"/>
    <s v="孔夫子网购"/>
    <n v="45"/>
    <n v="35"/>
    <n v="0.50083194675540765"/>
    <m/>
    <s v="已拆封"/>
    <n v="1"/>
    <n v="4"/>
    <m/>
    <n v="35"/>
    <x v="0"/>
    <s v="[德国]恩格斯1 中央编译局"/>
    <s v="[德国]恩格斯"/>
    <s v=""/>
    <s v=""/>
    <s v=""/>
    <s v="中共中央马克思恩格斯列宁斯大林著作编译局"/>
    <s v="中共中央马克思恩格斯列宁斯大林著作编译局"/>
    <s v=""/>
    <s v=""/>
    <s v=""/>
    <s v=" 中央编译局"/>
    <s v=" 中央编译局"/>
    <s v=""/>
    <s v=""/>
    <n v="0.25"/>
    <n v="5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  <r>
    <m/>
    <m/>
    <x v="1"/>
    <x v="1"/>
    <m/>
    <x v="1"/>
    <m/>
    <m/>
    <m/>
    <m/>
    <m/>
    <m/>
    <m/>
    <m/>
    <m/>
    <x v="5"/>
    <m/>
    <m/>
    <m/>
    <m/>
    <m/>
    <m/>
    <m/>
    <m/>
    <m/>
    <s v=""/>
    <x v="1"/>
    <s v=""/>
    <s v=""/>
    <s v=""/>
    <s v=""/>
    <s v=""/>
    <s v=""/>
    <s v=""/>
    <s v=""/>
    <s v=""/>
    <s v=""/>
    <s v=""/>
    <s v=""/>
    <s v=""/>
    <s v=""/>
    <e v="#NAME?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出版社统计" cacheId="1251" applyNumberFormats="0" applyBorderFormats="0" applyFontFormats="0" applyPatternFormats="0" applyAlignmentFormats="0" applyWidthHeightFormats="1" dataCaption="值" updatedVersion="7" minRefreshableVersion="3" useAutoFormatting="1" rowGrandTotals="0" itemPrintTitles="1" createdVersion="6" indent="0" outline="1" outlineData="1" multipleFieldFilters="0" chartFormat="35" rowHeaderCaption="出版社">
  <location ref="C5:H7" firstHeaderRow="0" firstDataRow="1" firstDataCol="1"/>
  <pivotFields count="45">
    <pivotField showAll="0"/>
    <pivotField dataField="1" showAll="0"/>
    <pivotField showAll="0"/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8"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3"/>
  </rowFields>
  <rowItems count="2">
    <i>
      <x v="1"/>
    </i>
    <i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套数" fld="1" subtotal="count" baseField="0" baseItem="0" numFmtId="178"/>
    <dataField name="册数" fld="22" baseField="0" baseItem="0" numFmtId="178"/>
    <dataField name="购入总价" fld="18" baseField="2" baseItem="14" numFmtId="176"/>
    <dataField name="每册均价" fld="43" baseField="0" baseItem="0" numFmtId="176"/>
    <dataField name="平均折扣" fld="44" baseField="0" baseItem="0" numFmtId="183"/>
  </dataFields>
  <formats count="22">
    <format dxfId="31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0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0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0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2">
      <pivotArea type="all" dataOnly="0" outline="0" fieldPosition="0"/>
    </format>
    <format dxfId="301">
      <pivotArea outline="0" collapsedLevelsAreSubtotals="1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9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9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93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9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9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90">
      <pivotArea field="3" type="button" dataOnly="0" labelOnly="1" outline="0" axis="axisRow" fieldPosition="0"/>
    </format>
  </formats>
  <chartFormats count="6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4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数据透视表样式 T" showRowHeaders="1" showColHeaders="1" showRowStripes="0" showColStripes="0" showLastColumn="1"/>
  <filters count="1">
    <filter fld="3" type="captionNotEqual" evalOrder="-1" id="3" stringValue1="/">
      <autoFilter ref="A1">
        <filterColumn colId="0">
          <customFilters>
            <customFilter operator="notEqual" val="/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类别统计" cacheId="1251" applyNumberFormats="0" applyBorderFormats="0" applyFontFormats="0" applyPatternFormats="0" applyAlignmentFormats="0" applyWidthHeightFormats="1" dataCaption="值" updatedVersion="7" minRefreshableVersion="3" useAutoFormatting="1" rowGrandTotals="0" itemPrintTitles="1" createdVersion="6" indent="0" outline="1" outlineData="1" multipleFieldFilters="0" chartFormat="31" rowHeaderCaption="类别">
  <location ref="C5:H6" firstHeaderRow="0" firstDataRow="1" firstDataCol="1"/>
  <pivotFields count="45">
    <pivotField showAll="0"/>
    <pivotField dataField="1" showAll="0"/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8"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2"/>
  </rowFields>
  <rowItems count="1">
    <i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套数" fld="1" subtotal="count" baseField="0" baseItem="0" numFmtId="178"/>
    <dataField name="册数" fld="22" baseField="0" baseItem="0" numFmtId="178"/>
    <dataField name="购入总价" fld="18" baseField="2" baseItem="14" numFmtId="176"/>
    <dataField name="每册均价" fld="43" baseField="0" baseItem="0" numFmtId="176"/>
    <dataField name="平均折扣" fld="44" baseField="2" baseItem="14" numFmtId="183"/>
  </dataFields>
  <formats count="24">
    <format dxfId="33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6">
      <pivotArea type="all" dataOnly="0" outline="0" fieldPosition="0"/>
    </format>
    <format dxfId="325">
      <pivotArea outline="0" collapsedLevelsAreSubtotals="1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1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32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31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1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317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31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15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14">
      <pivotArea field="2" type="button" dataOnly="0" labelOnly="1" outline="0" axis="axisRow" fieldPosition="0"/>
    </format>
    <format dxfId="313">
      <pivotArea field="2" type="button" dataOnly="0" labelOnly="1" outline="0" axis="axisRow" fieldPosition="0"/>
    </format>
    <format dxfId="3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0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数据透视表样式 T" showRowHeaders="1" showColHeaders="1" showRowStripes="0" showColStripes="0" showLastColumn="1"/>
  <filters count="1">
    <filter fld="2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系列统计" cacheId="1251" applyNumberFormats="0" applyBorderFormats="0" applyFontFormats="0" applyPatternFormats="0" applyAlignmentFormats="0" applyWidthHeightFormats="1" dataCaption="值" showError="1" updatedVersion="7" minRefreshableVersion="3" useAutoFormatting="1" rowGrandTotals="0" itemPrintTitles="1" createdVersion="6" indent="0" outline="1" outlineData="1" multipleFieldFilters="0" chartFormat="28" rowHeaderCaption="系列">
  <location ref="C5:I6" firstHeaderRow="0" firstDataRow="1" firstDataCol="1"/>
  <pivotFields count="45"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78"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26"/>
  </rowFields>
  <rowItems count="1">
    <i>
      <x v="1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既有册数" fld="22" baseField="0" baseItem="0" numFmtId="178"/>
    <dataField name="系列总册数" fld="23" subtotal="average" baseField="30" baseItem="0" numFmtId="186"/>
    <dataField name="收藏进度" fld="41" baseField="25" baseItem="0" numFmtId="10"/>
    <dataField name="购入总价" fld="18" baseField="2" baseItem="14" numFmtId="176"/>
    <dataField name="每册均价" fld="43" baseField="0" baseItem="0" numFmtId="176"/>
    <dataField name="平均折扣" fld="44" baseField="2" baseItem="14" numFmtId="183"/>
  </dataFields>
  <formats count="33">
    <format dxfId="2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8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8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84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83">
      <pivotArea dataOnly="0" labelOnly="1" outline="0" fieldPosition="0">
        <references count="1">
          <reference field="4294967294" count="2">
            <x v="0"/>
            <x v="3"/>
          </reference>
        </references>
      </pivotArea>
    </format>
    <format dxfId="282">
      <pivotArea dataOnly="0" labelOnly="1" outline="0" fieldPosition="0">
        <references count="1">
          <reference field="4294967294" count="2">
            <x v="0"/>
            <x v="3"/>
          </reference>
        </references>
      </pivotArea>
    </format>
    <format dxfId="281">
      <pivotArea dataOnly="0" labelOnly="1" outline="0" fieldPosition="0">
        <references count="1">
          <reference field="4294967294" count="2">
            <x v="0"/>
            <x v="3"/>
          </reference>
        </references>
      </pivotArea>
    </format>
    <format dxfId="280">
      <pivotArea type="all" dataOnly="0" outline="0" fieldPosition="0"/>
    </format>
    <format dxfId="279">
      <pivotArea outline="0" collapsedLevelsAreSubtotals="1" fieldPosition="0"/>
    </format>
    <format dxfId="278">
      <pivotArea dataOnly="0" labelOnly="1" outline="0" fieldPosition="0">
        <references count="1">
          <reference field="4294967294" count="2">
            <x v="0"/>
            <x v="3"/>
          </reference>
        </references>
      </pivotArea>
    </format>
    <format dxfId="277">
      <pivotArea dataOnly="0" labelOnly="1" outline="0" fieldPosition="0">
        <references count="1">
          <reference field="4294967294" count="2">
            <x v="0"/>
            <x v="3"/>
          </reference>
        </references>
      </pivotArea>
    </format>
    <format dxfId="276">
      <pivotArea dataOnly="0" labelOnly="1" outline="0" fieldPosition="0">
        <references count="1">
          <reference field="4294967294" count="2">
            <x v="0"/>
            <x v="3"/>
          </reference>
        </references>
      </pivotArea>
    </format>
    <format dxfId="275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274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73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7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270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9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8">
      <pivotArea field="2" type="button" dataOnly="0" labelOnly="1" outline="0"/>
    </format>
    <format dxfId="267">
      <pivotArea field="2" type="button" dataOnly="0" labelOnly="1" outline="0"/>
    </format>
    <format dxfId="266">
      <pivotArea dataOnly="0" labelOnly="1" outline="0" fieldPosition="0">
        <references count="1">
          <reference field="4294967294" count="4">
            <x v="0"/>
            <x v="3"/>
            <x v="4"/>
            <x v="5"/>
          </reference>
        </references>
      </pivotArea>
    </format>
    <format dxfId="26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6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6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6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60">
      <pivotArea field="26" type="button" dataOnly="0" labelOnly="1" outline="0" axis="axisRow" fieldPosition="0"/>
    </format>
    <format dxfId="25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5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30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数据透视表样式 T" showRowHeaders="1" showColHeaders="1" showRowStripes="0" showColStripes="0" showLastColumn="1"/>
  <filters count="1">
    <filter fld="26" type="captionNotEqual" evalOrder="-1" id="3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图书公司统计" cacheId="1251" applyNumberFormats="0" applyBorderFormats="0" applyFontFormats="0" applyPatternFormats="0" applyAlignmentFormats="0" applyWidthHeightFormats="1" dataCaption="值" updatedVersion="7" minRefreshableVersion="3" useAutoFormatting="1" rowGrandTotals="0" itemPrintTitles="1" createdVersion="6" indent="0" outline="1" outlineData="1" multipleFieldFilters="0" chartFormat="30" rowHeaderCaption="类别">
  <location ref="C5:H6" firstHeaderRow="0" firstDataRow="1" firstDataCol="1"/>
  <pivotFields count="45">
    <pivotField showAll="0"/>
    <pivotField dataField="1"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8"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5"/>
  </rowFields>
  <rowItems count="1">
    <i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套数" fld="1" subtotal="count" baseField="0" baseItem="0" numFmtId="178"/>
    <dataField name="册数" fld="22" baseField="0" baseItem="0" numFmtId="178"/>
    <dataField name="购入总价" fld="18" baseField="5" baseItem="29" numFmtId="176"/>
    <dataField name="每册均价" fld="43" baseField="0" baseItem="0" numFmtId="176"/>
    <dataField name="平均折扣" fld="44" baseField="0" baseItem="0" numFmtId="183"/>
  </dataFields>
  <formats count="23">
    <format dxfId="25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24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24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3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3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23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36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235">
      <pivotArea field="5" type="button" dataOnly="0" labelOnly="1" outline="0" axis="axisRow" fieldPosition="0"/>
    </format>
    <format dxfId="95">
      <pivotArea field="5" type="button" dataOnly="0" labelOnly="1" outline="0" axis="axisRow" fieldPosition="0"/>
    </format>
  </formats>
  <chartFormats count="5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数据透视表样式 T" showRowHeaders="1" showColHeaders="1" showRowStripes="0" showColStripes="0" showLastColumn="1"/>
  <filters count="1">
    <filter fld="5" type="captionNotEqual" evalOrder="-1" id="1" stringValue1="">
      <autoFilter ref="A1">
        <filterColumn colId="0">
          <customFilters>
            <customFilter operator="notEqual" val=" 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购入时间统计" cacheId="1251" applyNumberFormats="0" applyBorderFormats="0" applyFontFormats="0" applyPatternFormats="0" applyAlignmentFormats="0" applyWidthHeightFormats="1" dataCaption="值" updatedVersion="7" minRefreshableVersion="3" useAutoFormatting="1" rowGrandTotals="0" itemPrintTitles="1" createdVersion="6" indent="0" outline="1" outlineData="1" multipleFieldFilters="0" chartFormat="40" rowHeaderCaption="购入时间">
  <location ref="B5:G10" firstHeaderRow="0" firstDataRow="1" firstDataCol="1"/>
  <pivotFields count="45">
    <pivotField showAll="0"/>
    <pivotField dataField="1"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1"/>
        <item x="5"/>
        <item x="0"/>
        <item x="2"/>
        <item x="3"/>
        <item x="4"/>
        <item t="default"/>
      </items>
    </pivotField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8"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15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套数" fld="1" subtotal="count" baseField="0" baseItem="0" numFmtId="178"/>
    <dataField name="册数" fld="22" baseField="0" baseItem="0" numFmtId="178"/>
    <dataField name="购入总价" fld="18" baseField="2" baseItem="14" numFmtId="176"/>
    <dataField name="每册均价" fld="43" baseField="0" baseItem="0" numFmtId="176"/>
    <dataField name="平均折扣" fld="44" baseField="2" baseItem="14" numFmtId="183"/>
  </dataFields>
  <formats count="26">
    <format dxfId="17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163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6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6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16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59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5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57">
      <pivotArea field="2" type="button" dataOnly="0" labelOnly="1" outline="0"/>
    </format>
    <format dxfId="156">
      <pivotArea field="2" type="button" dataOnly="0" labelOnly="1" outline="0"/>
    </format>
    <format dxfId="15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54">
      <pivotArea field="15" type="button" dataOnly="0" labelOnly="1" outline="0" axis="axisRow" fieldPosition="1"/>
    </format>
    <format dxfId="153">
      <pivotArea field="15" type="button" dataOnly="0" labelOnly="1" outline="0" axis="axisRow" fieldPosition="1"/>
    </format>
  </formats>
  <chartFormats count="7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4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7" format="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7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8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8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8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6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7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7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7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77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数据透视表样式 T" showRowHeaders="1" showColHeaders="1" showRowStripes="0" showColStripes="0" showLastColumn="1"/>
  <filters count="1">
    <filter fld="15" type="dateNewerThan" evalOrder="-1" id="3">
      <autoFilter ref="A1">
        <filterColumn colId="0">
          <customFilters>
            <customFilter operator="greaterThan" val="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书库" displayName="书库" ref="B7:AR32" headerRowDxfId="140" dataDxfId="139" headerRowBorderDxfId="137" tableBorderDxfId="138">
  <autoFilter ref="B7:AR32" xr:uid="{00000000-0009-0000-0100-000006000000}"/>
  <sortState xmlns:xlrd2="http://schemas.microsoft.com/office/spreadsheetml/2017/richdata2" ref="B8:AR32">
    <sortCondition ref="F8:F32"/>
    <sortCondition ref="G8:G32"/>
    <sortCondition ref="D8:D32"/>
    <sortCondition ref="C8:C32"/>
  </sortState>
  <tableColumns count="43">
    <tableColumn id="17" xr3:uid="{00000000-0010-0000-0000-000011000000}" name="序号" totalsRowLabel="汇总" dataDxfId="136" totalsRowDxfId="52"/>
    <tableColumn id="1" xr3:uid="{00000000-0010-0000-0000-000001000000}" name="书名" dataDxfId="135" totalsRowDxfId="53"/>
    <tableColumn id="2" xr3:uid="{00000000-0010-0000-0000-000002000000}" name="类别" dataDxfId="134" totalsRowDxfId="54"/>
    <tableColumn id="3" xr3:uid="{00000000-0010-0000-0000-000003000000}" name="出版社" dataDxfId="133" totalsRowDxfId="55"/>
    <tableColumn id="18" xr3:uid="{00000000-0010-0000-0000-000012000000}" name="系列" dataDxfId="132" totalsRowDxfId="56"/>
    <tableColumn id="4" xr3:uid="{00000000-0010-0000-0000-000004000000}" name="图书公司" dataDxfId="131" totalsRowDxfId="57"/>
    <tableColumn id="5" xr3:uid="{00000000-0010-0000-0000-000005000000}" name="作者" dataDxfId="130" totalsRowDxfId="58"/>
    <tableColumn id="6" xr3:uid="{00000000-0010-0000-0000-000006000000}" name="译者" dataDxfId="129" totalsRowDxfId="59"/>
    <tableColumn id="7" xr3:uid="{00000000-0010-0000-0000-000007000000}" name="版次" dataDxfId="128" totalsRowDxfId="60"/>
    <tableColumn id="16" xr3:uid="{00000000-0010-0000-0000-000010000000}" name="印次" dataDxfId="127" totalsRowDxfId="61"/>
    <tableColumn id="25" xr3:uid="{00000000-0010-0000-0000-000019000000}" name="页数" dataDxfId="126" totalsRowDxfId="62"/>
    <tableColumn id="43" xr3:uid="{8E3BCE05-CED1-4FF1-B0D8-51AA5D1C1B5F}" name="字数（千字）" dataDxfId="125" totalsRowDxfId="63"/>
    <tableColumn id="29" xr3:uid="{00000000-0010-0000-0000-00001D000000}" name="装帧" dataDxfId="124" totalsRowDxfId="64"/>
    <tableColumn id="30" xr3:uid="{00000000-0010-0000-0000-00001E000000}" name="文字排版" dataDxfId="123" totalsRowDxfId="65"/>
    <tableColumn id="8" xr3:uid="{00000000-0010-0000-0000-000008000000}" name="ISBN" dataDxfId="51" totalsRowDxfId="66"/>
    <tableColumn id="9" xr3:uid="{00000000-0010-0000-0000-000009000000}" name="购买时间" dataDxfId="122" totalsRowDxfId="67"/>
    <tableColumn id="10" xr3:uid="{00000000-0010-0000-0000-00000A000000}" name="购入方式地点" dataDxfId="121" totalsRowDxfId="68"/>
    <tableColumn id="11" xr3:uid="{00000000-0010-0000-0000-00000B000000}" name="定价" dataDxfId="120" totalsRowDxfId="69"/>
    <tableColumn id="12" xr3:uid="{00000000-0010-0000-0000-00000C000000}" name="购入价" dataDxfId="119" totalsRowDxfId="70"/>
    <tableColumn id="22" xr3:uid="{00000000-0010-0000-0000-000016000000}" name="折扣" dataDxfId="50" totalsRowDxfId="71">
      <calculatedColumnFormula>IFERROR([1]!书库[[#This Row],[购入价]]/[1]!书库[[#This Row],[定价]],"/")</calculatedColumnFormula>
    </tableColumn>
    <tableColumn id="13" xr3:uid="{00000000-0010-0000-0000-00000D000000}" name="存放地" dataDxfId="118" totalsRowDxfId="72"/>
    <tableColumn id="14" xr3:uid="{00000000-0010-0000-0000-00000E000000}" name="备注" dataDxfId="117" totalsRowDxfId="73"/>
    <tableColumn id="20" xr3:uid="{00000000-0010-0000-0000-000014000000}" name="套装册数" dataDxfId="116" totalsRowDxfId="74"/>
    <tableColumn id="19" xr3:uid="{00000000-0010-0000-0000-000013000000}" name="系列册数" dataDxfId="115" totalsRowDxfId="75"/>
    <tableColumn id="15" xr3:uid="{00000000-0010-0000-0000-00000F000000}" name="评分" dataDxfId="114" totalsRowDxfId="76"/>
    <tableColumn id="21" xr3:uid="{00000000-0010-0000-0000-000015000000}" name="册均价 For 统计" dataDxfId="113" totalsRowDxfId="77">
      <calculatedColumnFormula>IFERROR(书库[[#This Row],[购入价]]/书库[[#This Row],[套装册数]],"")</calculatedColumnFormula>
    </tableColumn>
    <tableColumn id="23" xr3:uid="{00000000-0010-0000-0000-000017000000}" name="系列名 For 统计" dataDxfId="112" totalsRowDxfId="78">
      <calculatedColumnFormula>IFERROR(LEFT(书库[[#This Row],[系列]],FIND(" ",书库[[#This Row],[系列]])),书库[[#This Row],[系列]])</calculatedColumnFormula>
    </tableColumn>
    <tableColumn id="31" xr3:uid="{00000000-0010-0000-0000-00001F000000}" name="作者 For 统计" dataDxfId="111" totalsRowDxfId="79">
      <calculatedColumnFormula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calculatedColumnFormula>
    </tableColumn>
    <tableColumn id="26" xr3:uid="{00000000-0010-0000-0000-00001A000000}" name="第一作者 For 统计" dataDxfId="110" totalsRowDxfId="80">
      <calculatedColumnFormula>IFERROR(LEFT(书库[[#This Row],[作者 For 统计]],FIND("1",书库[[#This Row],[作者 For 统计]])-1),书库[[#This Row],[作者 For 统计]])</calculatedColumnFormula>
    </tableColumn>
    <tableColumn id="27" xr3:uid="{00000000-0010-0000-0000-00001B000000}" name="第二作者 For 统计" dataDxfId="109" totalsRowDxfId="81">
      <calculatedColumnFormula>IFERROR(MID(书库[[#This Row],[作者 For 统计]],FIND("1",书库[[#This Row],[作者 For 统计]])+1,FIND("2",书库[[#This Row],[作者 For 统计]])-FIND("1",书库[[#This Row],[作者 For 统计]])-1),"")</calculatedColumnFormula>
    </tableColumn>
    <tableColumn id="28" xr3:uid="{00000000-0010-0000-0000-00001C000000}" name="第三作者 For 统计" dataDxfId="108" totalsRowDxfId="82">
      <calculatedColumnFormula>IFERROR(MID(书库[[#This Row],[作者 For 统计]],FIND("2",书库[[#This Row],[作者 For 统计]])+1,FIND("3",书库[[#This Row],[作者 For 统计]])-FIND("2",书库[[#This Row],[作者 For 统计]])-1),"")</calculatedColumnFormula>
    </tableColumn>
    <tableColumn id="24" xr3:uid="{00000000-0010-0000-0000-000018000000}" name="第四作者 For 统计" dataDxfId="107" totalsRowDxfId="83">
      <calculatedColumnFormula>IFERROR(MID(书库[[#This Row],[作者 For 统计]],FIND("3",书库[[#This Row],[作者 For 统计]])+1,LEN(书库[[#This Row],[第一作者 For 统计]])+1),"")</calculatedColumnFormula>
    </tableColumn>
    <tableColumn id="35" xr3:uid="{00000000-0010-0000-0000-000023000000}" name="译者 For 统计" dataDxfId="106" totalsRowDxfId="84">
      <calculatedColumnFormula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calculatedColumnFormula>
    </tableColumn>
    <tableColumn id="34" xr3:uid="{00000000-0010-0000-0000-000022000000}" name="第一译者 For 统计" dataDxfId="105" totalsRowDxfId="85">
      <calculatedColumnFormula>IFERROR(LEFT(书库[[#This Row],[译者 For 统计]],FIND("1",书库[[#This Row],[译者 For 统计]])-1),书库[[#This Row],[译者 For 统计]])</calculatedColumnFormula>
    </tableColumn>
    <tableColumn id="33" xr3:uid="{00000000-0010-0000-0000-000021000000}" name="第二译者 For 统计" dataDxfId="104" totalsRowDxfId="86">
      <calculatedColumnFormula>IFERROR(MID(书库[[#This Row],[译者 For 统计]],FIND("1",书库[[#This Row],[译者 For 统计]])+1,FIND("2",书库[[#This Row],[译者 For 统计]])-FIND("1",书库[[#This Row],[译者 For 统计]])-1),"")</calculatedColumnFormula>
    </tableColumn>
    <tableColumn id="37" xr3:uid="{00000000-0010-0000-0000-000025000000}" name="第三译者 For 统计" dataDxfId="103" totalsRowDxfId="87">
      <calculatedColumnFormula>IFERROR(MID(书库[[#This Row],[译者 For 统计]],FIND("2",书库[[#This Row],[译者 For 统计]])+1,FIND("3",书库[[#This Row],[译者 For 统计]])-FIND("2",书库[[#This Row],[译者 For 统计]])-1),"")</calculatedColumnFormula>
    </tableColumn>
    <tableColumn id="36" xr3:uid="{00000000-0010-0000-0000-000024000000}" name="第四译者 For 统计" dataDxfId="102" totalsRowDxfId="88">
      <calculatedColumnFormula>IFERROR(MID(书库[[#This Row],[译者 For 统计]],FIND("3",书库[[#This Row],[译者 For 统计]])+1,FIND("4",书库[[#This Row],[译者 For 统计]])-FIND("3",书库[[#This Row],[译者 For 统计]])-1),"")</calculatedColumnFormula>
    </tableColumn>
    <tableColumn id="42" xr3:uid="{00000000-0010-0000-0000-00002A000000}" name="编者 For 统计" dataDxfId="101" totalsRowDxfId="89">
      <calculatedColumnFormula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calculatedColumnFormula>
    </tableColumn>
    <tableColumn id="39" xr3:uid="{00000000-0010-0000-0000-000027000000}" name="第一编者 For 统计" dataDxfId="100" totalsRowDxfId="90">
      <calculatedColumnFormula>IFERROR(LEFT(书库[[#This Row],[编者 For 统计]],FIND("1",书库[[#This Row],[编者 For 统计]])-1),书库[[#This Row],[编者 For 统计]])</calculatedColumnFormula>
    </tableColumn>
    <tableColumn id="40" xr3:uid="{00000000-0010-0000-0000-000028000000}" name="第二编者 For 统计" dataDxfId="99" totalsRowDxfId="91">
      <calculatedColumnFormula>IFERROR(MID(书库[[#This Row],[编者 For 统计]],FIND("1",书库[[#This Row],[编者 For 统计]])+1,FIND("2",书库[[#This Row],[编者 For 统计]])-FIND("1",书库[[#This Row],[编者 For 统计]])-1),"")</calculatedColumnFormula>
    </tableColumn>
    <tableColumn id="38" xr3:uid="{00000000-0010-0000-0000-000026000000}" name="第三编者 For 统计" dataDxfId="98" totalsRowDxfId="92">
      <calculatedColumnFormula>IFERROR(MID(书库[[#This Row],[编者 For 统计]],FIND("2",书库[[#This Row],[编者 For 统计]])+1,FIND("3",书库[[#This Row],[编者 For 统计]])-FIND("2",书库[[#This Row],[编者 For 统计]])-1),"")</calculatedColumnFormula>
    </tableColumn>
    <tableColumn id="32" xr3:uid="{00000000-0010-0000-0000-000020000000}" name="收藏进度 For 统计" dataDxfId="97" totalsRowDxfId="93">
      <calculatedColumnFormula>IFERROR(书库[[#This Row],[套装册数]]/书库[[#This Row],[系列册数]],“”)</calculatedColumnFormula>
    </tableColumn>
    <tableColumn id="41" xr3:uid="{7A47838F-D79D-45B2-B729-B8AE6D85074A}" name="印刷数量" totalsRowFunction="sum" dataDxfId="96" totalsRowDxfId="94">
      <calculatedColumnFormula>DAY(书库[[#This Row],[印次]])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作者统计" displayName="作者统计" ref="B5:J1952" totalsRowShown="0" headerRowDxfId="234" dataDxfId="232" headerRowBorderDxfId="233" tableBorderDxfId="231" totalsRowBorderDxfId="230">
  <autoFilter ref="B5:J1952" xr:uid="{00000000-0009-0000-0100-000004000000}"/>
  <sortState xmlns:xlrd2="http://schemas.microsoft.com/office/spreadsheetml/2017/richdata2" ref="B6:J1952">
    <sortCondition descending="1" ref="E5:E1952"/>
  </sortState>
  <tableColumns count="9">
    <tableColumn id="7" xr3:uid="{00000000-0010-0000-0100-000007000000}" name="序号" dataDxfId="229"/>
    <tableColumn id="1" xr3:uid="{00000000-0010-0000-0100-000001000000}" name="作者" dataDxfId="228"/>
    <tableColumn id="2" xr3:uid="{00000000-0010-0000-0100-000002000000}" name="套数" dataDxfId="227">
      <calculatedColumnFormula>COUNTIF(书库!AD:AD,作者统计[[#This Row],[作者]])+COUNTIF(书库!AE:AE,作者统计[[#This Row],[作者]])+COUNTIF(书库!AF:AF,作者统计[[#This Row],[作者]])+COUNTIF(书库!AG:AG,作者统计[[#This Row],[作者]])</calculatedColumnFormula>
    </tableColumn>
    <tableColumn id="3" xr3:uid="{00000000-0010-0000-0100-000003000000}" name="册数" dataDxfId="226">
      <calculatedColumnFormula>SUMIF(书库!AD:AD,作者统计[[#This Row],[作者]],书库!X:X)+SUMIF(书库!AE:AE,作者统计[[#This Row],[作者]],书库!X:X)+SUMIF(书库!AF:AF,作者统计[[#This Row],[作者]],书库!X:X)+SUMIF(书库!AG:AG,作者统计[[#This Row],[作者]],书库!X:X)</calculatedColumnFormula>
    </tableColumn>
    <tableColumn id="4" xr3:uid="{00000000-0010-0000-0100-000004000000}" name="购入总价" dataDxfId="225">
      <calculatedColumnFormula>SUMIF(书库!AD:AD,作者统计[[#This Row],[作者]],书库!T:T)+SUMIF(书库!AE:AE,作者统计[[#This Row],[作者]],书库!T:T)+SUMIF(书库!AF:AF,作者统计[[#This Row],[作者]],书库!T:T)+SUMIF(书库!AG:AG,作者统计[[#This Row],[作者]],书库!T:T)</calculatedColumnFormula>
    </tableColumn>
    <tableColumn id="5" xr3:uid="{00000000-0010-0000-0100-000005000000}" name="册均价" dataDxfId="224">
      <calculatedColumnFormula>F6/E6</calculatedColumnFormula>
    </tableColumn>
    <tableColumn id="6" xr3:uid="{00000000-0010-0000-0100-000006000000}" name="平均折扣" dataDxfId="223">
      <calculatedColumnFormula>ROUND(F6/(SUMIF(书库!AD:AD,作者统计[[#This Row],[作者]],书库!S:S)+SUMIF(书库!AE:AE,作者统计[[#This Row],[作者]],书库!S:S)+SUMIF(书库!AF:AF,作者统计[[#This Row],[作者]],书库!S:S)+SUMIF(书库!AG:AG,作者统计[[#This Row],[作者]],书库!S:S))*10,2)&amp;"折"</calculatedColumnFormula>
    </tableColumn>
    <tableColumn id="8" xr3:uid="{00000000-0010-0000-0100-000008000000}" name="国别" dataDxfId="222">
      <calculatedColumnFormula>IFERROR(MID(作者统计[[#This Row],[作者]],FIND("[",作者统计[[#This Row],[作者]],1)+1,FIND("]",作者统计[[#This Row],[作者]],1)-FIND("[",作者统计[[#This Row],[作者]],1)-1),"")</calculatedColumnFormula>
    </tableColumn>
    <tableColumn id="9" xr3:uid="{00000000-0010-0000-0100-000009000000}" name="朝代" dataDxfId="221">
      <calculatedColumnFormula>IFERROR(MID(作者统计[[#This Row],[作者]],FIND("(",作者统计[[#This Row],[作者]],1)+1,FIND(")",作者统计[[#This Row],[作者]],1)-FIND("(",作者统计[[#This Row],[作者]],1)-1),"")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原著国别统计" displayName="原著国别统计" ref="L5:P55" totalsRowShown="0" headerRowDxfId="220" dataDxfId="218" headerRowBorderDxfId="219" tableBorderDxfId="217" totalsRowBorderDxfId="216">
  <autoFilter ref="L5:P55" xr:uid="{00000000-0009-0000-0100-000008000000}"/>
  <sortState xmlns:xlrd2="http://schemas.microsoft.com/office/spreadsheetml/2017/richdata2" ref="L6:P55">
    <sortCondition descending="1" ref="N5:N55"/>
  </sortState>
  <tableColumns count="5">
    <tableColumn id="1" xr3:uid="{00000000-0010-0000-0200-000001000000}" name="作者国别" dataDxfId="215"/>
    <tableColumn id="2" xr3:uid="{00000000-0010-0000-0200-000002000000}" name="套数" dataDxfId="214">
      <calculatedColumnFormula>COUNTIF(书库!H:H,"*"&amp;原著国别统计[[#This Row],[作者国别]]&amp;"*")</calculatedColumnFormula>
    </tableColumn>
    <tableColumn id="3" xr3:uid="{00000000-0010-0000-0200-000003000000}" name="册数" dataDxfId="213">
      <calculatedColumnFormula>SUMIF(书库!H:H,"*"&amp;原著国别统计[[#This Row],[作者国别]]&amp;"*",书库!AD:AD)</calculatedColumnFormula>
    </tableColumn>
    <tableColumn id="4" xr3:uid="{00000000-0010-0000-0200-000004000000}" name="总价" dataDxfId="212">
      <calculatedColumnFormula>SUMIF(书库!H:H,"*"&amp;原著国别统计[[#This Row],[作者国别]]&amp;"*",书库!T:T)</calculatedColumnFormula>
    </tableColumn>
    <tableColumn id="5" xr3:uid="{00000000-0010-0000-0200-000005000000}" name="册均价" dataDxfId="211">
      <calculatedColumnFormula>原著国别统计[[#This Row],[总价]]/原著国别统计[[#This Row],[册数]]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中国古籍朝代统计" displayName="中国古籍朝代统计" ref="R5:V32" totalsRowShown="0" headerRowDxfId="210" dataDxfId="208" headerRowBorderDxfId="209" tableBorderDxfId="207" totalsRowBorderDxfId="206">
  <autoFilter ref="R5:V32" xr:uid="{00000000-0009-0000-0100-000009000000}"/>
  <sortState xmlns:xlrd2="http://schemas.microsoft.com/office/spreadsheetml/2017/richdata2" ref="R6:V32">
    <sortCondition descending="1" ref="S5:S32"/>
  </sortState>
  <tableColumns count="5">
    <tableColumn id="1" xr3:uid="{00000000-0010-0000-0300-000001000000}" name="作者朝代" dataDxfId="205"/>
    <tableColumn id="2" xr3:uid="{00000000-0010-0000-0300-000002000000}" name="套数" dataDxfId="204">
      <calculatedColumnFormula>COUNTIF(书库!H:H,"*"&amp;中国古籍朝代统计[[#This Row],[作者朝代]]&amp;"*")</calculatedColumnFormula>
    </tableColumn>
    <tableColumn id="3" xr3:uid="{00000000-0010-0000-0300-000003000000}" name="册数" dataDxfId="203">
      <calculatedColumnFormula>SUMIF(书库!H:H,"*"&amp;中国古籍朝代统计[[#This Row],[作者朝代]]&amp;"*",书库!X:X)</calculatedColumnFormula>
    </tableColumn>
    <tableColumn id="4" xr3:uid="{00000000-0010-0000-0300-000004000000}" name="总价" dataDxfId="202">
      <calculatedColumnFormula>SUMIF(书库!H:H,"*"&amp;中国古籍朝代统计[[#This Row],[作者朝代]]&amp;"*",书库!T:T)</calculatedColumnFormula>
    </tableColumn>
    <tableColumn id="5" xr3:uid="{00000000-0010-0000-0300-000005000000}" name="册均价" dataDxfId="201">
      <calculatedColumnFormula>中国古籍朝代统计[[#This Row],[总价]]/中国古籍朝代统计[[#This Row],[册数]]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译者统计" displayName="译者统计" ref="B5:H1548" totalsRowShown="0" dataDxfId="199" headerRowBorderDxfId="200" tableBorderDxfId="198" totalsRowBorderDxfId="197">
  <autoFilter ref="B5:H1548" xr:uid="{00000000-0009-0000-0100-000002000000}"/>
  <sortState xmlns:xlrd2="http://schemas.microsoft.com/office/spreadsheetml/2017/richdata2" ref="B6:H1548">
    <sortCondition descending="1" ref="D6:D1548"/>
    <sortCondition descending="1" ref="E6:E1548"/>
  </sortState>
  <tableColumns count="7">
    <tableColumn id="1" xr3:uid="{00000000-0010-0000-0400-000001000000}" name="序号" dataDxfId="196"/>
    <tableColumn id="2" xr3:uid="{00000000-0010-0000-0400-000002000000}" name="译者" dataDxfId="195"/>
    <tableColumn id="3" xr3:uid="{00000000-0010-0000-0400-000003000000}" name="套数" dataDxfId="194">
      <calculatedColumnFormula>COUNTIF(书库!AI:AI,译者统计[[#This Row],[译者]])+COUNTIF(书库!AJ:AJ,译者统计[[#This Row],[译者]])+COUNTIF(书库!AK:AK,译者统计[[#This Row],[译者]])+COUNTIF(书库!AL:AL,译者统计[[#This Row],[译者]])</calculatedColumnFormula>
    </tableColumn>
    <tableColumn id="4" xr3:uid="{00000000-0010-0000-0400-000004000000}" name="册数" dataDxfId="193">
      <calculatedColumnFormula>SUMIF(书库!AI:AI,译者统计[[#This Row],[译者]],书库!X:X)+SUMIF(书库!AJ:AJ,译者统计[[#This Row],[译者]],书库!X:X)+SUMIF(书库!AK:AK,译者统计[[#This Row],[译者]],书库!X:X)+SUMIF(书库!AL:AL,译者统计[[#This Row],[译者]],书库!X:X)</calculatedColumnFormula>
    </tableColumn>
    <tableColumn id="5" xr3:uid="{00000000-0010-0000-0400-000005000000}" name="购入总价" dataDxfId="192">
      <calculatedColumnFormula>SUMIF(书库!AI:AI,译者统计[[#This Row],[译者]],书库!T:T)+SUMIF(书库!AJ:AJ,译者统计[[#This Row],[译者]],书库!T:T)+SUMIF(书库!AK:AK,译者统计[[#This Row],[译者]],书库!T:T)+SUMIF(书库!AL:AL,译者统计[[#This Row],[译者]],书库!T:T)</calculatedColumnFormula>
    </tableColumn>
    <tableColumn id="6" xr3:uid="{00000000-0010-0000-0400-000006000000}" name="册均价" dataDxfId="191">
      <calculatedColumnFormula>F6/E6</calculatedColumnFormula>
    </tableColumn>
    <tableColumn id="7" xr3:uid="{00000000-0010-0000-0400-000007000000}" name="平均折扣" dataDxfId="190">
      <calculatedColumnFormula>ROUND(F6/(SUMIF(书库!AI:AI,译者统计[[#This Row],[译者]],书库!S:S)+SUMIF(书库!AJ:AJ,译者统计[[#This Row],[译者]],书库!S:S)+SUMIF(书库!AK:AK,译者统计[[#This Row],[译者]],书库!S:S)+SUMIF(书库!AL:AL,译者统计[[#This Row],[译者]],书库!S:S))*10,2)&amp;"折"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编者统计" displayName="编者统计" ref="B5:H117" totalsRowShown="0" dataDxfId="188" headerRowBorderDxfId="189" tableBorderDxfId="187" totalsRowBorderDxfId="186">
  <autoFilter ref="B5:H117" xr:uid="{00000000-0009-0000-0100-000003000000}"/>
  <sortState xmlns:xlrd2="http://schemas.microsoft.com/office/spreadsheetml/2017/richdata2" ref="B6:H117">
    <sortCondition descending="1" ref="D6:D117"/>
    <sortCondition descending="1" ref="E6:E117"/>
  </sortState>
  <tableColumns count="7">
    <tableColumn id="1" xr3:uid="{00000000-0010-0000-0500-000001000000}" name="序号" dataDxfId="185"/>
    <tableColumn id="2" xr3:uid="{00000000-0010-0000-0500-000002000000}" name="编者" dataDxfId="184"/>
    <tableColumn id="3" xr3:uid="{00000000-0010-0000-0500-000003000000}" name="套数" dataDxfId="183">
      <calculatedColumnFormula>COUNTIF(书库!AN:AN,编者统计[[#This Row],[编者]])+COUNTIF(书库!AO:AO,编者统计[[#This Row],[编者]])+COUNTIF(书库!AP:AP,编者统计[[#This Row],[编者]])</calculatedColumnFormula>
    </tableColumn>
    <tableColumn id="4" xr3:uid="{00000000-0010-0000-0500-000004000000}" name="册数" dataDxfId="182">
      <calculatedColumnFormula>SUMIF(书库!AN:AN,编者统计[[#This Row],[编者]],书库!X:X)+SUMIF(书库!AO:AO,编者统计[[#This Row],[编者]],书库!X:X)+SUMIF(书库!AP:AP,编者统计[[#This Row],[编者]],书库!X:X)</calculatedColumnFormula>
    </tableColumn>
    <tableColumn id="5" xr3:uid="{00000000-0010-0000-0500-000005000000}" name="购入总价" dataDxfId="181">
      <calculatedColumnFormula>SUMIF(书库!AN:AN,编者统计[[#This Row],[编者]],书库!T:T)+SUMIF(书库!AO:AO,编者统计[[#This Row],[编者]],书库!T:T)+SUMIF(书库!AP:AP,编者统计[[#This Row],[编者]],书库!T:T)</calculatedColumnFormula>
    </tableColumn>
    <tableColumn id="6" xr3:uid="{00000000-0010-0000-0500-000006000000}" name="册均价" dataDxfId="180">
      <calculatedColumnFormula>F6/E6</calculatedColumnFormula>
    </tableColumn>
    <tableColumn id="7" xr3:uid="{00000000-0010-0000-0500-000007000000}" name="平均折扣" dataDxfId="179">
      <calculatedColumnFormula>ROUND(F6/(SUMIF(书库!AN:AN,编者统计[[#This Row],[编者]],书库!S:S)+SUMIF(书库!AO:AO,编者统计[[#This Row],[编者]],书库!S:S)+SUMIF(书库!AP:AP,编者统计[[#This Row],[编者]],书库!S:S))*10,2)&amp;"折"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购入方式统计" displayName="购入方式统计" ref="B5:H18" totalsRowShown="0" headerRowDxfId="152" dataDxfId="150" headerRowBorderDxfId="151" tableBorderDxfId="149" totalsRowBorderDxfId="148">
  <autoFilter ref="B5:H18" xr:uid="{00000000-0009-0000-0100-000001000000}"/>
  <sortState xmlns:xlrd2="http://schemas.microsoft.com/office/spreadsheetml/2017/richdata2" ref="B6:H18">
    <sortCondition descending="1" ref="E5:E18"/>
  </sortState>
  <tableColumns count="7">
    <tableColumn id="6" xr3:uid="{00000000-0010-0000-0600-000006000000}" name="序号" dataDxfId="147"/>
    <tableColumn id="1" xr3:uid="{00000000-0010-0000-0600-000001000000}" name="购入方式" dataDxfId="146"/>
    <tableColumn id="2" xr3:uid="{00000000-0010-0000-0600-000002000000}" name="套数" dataDxfId="145"/>
    <tableColumn id="7" xr3:uid="{00000000-0010-0000-0600-000007000000}" name="册数" dataDxfId="144">
      <calculatedColumnFormula>SUMIF(书库!R:R,C6,书库!X:X)</calculatedColumnFormula>
    </tableColumn>
    <tableColumn id="3" xr3:uid="{00000000-0010-0000-0600-000003000000}" name="购入总价" dataDxfId="143">
      <calculatedColumnFormula>SUMIF(书库!R:R,C6,书库!T:T)</calculatedColumnFormula>
    </tableColumn>
    <tableColumn id="4" xr3:uid="{00000000-0010-0000-0600-000004000000}" name="每册均价" dataDxfId="142">
      <calculatedColumnFormula>F6/SUMIF(书库!R:R,C6,书库!X:X)</calculatedColumnFormula>
    </tableColumn>
    <tableColumn id="5" xr3:uid="{00000000-0010-0000-0600-000005000000}" name="平均折扣" dataDxfId="141">
      <calculatedColumnFormula>F6/SUMIF(书库!R:R,C6,书库!S:S)*10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6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1"/>
  <dimension ref="A2:AR3703"/>
  <sheetViews>
    <sheetView zoomScale="80" zoomScaleNormal="80" workbookViewId="0">
      <pane xSplit="3" ySplit="7" topLeftCell="M8" activePane="bottomRight" state="frozen"/>
      <selection pane="topRight" activeCell="C1" sqref="C1"/>
      <selection pane="bottomLeft" activeCell="A7" sqref="A7"/>
      <selection pane="bottomRight" activeCell="U14" sqref="U14"/>
    </sheetView>
  </sheetViews>
  <sheetFormatPr defaultColWidth="9" defaultRowHeight="18" customHeight="1" x14ac:dyDescent="0.25"/>
  <cols>
    <col min="1" max="1" width="3.6640625" style="139" customWidth="1"/>
    <col min="2" max="2" width="10.77734375" style="145" customWidth="1"/>
    <col min="3" max="3" width="46.33203125" style="139" customWidth="1"/>
    <col min="4" max="4" width="11.33203125" style="146" customWidth="1"/>
    <col min="5" max="5" width="30.109375" style="139" customWidth="1"/>
    <col min="6" max="6" width="45.6640625" style="139" customWidth="1"/>
    <col min="7" max="7" width="32.109375" style="139" bestFit="1" customWidth="1"/>
    <col min="8" max="8" width="27.88671875" style="139" customWidth="1"/>
    <col min="9" max="9" width="34.33203125" style="139" customWidth="1"/>
    <col min="10" max="10" width="17.33203125" style="139" customWidth="1"/>
    <col min="11" max="11" width="20.33203125" style="139" customWidth="1"/>
    <col min="12" max="12" width="11.5546875" style="243" customWidth="1"/>
    <col min="13" max="13" width="12.33203125" style="243" customWidth="1"/>
    <col min="14" max="14" width="13.77734375" style="139" customWidth="1"/>
    <col min="15" max="15" width="14.33203125" style="139" customWidth="1"/>
    <col min="16" max="16" width="24.109375" style="139" customWidth="1"/>
    <col min="17" max="17" width="15" style="147" customWidth="1"/>
    <col min="18" max="18" width="15.33203125" style="139" customWidth="1"/>
    <col min="19" max="19" width="10.6640625" style="139" bestFit="1" customWidth="1"/>
    <col min="20" max="20" width="10" style="139" bestFit="1" customWidth="1"/>
    <col min="21" max="21" width="11.109375" style="139" bestFit="1" customWidth="1"/>
    <col min="22" max="22" width="11" style="139" bestFit="1" customWidth="1"/>
    <col min="23" max="23" width="25.109375" style="139" customWidth="1"/>
    <col min="24" max="24" width="13.44140625" style="146" customWidth="1"/>
    <col min="25" max="25" width="13.21875" style="148" customWidth="1"/>
    <col min="26" max="26" width="7.6640625" style="145" bestFit="1" customWidth="1"/>
    <col min="27" max="27" width="15.88671875" style="139" hidden="1" customWidth="1"/>
    <col min="28" max="28" width="20.6640625" style="149" hidden="1" customWidth="1"/>
    <col min="29" max="29" width="44.21875" style="119" hidden="1" customWidth="1"/>
    <col min="30" max="42" width="20.6640625" style="139" hidden="1" customWidth="1"/>
    <col min="43" max="43" width="17.6640625" style="174" hidden="1" customWidth="1"/>
    <col min="44" max="44" width="11.109375" style="222" hidden="1" customWidth="1"/>
    <col min="45" max="16384" width="9" style="139"/>
  </cols>
  <sheetData>
    <row r="2" spans="2:44" s="22" customFormat="1" ht="18" customHeight="1" x14ac:dyDescent="0.25">
      <c r="B2" s="345" t="s">
        <v>222</v>
      </c>
      <c r="C2" s="346"/>
      <c r="D2" s="155"/>
      <c r="E2" s="155"/>
      <c r="F2" s="155"/>
      <c r="G2" s="155"/>
      <c r="H2" s="167"/>
      <c r="I2" s="167"/>
      <c r="J2" s="155"/>
      <c r="K2" s="155"/>
      <c r="L2" s="156"/>
      <c r="M2" s="156"/>
      <c r="N2" s="155"/>
      <c r="O2" s="155"/>
      <c r="P2" s="157"/>
      <c r="Q2" s="158"/>
      <c r="R2" s="155"/>
      <c r="S2" s="159"/>
      <c r="T2" s="155"/>
      <c r="U2" s="155"/>
      <c r="V2" s="155"/>
      <c r="W2" s="155"/>
      <c r="X2" s="160"/>
      <c r="Y2" s="160"/>
      <c r="Z2" s="300"/>
      <c r="AA2" s="21"/>
      <c r="AB2" s="118"/>
      <c r="AC2" s="119"/>
      <c r="AQ2" s="174"/>
      <c r="AR2" s="222"/>
    </row>
    <row r="3" spans="2:44" s="22" customFormat="1" ht="18" customHeight="1" x14ac:dyDescent="0.25">
      <c r="B3" s="347"/>
      <c r="C3" s="348"/>
      <c r="D3" s="16"/>
      <c r="E3" s="284"/>
      <c r="F3" s="16"/>
      <c r="G3" s="16"/>
      <c r="H3" s="168"/>
      <c r="I3" s="168"/>
      <c r="J3" s="16"/>
      <c r="K3" s="16"/>
      <c r="L3" s="17"/>
      <c r="M3" s="17"/>
      <c r="N3" s="16"/>
      <c r="O3" s="16"/>
      <c r="P3" s="27"/>
      <c r="Q3" s="18"/>
      <c r="R3" s="16"/>
      <c r="S3" s="19"/>
      <c r="T3" s="16"/>
      <c r="U3" s="16"/>
      <c r="V3" s="16"/>
      <c r="W3" s="16"/>
      <c r="X3" s="20"/>
      <c r="Y3" s="20"/>
      <c r="Z3" s="301"/>
      <c r="AA3" s="21"/>
      <c r="AB3" s="118"/>
      <c r="AC3" s="119"/>
      <c r="AQ3" s="174"/>
      <c r="AR3" s="222"/>
    </row>
    <row r="4" spans="2:44" s="22" customFormat="1" ht="18" customHeight="1" x14ac:dyDescent="0.25">
      <c r="B4" s="347"/>
      <c r="C4" s="348"/>
      <c r="D4" s="282"/>
      <c r="E4" s="423"/>
      <c r="F4" s="150" t="s">
        <v>135</v>
      </c>
      <c r="G4" s="151">
        <f>COUNTA(C:C)-1</f>
        <v>8</v>
      </c>
      <c r="H4" s="28"/>
      <c r="I4" s="244" t="str">
        <f>IF(INDEX(P:P,G4+8)=FALSE,"",INDEX(P:P,G4+8))</f>
        <v/>
      </c>
      <c r="J4" s="28"/>
      <c r="K4" s="28"/>
      <c r="L4" s="17"/>
      <c r="M4" s="17"/>
      <c r="N4" s="16"/>
      <c r="O4" s="16"/>
      <c r="P4" s="27"/>
      <c r="Q4" s="18"/>
      <c r="R4" s="16"/>
      <c r="S4" s="19"/>
      <c r="T4" s="16"/>
      <c r="U4" s="16"/>
      <c r="V4" s="16"/>
      <c r="W4" s="16"/>
      <c r="X4" s="20"/>
      <c r="Y4" s="20"/>
      <c r="Z4" s="301"/>
      <c r="AA4" s="21"/>
      <c r="AB4" s="118"/>
      <c r="AC4" s="119"/>
      <c r="AQ4" s="174"/>
      <c r="AR4" s="222"/>
    </row>
    <row r="5" spans="2:44" s="22" customFormat="1" ht="18" customHeight="1" x14ac:dyDescent="0.25">
      <c r="B5" s="347"/>
      <c r="C5" s="348"/>
      <c r="D5" s="16"/>
      <c r="E5" s="283"/>
      <c r="F5" s="150" t="s">
        <v>136</v>
      </c>
      <c r="G5" s="151">
        <f>SUM(X:X)</f>
        <v>8</v>
      </c>
      <c r="H5" s="169"/>
      <c r="I5" s="169"/>
      <c r="J5" s="16"/>
      <c r="K5" s="16"/>
      <c r="L5" s="17"/>
      <c r="M5" s="17"/>
      <c r="N5" s="16"/>
      <c r="O5" s="16"/>
      <c r="P5" s="27"/>
      <c r="Q5" s="18"/>
      <c r="R5" s="16"/>
      <c r="S5" s="19"/>
      <c r="T5" s="16"/>
      <c r="U5" s="16"/>
      <c r="V5" s="16"/>
      <c r="W5" s="16"/>
      <c r="X5" s="20"/>
      <c r="Y5" s="20"/>
      <c r="Z5" s="301"/>
      <c r="AA5" s="21"/>
      <c r="AB5" s="118"/>
      <c r="AC5" s="119"/>
      <c r="AQ5" s="174"/>
      <c r="AR5" s="222"/>
    </row>
    <row r="6" spans="2:44" s="22" customFormat="1" ht="18" customHeight="1" x14ac:dyDescent="0.25">
      <c r="B6" s="349"/>
      <c r="C6" s="350"/>
      <c r="D6" s="161"/>
      <c r="E6" s="161"/>
      <c r="F6" s="161"/>
      <c r="G6" s="161"/>
      <c r="H6" s="170"/>
      <c r="I6" s="170"/>
      <c r="J6" s="161"/>
      <c r="K6" s="161"/>
      <c r="L6" s="162"/>
      <c r="M6" s="162"/>
      <c r="N6" s="161"/>
      <c r="O6" s="161"/>
      <c r="P6" s="163"/>
      <c r="Q6" s="164"/>
      <c r="R6" s="161"/>
      <c r="S6" s="165"/>
      <c r="T6" s="161"/>
      <c r="U6" s="161"/>
      <c r="V6" s="161"/>
      <c r="W6" s="161"/>
      <c r="X6" s="166"/>
      <c r="Y6" s="166"/>
      <c r="Z6" s="302"/>
      <c r="AA6" s="21"/>
      <c r="AB6" s="118"/>
      <c r="AC6" s="119"/>
      <c r="AQ6" s="174"/>
      <c r="AR6" s="222"/>
    </row>
    <row r="7" spans="2:44" s="118" customFormat="1" ht="24" customHeight="1" x14ac:dyDescent="0.25">
      <c r="B7" s="204" t="s">
        <v>87</v>
      </c>
      <c r="C7" s="26" t="s">
        <v>29</v>
      </c>
      <c r="D7" s="203" t="s">
        <v>131</v>
      </c>
      <c r="E7" s="203" t="s">
        <v>0</v>
      </c>
      <c r="F7" s="203" t="s">
        <v>32</v>
      </c>
      <c r="G7" s="203" t="s">
        <v>22</v>
      </c>
      <c r="H7" s="203" t="s">
        <v>31</v>
      </c>
      <c r="I7" s="203" t="s">
        <v>172</v>
      </c>
      <c r="J7" s="205" t="s">
        <v>5</v>
      </c>
      <c r="K7" s="205" t="s">
        <v>95</v>
      </c>
      <c r="L7" s="25" t="s">
        <v>99</v>
      </c>
      <c r="M7" s="25" t="s">
        <v>197</v>
      </c>
      <c r="N7" s="205" t="s">
        <v>100</v>
      </c>
      <c r="O7" s="205" t="s">
        <v>111</v>
      </c>
      <c r="P7" s="26" t="s">
        <v>119</v>
      </c>
      <c r="Q7" s="206" t="s">
        <v>1</v>
      </c>
      <c r="R7" s="203" t="s">
        <v>3</v>
      </c>
      <c r="S7" s="23" t="s">
        <v>102</v>
      </c>
      <c r="T7" s="23" t="s">
        <v>30</v>
      </c>
      <c r="U7" s="24" t="s">
        <v>46</v>
      </c>
      <c r="V7" s="203" t="s">
        <v>194</v>
      </c>
      <c r="W7" s="203" t="s">
        <v>2</v>
      </c>
      <c r="X7" s="25" t="s">
        <v>38</v>
      </c>
      <c r="Y7" s="25" t="s">
        <v>103</v>
      </c>
      <c r="Z7" s="26" t="s">
        <v>92</v>
      </c>
      <c r="AA7" s="23" t="s">
        <v>138</v>
      </c>
      <c r="AB7" s="272" t="s">
        <v>139</v>
      </c>
      <c r="AC7" s="26" t="s">
        <v>142</v>
      </c>
      <c r="AD7" s="203" t="s">
        <v>140</v>
      </c>
      <c r="AE7" s="203" t="s">
        <v>143</v>
      </c>
      <c r="AF7" s="203" t="s">
        <v>144</v>
      </c>
      <c r="AG7" s="203" t="s">
        <v>141</v>
      </c>
      <c r="AH7" s="26" t="s">
        <v>165</v>
      </c>
      <c r="AI7" s="203" t="s">
        <v>166</v>
      </c>
      <c r="AJ7" s="203" t="s">
        <v>167</v>
      </c>
      <c r="AK7" s="203" t="s">
        <v>168</v>
      </c>
      <c r="AL7" s="203" t="s">
        <v>169</v>
      </c>
      <c r="AM7" s="203" t="s">
        <v>180</v>
      </c>
      <c r="AN7" s="203" t="s">
        <v>181</v>
      </c>
      <c r="AO7" s="203" t="s">
        <v>182</v>
      </c>
      <c r="AP7" s="203" t="s">
        <v>183</v>
      </c>
      <c r="AQ7" s="207" t="s">
        <v>154</v>
      </c>
      <c r="AR7" s="273" t="s">
        <v>190</v>
      </c>
    </row>
    <row r="8" spans="2:44" s="141" customFormat="1" ht="18" customHeight="1" x14ac:dyDescent="0.25">
      <c r="B8" s="320">
        <v>1</v>
      </c>
      <c r="C8" s="321" t="s">
        <v>228</v>
      </c>
      <c r="D8" s="321" t="s">
        <v>56</v>
      </c>
      <c r="E8" s="321" t="s">
        <v>232</v>
      </c>
      <c r="F8" s="321" t="s">
        <v>234</v>
      </c>
      <c r="G8" s="321" t="s">
        <v>245</v>
      </c>
      <c r="H8" s="321" t="s">
        <v>254</v>
      </c>
      <c r="I8" s="321" t="s">
        <v>250</v>
      </c>
      <c r="J8" s="420">
        <v>22007</v>
      </c>
      <c r="K8" s="421">
        <v>28344</v>
      </c>
      <c r="L8" s="324">
        <v>858</v>
      </c>
      <c r="M8" s="324"/>
      <c r="N8" s="325" t="s">
        <v>236</v>
      </c>
      <c r="O8" s="325" t="s">
        <v>237</v>
      </c>
      <c r="P8" s="328" t="s">
        <v>240</v>
      </c>
      <c r="Q8" s="326">
        <v>43772</v>
      </c>
      <c r="R8" s="321" t="s">
        <v>238</v>
      </c>
      <c r="S8" s="275">
        <v>35</v>
      </c>
      <c r="T8" s="275">
        <v>5</v>
      </c>
      <c r="U8" s="327">
        <f>IFERROR([1]!书库[[#This Row],[购入价]]/[1]!书库[[#This Row],[定价]],"/")</f>
        <v>0.50083194675540765</v>
      </c>
      <c r="V8" s="333" t="s">
        <v>239</v>
      </c>
      <c r="W8" s="321" t="s">
        <v>248</v>
      </c>
      <c r="X8" s="328">
        <v>1</v>
      </c>
      <c r="Y8" s="328">
        <v>4</v>
      </c>
      <c r="Z8" s="320"/>
      <c r="AA8" s="275">
        <f>IFERROR(书库[[#This Row],[购入价]]/书库[[#This Row],[套装册数]],"")</f>
        <v>5</v>
      </c>
      <c r="AB8" s="329" t="str">
        <f>IFERROR(LEFT(书库[[#This Row],[系列]],FIND(" ",书库[[#This Row],[系列]])),书库[[#This Row],[系列]])</f>
        <v>马恩列斯毛著作</v>
      </c>
      <c r="AC8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>(汉)列宁1中央编译局</v>
      </c>
      <c r="AD8" s="330" t="str">
        <f>IFERROR(LEFT(书库[[#This Row],[作者 For 统计]],FIND("1",书库[[#This Row],[作者 For 统计]])-1),书库[[#This Row],[作者 For 统计]])</f>
        <v>(汉)列宁</v>
      </c>
      <c r="AE8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8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8" s="330" t="str">
        <f>IFERROR(MID(书库[[#This Row],[作者 For 统计]],FIND("3",书库[[#This Row],[作者 For 统计]])+1,LEN(书库[[#This Row],[第一作者 For 统计]])+1),"")</f>
        <v/>
      </c>
      <c r="AH8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>中共中央马克思恩格斯列宁斯大林著作编译局</v>
      </c>
      <c r="AI8" s="330" t="str">
        <f>IFERROR(LEFT(书库[[#This Row],[译者 For 统计]],FIND("1",书库[[#This Row],[译者 For 统计]])-1),书库[[#This Row],[译者 For 统计]])</f>
        <v>中共中央马克思恩格斯列宁斯大林著作编译局</v>
      </c>
      <c r="AJ8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8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8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8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>中央编译局</v>
      </c>
      <c r="AN8" s="330" t="str">
        <f>IFERROR(LEFT(书库[[#This Row],[编者 For 统计]],FIND("1",书库[[#This Row],[编者 For 统计]])-1),书库[[#This Row],[编者 For 统计]])</f>
        <v>中央编译局</v>
      </c>
      <c r="AO8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8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8" s="327">
        <f>IFERROR(书库[[#This Row],[套装册数]]/书库[[#This Row],[系列册数]],“”)</f>
        <v>0.25</v>
      </c>
      <c r="AR8" s="328">
        <f>DAY(书库[[#This Row],[印次]])</f>
        <v>7</v>
      </c>
    </row>
    <row r="9" spans="2:44" s="22" customFormat="1" ht="18" customHeight="1" x14ac:dyDescent="0.25">
      <c r="B9" s="320">
        <v>2</v>
      </c>
      <c r="C9" s="321" t="s">
        <v>229</v>
      </c>
      <c r="D9" s="321" t="s">
        <v>56</v>
      </c>
      <c r="E9" s="321" t="s">
        <v>232</v>
      </c>
      <c r="F9" s="321" t="s">
        <v>234</v>
      </c>
      <c r="G9" s="321" t="s">
        <v>245</v>
      </c>
      <c r="H9" s="321" t="s">
        <v>253</v>
      </c>
      <c r="I9" s="321" t="s">
        <v>250</v>
      </c>
      <c r="J9" s="420">
        <v>22007</v>
      </c>
      <c r="K9" s="421">
        <v>28344</v>
      </c>
      <c r="L9" s="342">
        <v>1005</v>
      </c>
      <c r="M9" s="342"/>
      <c r="N9" s="325" t="s">
        <v>236</v>
      </c>
      <c r="O9" s="325" t="s">
        <v>237</v>
      </c>
      <c r="P9" s="328" t="s">
        <v>241</v>
      </c>
      <c r="Q9" s="326">
        <v>43772</v>
      </c>
      <c r="R9" s="321" t="s">
        <v>238</v>
      </c>
      <c r="S9" s="275">
        <v>35</v>
      </c>
      <c r="T9" s="275">
        <v>5</v>
      </c>
      <c r="U9" s="327">
        <f>IFERROR([1]!书库[[#This Row],[购入价]]/[1]!书库[[#This Row],[定价]],"/")</f>
        <v>0.44</v>
      </c>
      <c r="V9" s="333" t="s">
        <v>239</v>
      </c>
      <c r="W9" s="321" t="s">
        <v>248</v>
      </c>
      <c r="X9" s="328">
        <v>1</v>
      </c>
      <c r="Y9" s="328">
        <v>4</v>
      </c>
      <c r="Z9" s="336"/>
      <c r="AA9" s="276">
        <f>IFERROR(书库[[#This Row],[购入价]]/书库[[#This Row],[套装册数]],"")</f>
        <v>5</v>
      </c>
      <c r="AB9" s="338" t="str">
        <f>IFERROR(LEFT(书库[[#This Row],[系列]],FIND(" ",书库[[#This Row],[系列]])),书库[[#This Row],[系列]])</f>
        <v>马恩列斯毛著作</v>
      </c>
      <c r="AC9" s="339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>[苏俄]列宁1中央编译局</v>
      </c>
      <c r="AD9" s="339" t="str">
        <f>IFERROR(LEFT(书库[[#This Row],[作者 For 统计]],FIND("1",书库[[#This Row],[作者 For 统计]])-1),书库[[#This Row],[作者 For 统计]])</f>
        <v>[苏俄]列宁</v>
      </c>
      <c r="AE9" s="339" t="str">
        <f>IFERROR(MID(书库[[#This Row],[作者 For 统计]],FIND("1",书库[[#This Row],[作者 For 统计]])+1,FIND("2",书库[[#This Row],[作者 For 统计]])-FIND("1",书库[[#This Row],[作者 For 统计]])-1),"")</f>
        <v/>
      </c>
      <c r="AF9" s="339" t="str">
        <f>IFERROR(MID(书库[[#This Row],[作者 For 统计]],FIND("2",书库[[#This Row],[作者 For 统计]])+1,FIND("3",书库[[#This Row],[作者 For 统计]])-FIND("2",书库[[#This Row],[作者 For 统计]])-1),"")</f>
        <v/>
      </c>
      <c r="AG9" s="339" t="str">
        <f>IFERROR(MID(书库[[#This Row],[作者 For 统计]],FIND("3",书库[[#This Row],[作者 For 统计]])+1,LEN(书库[[#This Row],[第一作者 For 统计]])+1),"")</f>
        <v/>
      </c>
      <c r="AH9" s="339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>中共中央马克思恩格斯列宁斯大林著作编译局</v>
      </c>
      <c r="AI9" s="339" t="str">
        <f>IFERROR(LEFT(书库[[#This Row],[译者 For 统计]],FIND("1",书库[[#This Row],[译者 For 统计]])-1),书库[[#This Row],[译者 For 统计]])</f>
        <v>中共中央马克思恩格斯列宁斯大林著作编译局</v>
      </c>
      <c r="AJ9" s="339" t="str">
        <f>IFERROR(MID(书库[[#This Row],[译者 For 统计]],FIND("1",书库[[#This Row],[译者 For 统计]])+1,FIND("2",书库[[#This Row],[译者 For 统计]])-FIND("1",书库[[#This Row],[译者 For 统计]])-1),"")</f>
        <v/>
      </c>
      <c r="AK9" s="339" t="str">
        <f>IFERROR(MID(书库[[#This Row],[译者 For 统计]],FIND("2",书库[[#This Row],[译者 For 统计]])+1,FIND("3",书库[[#This Row],[译者 For 统计]])-FIND("2",书库[[#This Row],[译者 For 统计]])-1),"")</f>
        <v/>
      </c>
      <c r="AL9" s="339" t="str">
        <f>IFERROR(MID(书库[[#This Row],[译者 For 统计]],FIND("3",书库[[#This Row],[译者 For 统计]])+1,FIND("4",书库[[#This Row],[译者 For 统计]])-FIND("3",书库[[#This Row],[译者 For 统计]])-1),"")</f>
        <v/>
      </c>
      <c r="AM9" s="339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>中央编译局</v>
      </c>
      <c r="AN9" s="339" t="str">
        <f>IFERROR(LEFT(书库[[#This Row],[编者 For 统计]],FIND("1",书库[[#This Row],[编者 For 统计]])-1),书库[[#This Row],[编者 For 统计]])</f>
        <v>中央编译局</v>
      </c>
      <c r="AO9" s="339" t="str">
        <f>IFERROR(MID(书库[[#This Row],[编者 For 统计]],FIND("1",书库[[#This Row],[编者 For 统计]])+1,FIND("2",书库[[#This Row],[编者 For 统计]])-FIND("1",书库[[#This Row],[编者 For 统计]])-1),"")</f>
        <v/>
      </c>
      <c r="AP9" s="339" t="str">
        <f>IFERROR(MID(书库[[#This Row],[编者 For 统计]],FIND("2",书库[[#This Row],[编者 For 统计]])+1,FIND("3",书库[[#This Row],[编者 For 统计]])-FIND("2",书库[[#This Row],[编者 For 统计]])-1),"")</f>
        <v/>
      </c>
      <c r="AQ9" s="337">
        <f>IFERROR(书库[[#This Row],[套装册数]]/书库[[#This Row],[系列册数]],“”)</f>
        <v>0.25</v>
      </c>
      <c r="AR9" s="335">
        <f>DAY(书库[[#This Row],[印次]])</f>
        <v>7</v>
      </c>
    </row>
    <row r="10" spans="2:44" s="22" customFormat="1" ht="18" customHeight="1" x14ac:dyDescent="0.25">
      <c r="B10" s="320">
        <v>3</v>
      </c>
      <c r="C10" s="321" t="s">
        <v>230</v>
      </c>
      <c r="D10" s="321" t="s">
        <v>56</v>
      </c>
      <c r="E10" s="321" t="s">
        <v>232</v>
      </c>
      <c r="F10" s="321" t="s">
        <v>234</v>
      </c>
      <c r="G10" s="321" t="s">
        <v>245</v>
      </c>
      <c r="H10" s="321" t="s">
        <v>253</v>
      </c>
      <c r="I10" s="321" t="s">
        <v>250</v>
      </c>
      <c r="J10" s="420">
        <v>22007</v>
      </c>
      <c r="K10" s="421">
        <v>28344</v>
      </c>
      <c r="L10" s="324">
        <v>988</v>
      </c>
      <c r="M10" s="324"/>
      <c r="N10" s="325" t="s">
        <v>236</v>
      </c>
      <c r="O10" s="325" t="s">
        <v>237</v>
      </c>
      <c r="P10" s="328" t="s">
        <v>242</v>
      </c>
      <c r="Q10" s="326">
        <v>43772</v>
      </c>
      <c r="R10" s="321" t="s">
        <v>238</v>
      </c>
      <c r="S10" s="275">
        <v>35</v>
      </c>
      <c r="T10" s="275">
        <v>5</v>
      </c>
      <c r="U10" s="327">
        <f>IFERROR([1]!书库[[#This Row],[购入价]]/[1]!书库[[#This Row],[定价]],"/")</f>
        <v>0.43999999999999995</v>
      </c>
      <c r="V10" s="333" t="s">
        <v>239</v>
      </c>
      <c r="W10" s="321" t="s">
        <v>248</v>
      </c>
      <c r="X10" s="328">
        <v>1</v>
      </c>
      <c r="Y10" s="328">
        <v>4</v>
      </c>
      <c r="Z10" s="320"/>
      <c r="AA10" s="275">
        <f>IFERROR(书库[[#This Row],[购入价]]/书库[[#This Row],[套装册数]],"")</f>
        <v>5</v>
      </c>
      <c r="AB10" s="329" t="str">
        <f>IFERROR(LEFT(书库[[#This Row],[系列]],FIND(" ",书库[[#This Row],[系列]])),书库[[#This Row],[系列]])</f>
        <v>马恩列斯毛著作</v>
      </c>
      <c r="AC10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>[苏俄]列宁1中央编译局</v>
      </c>
      <c r="AD10" s="330" t="str">
        <f>IFERROR(LEFT(书库[[#This Row],[作者 For 统计]],FIND("1",书库[[#This Row],[作者 For 统计]])-1),书库[[#This Row],[作者 For 统计]])</f>
        <v>[苏俄]列宁</v>
      </c>
      <c r="AE10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10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10" s="330" t="str">
        <f>IFERROR(MID(书库[[#This Row],[作者 For 统计]],FIND("3",书库[[#This Row],[作者 For 统计]])+1,LEN(书库[[#This Row],[第一作者 For 统计]])+1),"")</f>
        <v/>
      </c>
      <c r="AH10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>中共中央马克思恩格斯列宁斯大林著作编译局</v>
      </c>
      <c r="AI10" s="330" t="str">
        <f>IFERROR(LEFT(书库[[#This Row],[译者 For 统计]],FIND("1",书库[[#This Row],[译者 For 统计]])-1),书库[[#This Row],[译者 For 统计]])</f>
        <v>中共中央马克思恩格斯列宁斯大林著作编译局</v>
      </c>
      <c r="AJ10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10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10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10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>中央编译局</v>
      </c>
      <c r="AN10" s="330" t="str">
        <f>IFERROR(LEFT(书库[[#This Row],[编者 For 统计]],FIND("1",书库[[#This Row],[编者 For 统计]])-1),书库[[#This Row],[编者 For 统计]])</f>
        <v>中央编译局</v>
      </c>
      <c r="AO10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10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10" s="327">
        <f>IFERROR(书库[[#This Row],[套装册数]]/书库[[#This Row],[系列册数]],“”)</f>
        <v>0.25</v>
      </c>
      <c r="AR10" s="328">
        <f>DAY(书库[[#This Row],[印次]])</f>
        <v>7</v>
      </c>
    </row>
    <row r="11" spans="2:44" s="22" customFormat="1" ht="18" customHeight="1" x14ac:dyDescent="0.25">
      <c r="B11" s="320">
        <v>4</v>
      </c>
      <c r="C11" s="321" t="s">
        <v>231</v>
      </c>
      <c r="D11" s="321" t="s">
        <v>56</v>
      </c>
      <c r="E11" s="321" t="s">
        <v>232</v>
      </c>
      <c r="F11" s="321" t="s">
        <v>234</v>
      </c>
      <c r="G11" s="321" t="s">
        <v>245</v>
      </c>
      <c r="H11" s="321" t="s">
        <v>253</v>
      </c>
      <c r="I11" s="321" t="s">
        <v>250</v>
      </c>
      <c r="J11" s="420">
        <v>22007</v>
      </c>
      <c r="K11" s="421">
        <v>28344</v>
      </c>
      <c r="L11" s="324"/>
      <c r="M11" s="324"/>
      <c r="N11" s="325" t="s">
        <v>236</v>
      </c>
      <c r="O11" s="325" t="s">
        <v>237</v>
      </c>
      <c r="P11" s="328" t="s">
        <v>243</v>
      </c>
      <c r="Q11" s="326">
        <v>43772</v>
      </c>
      <c r="R11" s="321" t="s">
        <v>238</v>
      </c>
      <c r="S11" s="275">
        <v>35</v>
      </c>
      <c r="T11" s="275">
        <v>5</v>
      </c>
      <c r="U11" s="327">
        <f>IFERROR([1]!书库[[#This Row],[购入价]]/[1]!书库[[#This Row],[定价]],"/")</f>
        <v>0.50083194675540765</v>
      </c>
      <c r="V11" s="333" t="s">
        <v>239</v>
      </c>
      <c r="W11" s="321" t="s">
        <v>248</v>
      </c>
      <c r="X11" s="328">
        <v>1</v>
      </c>
      <c r="Y11" s="328">
        <v>4</v>
      </c>
      <c r="Z11" s="320"/>
      <c r="AA11" s="275">
        <f>IFERROR(书库[[#This Row],[购入价]]/书库[[#This Row],[套装册数]],"")</f>
        <v>5</v>
      </c>
      <c r="AB11" s="329" t="str">
        <f>IFERROR(LEFT(书库[[#This Row],[系列]],FIND(" ",书库[[#This Row],[系列]])),书库[[#This Row],[系列]])</f>
        <v>马恩列斯毛著作</v>
      </c>
      <c r="AC11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>[苏俄]列宁1中央编译局</v>
      </c>
      <c r="AD11" s="330" t="str">
        <f>IFERROR(LEFT(书库[[#This Row],[作者 For 统计]],FIND("1",书库[[#This Row],[作者 For 统计]])-1),书库[[#This Row],[作者 For 统计]])</f>
        <v>[苏俄]列宁</v>
      </c>
      <c r="AE11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11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11" s="330" t="str">
        <f>IFERROR(MID(书库[[#This Row],[作者 For 统计]],FIND("3",书库[[#This Row],[作者 For 统计]])+1,LEN(书库[[#This Row],[第一作者 For 统计]])+1),"")</f>
        <v/>
      </c>
      <c r="AH11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>中共中央马克思恩格斯列宁斯大林著作编译局</v>
      </c>
      <c r="AI11" s="330" t="str">
        <f>IFERROR(LEFT(书库[[#This Row],[译者 For 统计]],FIND("1",书库[[#This Row],[译者 For 统计]])-1),书库[[#This Row],[译者 For 统计]])</f>
        <v>中共中央马克思恩格斯列宁斯大林著作编译局</v>
      </c>
      <c r="AJ11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11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11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11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>中央编译局</v>
      </c>
      <c r="AN11" s="330" t="str">
        <f>IFERROR(LEFT(书库[[#This Row],[编者 For 统计]],FIND("1",书库[[#This Row],[编者 For 统计]])-1),书库[[#This Row],[编者 For 统计]])</f>
        <v>中央编译局</v>
      </c>
      <c r="AO11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11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11" s="327">
        <f>IFERROR(书库[[#This Row],[套装册数]]/书库[[#This Row],[系列册数]],“”)</f>
        <v>0.25</v>
      </c>
      <c r="AR11" s="328">
        <f>DAY(书库[[#This Row],[印次]])</f>
        <v>7</v>
      </c>
    </row>
    <row r="12" spans="2:44" s="22" customFormat="1" ht="18" customHeight="1" x14ac:dyDescent="0.25">
      <c r="B12" s="320">
        <v>5</v>
      </c>
      <c r="C12" s="333" t="s">
        <v>224</v>
      </c>
      <c r="D12" s="321" t="s">
        <v>56</v>
      </c>
      <c r="E12" s="321" t="s">
        <v>232</v>
      </c>
      <c r="F12" s="321" t="s">
        <v>234</v>
      </c>
      <c r="G12" s="321" t="s">
        <v>245</v>
      </c>
      <c r="H12" s="333" t="s">
        <v>251</v>
      </c>
      <c r="I12" s="321" t="s">
        <v>250</v>
      </c>
      <c r="J12" s="322">
        <v>26420</v>
      </c>
      <c r="K12" s="323">
        <v>28220</v>
      </c>
      <c r="L12" s="342">
        <v>974</v>
      </c>
      <c r="M12" s="342"/>
      <c r="N12" s="325" t="s">
        <v>236</v>
      </c>
      <c r="O12" s="325" t="s">
        <v>237</v>
      </c>
      <c r="P12" s="335" t="s">
        <v>223</v>
      </c>
      <c r="Q12" s="334">
        <v>43802</v>
      </c>
      <c r="R12" s="333" t="s">
        <v>34</v>
      </c>
      <c r="S12" s="276">
        <v>45</v>
      </c>
      <c r="T12" s="276">
        <v>35</v>
      </c>
      <c r="U12" s="327">
        <f>IFERROR([1]!书库[[#This Row],[购入价]]/[1]!书库[[#This Row],[定价]],"/")</f>
        <v>0.50083194675540765</v>
      </c>
      <c r="V12" s="333" t="s">
        <v>239</v>
      </c>
      <c r="W12" s="321" t="s">
        <v>248</v>
      </c>
      <c r="X12" s="328">
        <v>1</v>
      </c>
      <c r="Y12" s="328">
        <v>4</v>
      </c>
      <c r="Z12" s="336"/>
      <c r="AA12" s="276">
        <f>IFERROR(书库[[#This Row],[购入价]]/书库[[#This Row],[套装册数]],"")</f>
        <v>35</v>
      </c>
      <c r="AB12" s="338" t="str">
        <f>IFERROR(LEFT(书库[[#This Row],[系列]],FIND(" ",书库[[#This Row],[系列]])),书库[[#This Row],[系列]])</f>
        <v>马恩列斯毛著作</v>
      </c>
      <c r="AC12" s="339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>[德国]恩格斯1 中央编译局</v>
      </c>
      <c r="AD12" s="339" t="str">
        <f>IFERROR(LEFT(书库[[#This Row],[作者 For 统计]],FIND("1",书库[[#This Row],[作者 For 统计]])-1),书库[[#This Row],[作者 For 统计]])</f>
        <v>[德国]恩格斯</v>
      </c>
      <c r="AE12" s="339" t="str">
        <f>IFERROR(MID(书库[[#This Row],[作者 For 统计]],FIND("1",书库[[#This Row],[作者 For 统计]])+1,FIND("2",书库[[#This Row],[作者 For 统计]])-FIND("1",书库[[#This Row],[作者 For 统计]])-1),"")</f>
        <v/>
      </c>
      <c r="AF12" s="339" t="str">
        <f>IFERROR(MID(书库[[#This Row],[作者 For 统计]],FIND("2",书库[[#This Row],[作者 For 统计]])+1,FIND("3",书库[[#This Row],[作者 For 统计]])-FIND("2",书库[[#This Row],[作者 For 统计]])-1),"")</f>
        <v/>
      </c>
      <c r="AG12" s="339" t="str">
        <f>IFERROR(MID(书库[[#This Row],[作者 For 统计]],FIND("3",书库[[#This Row],[作者 For 统计]])+1,LEN(书库[[#This Row],[第一作者 For 统计]])+1),"")</f>
        <v/>
      </c>
      <c r="AH12" s="339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>中共中央马克思恩格斯列宁斯大林著作编译局</v>
      </c>
      <c r="AI12" s="339" t="str">
        <f>IFERROR(LEFT(书库[[#This Row],[译者 For 统计]],FIND("1",书库[[#This Row],[译者 For 统计]])-1),书库[[#This Row],[译者 For 统计]])</f>
        <v>中共中央马克思恩格斯列宁斯大林著作编译局</v>
      </c>
      <c r="AJ12" s="339" t="str">
        <f>IFERROR(MID(书库[[#This Row],[译者 For 统计]],FIND("1",书库[[#This Row],[译者 For 统计]])+1,FIND("2",书库[[#This Row],[译者 For 统计]])-FIND("1",书库[[#This Row],[译者 For 统计]])-1),"")</f>
        <v/>
      </c>
      <c r="AK12" s="339" t="str">
        <f>IFERROR(MID(书库[[#This Row],[译者 For 统计]],FIND("2",书库[[#This Row],[译者 For 统计]])+1,FIND("3",书库[[#This Row],[译者 For 统计]])-FIND("2",书库[[#This Row],[译者 For 统计]])-1),"")</f>
        <v/>
      </c>
      <c r="AL12" s="339" t="str">
        <f>IFERROR(MID(书库[[#This Row],[译者 For 统计]],FIND("3",书库[[#This Row],[译者 For 统计]])+1,FIND("4",书库[[#This Row],[译者 For 统计]])-FIND("3",书库[[#This Row],[译者 For 统计]])-1),"")</f>
        <v/>
      </c>
      <c r="AM12" s="339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 xml:space="preserve"> 中央编译局</v>
      </c>
      <c r="AN12" s="339" t="str">
        <f>IFERROR(LEFT(书库[[#This Row],[编者 For 统计]],FIND("1",书库[[#This Row],[编者 For 统计]])-1),书库[[#This Row],[编者 For 统计]])</f>
        <v xml:space="preserve"> 中央编译局</v>
      </c>
      <c r="AO12" s="339" t="str">
        <f>IFERROR(MID(书库[[#This Row],[编者 For 统计]],FIND("1",书库[[#This Row],[编者 For 统计]])+1,FIND("2",书库[[#This Row],[编者 For 统计]])-FIND("1",书库[[#This Row],[编者 For 统计]])-1),"")</f>
        <v/>
      </c>
      <c r="AP12" s="339" t="str">
        <f>IFERROR(MID(书库[[#This Row],[编者 For 统计]],FIND("2",书库[[#This Row],[编者 For 统计]])+1,FIND("3",书库[[#This Row],[编者 For 统计]])-FIND("2",书库[[#This Row],[编者 For 统计]])-1),"")</f>
        <v/>
      </c>
      <c r="AQ12" s="337">
        <f>IFERROR(书库[[#This Row],[套装册数]]/书库[[#This Row],[系列册数]],“”)</f>
        <v>0.25</v>
      </c>
      <c r="AR12" s="335">
        <f>DAY(书库[[#This Row],[印次]])</f>
        <v>5</v>
      </c>
    </row>
    <row r="13" spans="2:44" s="22" customFormat="1" ht="18" customHeight="1" x14ac:dyDescent="0.25">
      <c r="B13" s="320">
        <v>6</v>
      </c>
      <c r="C13" s="333" t="s">
        <v>225</v>
      </c>
      <c r="D13" s="321" t="s">
        <v>56</v>
      </c>
      <c r="E13" s="321" t="s">
        <v>232</v>
      </c>
      <c r="F13" s="321" t="s">
        <v>234</v>
      </c>
      <c r="G13" s="321" t="s">
        <v>245</v>
      </c>
      <c r="H13" s="333" t="s">
        <v>251</v>
      </c>
      <c r="I13" s="321" t="s">
        <v>250</v>
      </c>
      <c r="J13" s="322">
        <v>26420</v>
      </c>
      <c r="K13" s="323">
        <v>28220</v>
      </c>
      <c r="L13" s="342">
        <v>753</v>
      </c>
      <c r="M13" s="324"/>
      <c r="N13" s="325" t="s">
        <v>236</v>
      </c>
      <c r="O13" s="325" t="s">
        <v>237</v>
      </c>
      <c r="P13" s="328">
        <v>9787010019444</v>
      </c>
      <c r="Q13" s="334">
        <v>43803</v>
      </c>
      <c r="R13" s="333" t="s">
        <v>34</v>
      </c>
      <c r="S13" s="276">
        <v>45</v>
      </c>
      <c r="T13" s="275">
        <v>35</v>
      </c>
      <c r="U13" s="327">
        <f>IFERROR([1]!书库[[#This Row],[购入价]]/[1]!书库[[#This Row],[定价]],"/")</f>
        <v>0.50083194675540765</v>
      </c>
      <c r="V13" s="333" t="s">
        <v>239</v>
      </c>
      <c r="W13" s="321" t="s">
        <v>248</v>
      </c>
      <c r="X13" s="328">
        <v>1</v>
      </c>
      <c r="Y13" s="328">
        <v>4</v>
      </c>
      <c r="Z13" s="320"/>
      <c r="AA13" s="275">
        <f>IFERROR(书库[[#This Row],[购入价]]/书库[[#This Row],[套装册数]],"")</f>
        <v>35</v>
      </c>
      <c r="AB13" s="329" t="str">
        <f>IFERROR(LEFT(书库[[#This Row],[系列]],FIND(" ",书库[[#This Row],[系列]])),书库[[#This Row],[系列]])</f>
        <v>马恩列斯毛著作</v>
      </c>
      <c r="AC13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>[德国]恩格斯1 中央编译局</v>
      </c>
      <c r="AD13" s="330" t="str">
        <f>IFERROR(LEFT(书库[[#This Row],[作者 For 统计]],FIND("1",书库[[#This Row],[作者 For 统计]])-1),书库[[#This Row],[作者 For 统计]])</f>
        <v>[德国]恩格斯</v>
      </c>
      <c r="AE13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13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13" s="330" t="str">
        <f>IFERROR(MID(书库[[#This Row],[作者 For 统计]],FIND("3",书库[[#This Row],[作者 For 统计]])+1,LEN(书库[[#This Row],[第一作者 For 统计]])+1),"")</f>
        <v/>
      </c>
      <c r="AH13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>中共中央马克思恩格斯列宁斯大林著作编译局</v>
      </c>
      <c r="AI13" s="330" t="str">
        <f>IFERROR(LEFT(书库[[#This Row],[译者 For 统计]],FIND("1",书库[[#This Row],[译者 For 统计]])-1),书库[[#This Row],[译者 For 统计]])</f>
        <v>中共中央马克思恩格斯列宁斯大林著作编译局</v>
      </c>
      <c r="AJ13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13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13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13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 xml:space="preserve"> 中央编译局</v>
      </c>
      <c r="AN13" s="330" t="str">
        <f>IFERROR(LEFT(书库[[#This Row],[编者 For 统计]],FIND("1",书库[[#This Row],[编者 For 统计]])-1),书库[[#This Row],[编者 For 统计]])</f>
        <v xml:space="preserve"> 中央编译局</v>
      </c>
      <c r="AO13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13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13" s="327">
        <f>IFERROR(书库[[#This Row],[套装册数]]/书库[[#This Row],[系列册数]],“”)</f>
        <v>0.25</v>
      </c>
      <c r="AR13" s="328">
        <f>DAY(书库[[#This Row],[印次]])</f>
        <v>5</v>
      </c>
    </row>
    <row r="14" spans="2:44" s="22" customFormat="1" ht="18" customHeight="1" x14ac:dyDescent="0.25">
      <c r="B14" s="320">
        <v>7</v>
      </c>
      <c r="C14" s="333" t="s">
        <v>226</v>
      </c>
      <c r="D14" s="321" t="s">
        <v>56</v>
      </c>
      <c r="E14" s="321" t="s">
        <v>232</v>
      </c>
      <c r="F14" s="321" t="s">
        <v>234</v>
      </c>
      <c r="G14" s="321" t="s">
        <v>245</v>
      </c>
      <c r="H14" s="333" t="s">
        <v>251</v>
      </c>
      <c r="I14" s="321" t="s">
        <v>250</v>
      </c>
      <c r="J14" s="322">
        <v>26420</v>
      </c>
      <c r="K14" s="323">
        <v>28220</v>
      </c>
      <c r="L14" s="342"/>
      <c r="M14" s="342"/>
      <c r="N14" s="325" t="s">
        <v>236</v>
      </c>
      <c r="O14" s="325" t="s">
        <v>237</v>
      </c>
      <c r="P14" s="335">
        <v>9787010015026</v>
      </c>
      <c r="Q14" s="334">
        <v>43804</v>
      </c>
      <c r="R14" s="333" t="s">
        <v>34</v>
      </c>
      <c r="S14" s="276">
        <v>45</v>
      </c>
      <c r="T14" s="276">
        <v>35</v>
      </c>
      <c r="U14" s="327">
        <f>IFERROR([1]!书库[[#This Row],[购入价]]/[1]!书库[[#This Row],[定价]],"/")</f>
        <v>1.3629629629629629</v>
      </c>
      <c r="V14" s="333" t="s">
        <v>239</v>
      </c>
      <c r="W14" s="321" t="s">
        <v>248</v>
      </c>
      <c r="X14" s="328">
        <v>1</v>
      </c>
      <c r="Y14" s="328">
        <v>4</v>
      </c>
      <c r="Z14" s="336"/>
      <c r="AA14" s="276">
        <f>IFERROR(书库[[#This Row],[购入价]]/书库[[#This Row],[套装册数]],"")</f>
        <v>35</v>
      </c>
      <c r="AB14" s="338" t="str">
        <f>IFERROR(LEFT(书库[[#This Row],[系列]],FIND(" ",书库[[#This Row],[系列]])),书库[[#This Row],[系列]])</f>
        <v>马恩列斯毛著作</v>
      </c>
      <c r="AC14" s="339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>[德国]恩格斯1 中央编译局</v>
      </c>
      <c r="AD14" s="339" t="str">
        <f>IFERROR(LEFT(书库[[#This Row],[作者 For 统计]],FIND("1",书库[[#This Row],[作者 For 统计]])-1),书库[[#This Row],[作者 For 统计]])</f>
        <v>[德国]恩格斯</v>
      </c>
      <c r="AE14" s="339" t="str">
        <f>IFERROR(MID(书库[[#This Row],[作者 For 统计]],FIND("1",书库[[#This Row],[作者 For 统计]])+1,FIND("2",书库[[#This Row],[作者 For 统计]])-FIND("1",书库[[#This Row],[作者 For 统计]])-1),"")</f>
        <v/>
      </c>
      <c r="AF14" s="339" t="str">
        <f>IFERROR(MID(书库[[#This Row],[作者 For 统计]],FIND("2",书库[[#This Row],[作者 For 统计]])+1,FIND("3",书库[[#This Row],[作者 For 统计]])-FIND("2",书库[[#This Row],[作者 For 统计]])-1),"")</f>
        <v/>
      </c>
      <c r="AG14" s="339" t="str">
        <f>IFERROR(MID(书库[[#This Row],[作者 For 统计]],FIND("3",书库[[#This Row],[作者 For 统计]])+1,LEN(书库[[#This Row],[第一作者 For 统计]])+1),"")</f>
        <v/>
      </c>
      <c r="AH14" s="339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>中共中央马克思恩格斯列宁斯大林著作编译局</v>
      </c>
      <c r="AI14" s="339" t="str">
        <f>IFERROR(LEFT(书库[[#This Row],[译者 For 统计]],FIND("1",书库[[#This Row],[译者 For 统计]])-1),书库[[#This Row],[译者 For 统计]])</f>
        <v>中共中央马克思恩格斯列宁斯大林著作编译局</v>
      </c>
      <c r="AJ14" s="339" t="str">
        <f>IFERROR(MID(书库[[#This Row],[译者 For 统计]],FIND("1",书库[[#This Row],[译者 For 统计]])+1,FIND("2",书库[[#This Row],[译者 For 统计]])-FIND("1",书库[[#This Row],[译者 For 统计]])-1),"")</f>
        <v/>
      </c>
      <c r="AK14" s="339" t="str">
        <f>IFERROR(MID(书库[[#This Row],[译者 For 统计]],FIND("2",书库[[#This Row],[译者 For 统计]])+1,FIND("3",书库[[#This Row],[译者 For 统计]])-FIND("2",书库[[#This Row],[译者 For 统计]])-1),"")</f>
        <v/>
      </c>
      <c r="AL14" s="339" t="str">
        <f>IFERROR(MID(书库[[#This Row],[译者 For 统计]],FIND("3",书库[[#This Row],[译者 For 统计]])+1,FIND("4",书库[[#This Row],[译者 For 统计]])-FIND("3",书库[[#This Row],[译者 For 统计]])-1),"")</f>
        <v/>
      </c>
      <c r="AM14" s="339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 xml:space="preserve"> 中央编译局</v>
      </c>
      <c r="AN14" s="339" t="str">
        <f>IFERROR(LEFT(书库[[#This Row],[编者 For 统计]],FIND("1",书库[[#This Row],[编者 For 统计]])-1),书库[[#This Row],[编者 For 统计]])</f>
        <v xml:space="preserve"> 中央编译局</v>
      </c>
      <c r="AO14" s="339" t="str">
        <f>IFERROR(MID(书库[[#This Row],[编者 For 统计]],FIND("1",书库[[#This Row],[编者 For 统计]])+1,FIND("2",书库[[#This Row],[编者 For 统计]])-FIND("1",书库[[#This Row],[编者 For 统计]])-1),"")</f>
        <v/>
      </c>
      <c r="AP14" s="339" t="str">
        <f>IFERROR(MID(书库[[#This Row],[编者 For 统计]],FIND("2",书库[[#This Row],[编者 For 统计]])+1,FIND("3",书库[[#This Row],[编者 For 统计]])-FIND("2",书库[[#This Row],[编者 For 统计]])-1),"")</f>
        <v/>
      </c>
      <c r="AQ14" s="337">
        <f>IFERROR(书库[[#This Row],[套装册数]]/书库[[#This Row],[系列册数]],“”)</f>
        <v>0.25</v>
      </c>
      <c r="AR14" s="335">
        <f>DAY(书库[[#This Row],[印次]])</f>
        <v>5</v>
      </c>
    </row>
    <row r="15" spans="2:44" s="140" customFormat="1" ht="18" customHeight="1" x14ac:dyDescent="0.25">
      <c r="B15" s="320">
        <v>8</v>
      </c>
      <c r="C15" s="333" t="s">
        <v>227</v>
      </c>
      <c r="D15" s="321" t="s">
        <v>56</v>
      </c>
      <c r="E15" s="321" t="s">
        <v>232</v>
      </c>
      <c r="F15" s="321" t="s">
        <v>234</v>
      </c>
      <c r="G15" s="321" t="s">
        <v>245</v>
      </c>
      <c r="H15" s="333" t="s">
        <v>251</v>
      </c>
      <c r="I15" s="321" t="s">
        <v>250</v>
      </c>
      <c r="J15" s="322">
        <v>26420</v>
      </c>
      <c r="K15" s="323">
        <v>28220</v>
      </c>
      <c r="L15" s="342"/>
      <c r="M15" s="324"/>
      <c r="N15" s="325" t="s">
        <v>236</v>
      </c>
      <c r="O15" s="325" t="s">
        <v>237</v>
      </c>
      <c r="P15" s="328">
        <v>1</v>
      </c>
      <c r="Q15" s="334">
        <v>43805</v>
      </c>
      <c r="R15" s="333" t="s">
        <v>34</v>
      </c>
      <c r="S15" s="276">
        <v>45</v>
      </c>
      <c r="T15" s="276">
        <v>35</v>
      </c>
      <c r="U15" s="327">
        <f>IFERROR([1]!书库[[#This Row],[购入价]]/[1]!书库[[#This Row],[定价]],"/")</f>
        <v>0.50083194675540765</v>
      </c>
      <c r="V15" s="333"/>
      <c r="W15" s="321" t="s">
        <v>248</v>
      </c>
      <c r="X15" s="328">
        <v>1</v>
      </c>
      <c r="Y15" s="328">
        <v>4</v>
      </c>
      <c r="Z15" s="320"/>
      <c r="AA15" s="275">
        <f>IFERROR(书库[[#This Row],[购入价]]/书库[[#This Row],[套装册数]],"")</f>
        <v>35</v>
      </c>
      <c r="AB15" s="329" t="str">
        <f>IFERROR(LEFT(书库[[#This Row],[系列]],FIND(" ",书库[[#This Row],[系列]])),书库[[#This Row],[系列]])</f>
        <v>马恩列斯毛著作</v>
      </c>
      <c r="AC15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>[德国]恩格斯1 中央编译局</v>
      </c>
      <c r="AD15" s="330" t="str">
        <f>IFERROR(LEFT(书库[[#This Row],[作者 For 统计]],FIND("1",书库[[#This Row],[作者 For 统计]])-1),书库[[#This Row],[作者 For 统计]])</f>
        <v>[德国]恩格斯</v>
      </c>
      <c r="AE15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15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15" s="330" t="str">
        <f>IFERROR(MID(书库[[#This Row],[作者 For 统计]],FIND("3",书库[[#This Row],[作者 For 统计]])+1,LEN(书库[[#This Row],[第一作者 For 统计]])+1),"")</f>
        <v/>
      </c>
      <c r="AH15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>中共中央马克思恩格斯列宁斯大林著作编译局</v>
      </c>
      <c r="AI15" s="330" t="str">
        <f>IFERROR(LEFT(书库[[#This Row],[译者 For 统计]],FIND("1",书库[[#This Row],[译者 For 统计]])-1),书库[[#This Row],[译者 For 统计]])</f>
        <v>中共中央马克思恩格斯列宁斯大林著作编译局</v>
      </c>
      <c r="AJ15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15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15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15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 xml:space="preserve"> 中央编译局</v>
      </c>
      <c r="AN15" s="330" t="str">
        <f>IFERROR(LEFT(书库[[#This Row],[编者 For 统计]],FIND("1",书库[[#This Row],[编者 For 统计]])-1),书库[[#This Row],[编者 For 统计]])</f>
        <v xml:space="preserve"> 中央编译局</v>
      </c>
      <c r="AO15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15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15" s="327">
        <f>IFERROR(书库[[#This Row],[套装册数]]/书库[[#This Row],[系列册数]],“”)</f>
        <v>0.25</v>
      </c>
      <c r="AR15" s="328">
        <f>DAY(书库[[#This Row],[印次]])</f>
        <v>5</v>
      </c>
    </row>
    <row r="16" spans="2:44" s="22" customFormat="1" ht="18" customHeight="1" x14ac:dyDescent="0.25">
      <c r="B16" s="320"/>
      <c r="C16" s="313"/>
      <c r="D16" s="313"/>
      <c r="E16" s="313"/>
      <c r="F16" s="313"/>
      <c r="G16" s="313"/>
      <c r="H16" s="313"/>
      <c r="I16" s="313"/>
      <c r="J16" s="315"/>
      <c r="K16" s="316"/>
      <c r="L16" s="331"/>
      <c r="M16" s="331"/>
      <c r="N16" s="332"/>
      <c r="O16" s="332"/>
      <c r="P16" s="313"/>
      <c r="Q16" s="317"/>
      <c r="R16" s="313"/>
      <c r="S16" s="274"/>
      <c r="T16" s="274"/>
      <c r="U16" s="318"/>
      <c r="V16" s="313"/>
      <c r="W16" s="313"/>
      <c r="X16" s="319"/>
      <c r="Y16" s="319"/>
      <c r="Z16" s="312"/>
      <c r="AA16" s="276" t="str">
        <f>IFERROR(书库[[#This Row],[购入价]]/书库[[#This Row],[套装册数]],"")</f>
        <v/>
      </c>
      <c r="AB16" s="338">
        <f>IFERROR(LEFT(书库[[#This Row],[系列]],FIND(" ",书库[[#This Row],[系列]])),书库[[#This Row],[系列]])</f>
        <v>0</v>
      </c>
      <c r="AC16" s="339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16" s="339" t="str">
        <f>IFERROR(LEFT(书库[[#This Row],[作者 For 统计]],FIND("1",书库[[#This Row],[作者 For 统计]])-1),书库[[#This Row],[作者 For 统计]])</f>
        <v/>
      </c>
      <c r="AE16" s="339" t="str">
        <f>IFERROR(MID(书库[[#This Row],[作者 For 统计]],FIND("1",书库[[#This Row],[作者 For 统计]])+1,FIND("2",书库[[#This Row],[作者 For 统计]])-FIND("1",书库[[#This Row],[作者 For 统计]])-1),"")</f>
        <v/>
      </c>
      <c r="AF16" s="339" t="str">
        <f>IFERROR(MID(书库[[#This Row],[作者 For 统计]],FIND("2",书库[[#This Row],[作者 For 统计]])+1,FIND("3",书库[[#This Row],[作者 For 统计]])-FIND("2",书库[[#This Row],[作者 For 统计]])-1),"")</f>
        <v/>
      </c>
      <c r="AG16" s="339" t="str">
        <f>IFERROR(MID(书库[[#This Row],[作者 For 统计]],FIND("3",书库[[#This Row],[作者 For 统计]])+1,LEN(书库[[#This Row],[第一作者 For 统计]])+1),"")</f>
        <v/>
      </c>
      <c r="AH16" s="339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16" s="339" t="str">
        <f>IFERROR(LEFT(书库[[#This Row],[译者 For 统计]],FIND("1",书库[[#This Row],[译者 For 统计]])-1),书库[[#This Row],[译者 For 统计]])</f>
        <v/>
      </c>
      <c r="AJ16" s="339" t="str">
        <f>IFERROR(MID(书库[[#This Row],[译者 For 统计]],FIND("1",书库[[#This Row],[译者 For 统计]])+1,FIND("2",书库[[#This Row],[译者 For 统计]])-FIND("1",书库[[#This Row],[译者 For 统计]])-1),"")</f>
        <v/>
      </c>
      <c r="AK16" s="339" t="str">
        <f>IFERROR(MID(书库[[#This Row],[译者 For 统计]],FIND("2",书库[[#This Row],[译者 For 统计]])+1,FIND("3",书库[[#This Row],[译者 For 统计]])-FIND("2",书库[[#This Row],[译者 For 统计]])-1),"")</f>
        <v/>
      </c>
      <c r="AL16" s="339" t="str">
        <f>IFERROR(MID(书库[[#This Row],[译者 For 统计]],FIND("3",书库[[#This Row],[译者 For 统计]])+1,FIND("4",书库[[#This Row],[译者 For 统计]])-FIND("3",书库[[#This Row],[译者 For 统计]])-1),"")</f>
        <v/>
      </c>
      <c r="AM16" s="339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16" s="339" t="str">
        <f>IFERROR(LEFT(书库[[#This Row],[编者 For 统计]],FIND("1",书库[[#This Row],[编者 For 统计]])-1),书库[[#This Row],[编者 For 统计]])</f>
        <v/>
      </c>
      <c r="AO16" s="339" t="str">
        <f>IFERROR(MID(书库[[#This Row],[编者 For 统计]],FIND("1",书库[[#This Row],[编者 For 统计]])+1,FIND("2",书库[[#This Row],[编者 For 统计]])-FIND("1",书库[[#This Row],[编者 For 统计]])-1),"")</f>
        <v/>
      </c>
      <c r="AP16" s="339" t="str">
        <f>IFERROR(MID(书库[[#This Row],[编者 For 统计]],FIND("2",书库[[#This Row],[编者 For 统计]])+1,FIND("3",书库[[#This Row],[编者 For 统计]])-FIND("2",书库[[#This Row],[编者 For 统计]])-1),"")</f>
        <v/>
      </c>
      <c r="AQ16" s="337" t="e">
        <f>IFERROR(书库[[#This Row],[套装册数]]/书库[[#This Row],[系列册数]],“”)</f>
        <v>#NAME?</v>
      </c>
      <c r="AR16" s="335">
        <f>DAY(书库[[#This Row],[印次]])</f>
        <v>0</v>
      </c>
    </row>
    <row r="17" spans="2:44" s="22" customFormat="1" ht="18" customHeight="1" x14ac:dyDescent="0.25">
      <c r="B17" s="320"/>
      <c r="C17" s="313"/>
      <c r="D17" s="313"/>
      <c r="E17" s="313"/>
      <c r="F17" s="313"/>
      <c r="G17" s="313"/>
      <c r="H17" s="313"/>
      <c r="I17" s="313"/>
      <c r="J17" s="315"/>
      <c r="K17" s="316"/>
      <c r="L17" s="331"/>
      <c r="M17" s="331"/>
      <c r="N17" s="332"/>
      <c r="O17" s="332"/>
      <c r="P17" s="313"/>
      <c r="Q17" s="317"/>
      <c r="R17" s="313"/>
      <c r="S17" s="274"/>
      <c r="T17" s="274"/>
      <c r="U17" s="318"/>
      <c r="V17" s="313"/>
      <c r="W17" s="313"/>
      <c r="X17" s="319"/>
      <c r="Y17" s="319"/>
      <c r="Z17" s="312"/>
      <c r="AA17" s="275" t="str">
        <f>IFERROR(书库[[#This Row],[购入价]]/书库[[#This Row],[套装册数]],"")</f>
        <v/>
      </c>
      <c r="AB17" s="329">
        <f>IFERROR(LEFT(书库[[#This Row],[系列]],FIND(" ",书库[[#This Row],[系列]])),书库[[#This Row],[系列]])</f>
        <v>0</v>
      </c>
      <c r="AC17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17" s="330" t="str">
        <f>IFERROR(LEFT(书库[[#This Row],[作者 For 统计]],FIND("1",书库[[#This Row],[作者 For 统计]])-1),书库[[#This Row],[作者 For 统计]])</f>
        <v/>
      </c>
      <c r="AE17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17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17" s="330" t="str">
        <f>IFERROR(MID(书库[[#This Row],[作者 For 统计]],FIND("3",书库[[#This Row],[作者 For 统计]])+1,LEN(书库[[#This Row],[第一作者 For 统计]])+1),"")</f>
        <v/>
      </c>
      <c r="AH17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17" s="330" t="str">
        <f>IFERROR(LEFT(书库[[#This Row],[译者 For 统计]],FIND("1",书库[[#This Row],[译者 For 统计]])-1),书库[[#This Row],[译者 For 统计]])</f>
        <v/>
      </c>
      <c r="AJ17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17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17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17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17" s="330" t="str">
        <f>IFERROR(LEFT(书库[[#This Row],[编者 For 统计]],FIND("1",书库[[#This Row],[编者 For 统计]])-1),书库[[#This Row],[编者 For 统计]])</f>
        <v/>
      </c>
      <c r="AO17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17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17" s="327" t="e">
        <f>IFERROR(书库[[#This Row],[套装册数]]/书库[[#This Row],[系列册数]],“”)</f>
        <v>#NAME?</v>
      </c>
      <c r="AR17" s="328">
        <f>DAY(书库[[#This Row],[印次]])</f>
        <v>0</v>
      </c>
    </row>
    <row r="18" spans="2:44" s="22" customFormat="1" ht="18" customHeight="1" x14ac:dyDescent="0.25">
      <c r="B18" s="320"/>
      <c r="C18" s="313"/>
      <c r="D18" s="313"/>
      <c r="E18" s="313"/>
      <c r="F18" s="313"/>
      <c r="G18" s="313"/>
      <c r="H18" s="313"/>
      <c r="I18" s="313"/>
      <c r="J18" s="315"/>
      <c r="K18" s="316"/>
      <c r="L18" s="331"/>
      <c r="M18" s="331"/>
      <c r="N18" s="332"/>
      <c r="O18" s="332"/>
      <c r="P18" s="313"/>
      <c r="Q18" s="317"/>
      <c r="R18" s="313"/>
      <c r="S18" s="274"/>
      <c r="T18" s="274"/>
      <c r="U18" s="318"/>
      <c r="V18" s="313"/>
      <c r="W18" s="313"/>
      <c r="X18" s="319"/>
      <c r="Y18" s="319"/>
      <c r="Z18" s="312"/>
      <c r="AA18" s="276" t="str">
        <f>IFERROR(书库[[#This Row],[购入价]]/书库[[#This Row],[套装册数]],"")</f>
        <v/>
      </c>
      <c r="AB18" s="338">
        <f>IFERROR(LEFT(书库[[#This Row],[系列]],FIND(" ",书库[[#This Row],[系列]])),书库[[#This Row],[系列]])</f>
        <v>0</v>
      </c>
      <c r="AC18" s="339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18" s="339" t="str">
        <f>IFERROR(LEFT(书库[[#This Row],[作者 For 统计]],FIND("1",书库[[#This Row],[作者 For 统计]])-1),书库[[#This Row],[作者 For 统计]])</f>
        <v/>
      </c>
      <c r="AE18" s="339" t="str">
        <f>IFERROR(MID(书库[[#This Row],[作者 For 统计]],FIND("1",书库[[#This Row],[作者 For 统计]])+1,FIND("2",书库[[#This Row],[作者 For 统计]])-FIND("1",书库[[#This Row],[作者 For 统计]])-1),"")</f>
        <v/>
      </c>
      <c r="AF18" s="339" t="str">
        <f>IFERROR(MID(书库[[#This Row],[作者 For 统计]],FIND("2",书库[[#This Row],[作者 For 统计]])+1,FIND("3",书库[[#This Row],[作者 For 统计]])-FIND("2",书库[[#This Row],[作者 For 统计]])-1),"")</f>
        <v/>
      </c>
      <c r="AG18" s="339" t="str">
        <f>IFERROR(MID(书库[[#This Row],[作者 For 统计]],FIND("3",书库[[#This Row],[作者 For 统计]])+1,LEN(书库[[#This Row],[第一作者 For 统计]])+1),"")</f>
        <v/>
      </c>
      <c r="AH18" s="339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18" s="339" t="str">
        <f>IFERROR(LEFT(书库[[#This Row],[译者 For 统计]],FIND("1",书库[[#This Row],[译者 For 统计]])-1),书库[[#This Row],[译者 For 统计]])</f>
        <v/>
      </c>
      <c r="AJ18" s="339" t="str">
        <f>IFERROR(MID(书库[[#This Row],[译者 For 统计]],FIND("1",书库[[#This Row],[译者 For 统计]])+1,FIND("2",书库[[#This Row],[译者 For 统计]])-FIND("1",书库[[#This Row],[译者 For 统计]])-1),"")</f>
        <v/>
      </c>
      <c r="AK18" s="339" t="str">
        <f>IFERROR(MID(书库[[#This Row],[译者 For 统计]],FIND("2",书库[[#This Row],[译者 For 统计]])+1,FIND("3",书库[[#This Row],[译者 For 统计]])-FIND("2",书库[[#This Row],[译者 For 统计]])-1),"")</f>
        <v/>
      </c>
      <c r="AL18" s="339" t="str">
        <f>IFERROR(MID(书库[[#This Row],[译者 For 统计]],FIND("3",书库[[#This Row],[译者 For 统计]])+1,FIND("4",书库[[#This Row],[译者 For 统计]])-FIND("3",书库[[#This Row],[译者 For 统计]])-1),"")</f>
        <v/>
      </c>
      <c r="AM18" s="339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18" s="339" t="str">
        <f>IFERROR(LEFT(书库[[#This Row],[编者 For 统计]],FIND("1",书库[[#This Row],[编者 For 统计]])-1),书库[[#This Row],[编者 For 统计]])</f>
        <v/>
      </c>
      <c r="AO18" s="339" t="str">
        <f>IFERROR(MID(书库[[#This Row],[编者 For 统计]],FIND("1",书库[[#This Row],[编者 For 统计]])+1,FIND("2",书库[[#This Row],[编者 For 统计]])-FIND("1",书库[[#This Row],[编者 For 统计]])-1),"")</f>
        <v/>
      </c>
      <c r="AP18" s="339" t="str">
        <f>IFERROR(MID(书库[[#This Row],[编者 For 统计]],FIND("2",书库[[#This Row],[编者 For 统计]])+1,FIND("3",书库[[#This Row],[编者 For 统计]])-FIND("2",书库[[#This Row],[编者 For 统计]])-1),"")</f>
        <v/>
      </c>
      <c r="AQ18" s="337" t="e">
        <f>IFERROR(书库[[#This Row],[套装册数]]/书库[[#This Row],[系列册数]],“”)</f>
        <v>#NAME?</v>
      </c>
      <c r="AR18" s="335">
        <f>DAY(书库[[#This Row],[印次]])</f>
        <v>0</v>
      </c>
    </row>
    <row r="19" spans="2:44" s="22" customFormat="1" ht="18" customHeight="1" x14ac:dyDescent="0.25">
      <c r="B19" s="320"/>
      <c r="C19" s="313"/>
      <c r="D19" s="313"/>
      <c r="E19" s="313"/>
      <c r="F19" s="313"/>
      <c r="G19" s="313"/>
      <c r="H19" s="313"/>
      <c r="I19" s="313"/>
      <c r="J19" s="315"/>
      <c r="K19" s="316"/>
      <c r="L19" s="331"/>
      <c r="M19" s="331"/>
      <c r="N19" s="332"/>
      <c r="O19" s="332"/>
      <c r="P19" s="313"/>
      <c r="Q19" s="317"/>
      <c r="R19" s="313"/>
      <c r="S19" s="274"/>
      <c r="T19" s="274"/>
      <c r="U19" s="318"/>
      <c r="V19" s="313"/>
      <c r="W19" s="313"/>
      <c r="X19" s="319"/>
      <c r="Y19" s="319"/>
      <c r="Z19" s="312"/>
      <c r="AA19" s="275" t="str">
        <f>IFERROR(书库[[#This Row],[购入价]]/书库[[#This Row],[套装册数]],"")</f>
        <v/>
      </c>
      <c r="AB19" s="329">
        <f>IFERROR(LEFT(书库[[#This Row],[系列]],FIND(" ",书库[[#This Row],[系列]])),书库[[#This Row],[系列]])</f>
        <v>0</v>
      </c>
      <c r="AC19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19" s="330" t="str">
        <f>IFERROR(LEFT(书库[[#This Row],[作者 For 统计]],FIND("1",书库[[#This Row],[作者 For 统计]])-1),书库[[#This Row],[作者 For 统计]])</f>
        <v/>
      </c>
      <c r="AE19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19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19" s="330" t="str">
        <f>IFERROR(MID(书库[[#This Row],[作者 For 统计]],FIND("3",书库[[#This Row],[作者 For 统计]])+1,LEN(书库[[#This Row],[第一作者 For 统计]])+1),"")</f>
        <v/>
      </c>
      <c r="AH19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19" s="330" t="str">
        <f>IFERROR(LEFT(书库[[#This Row],[译者 For 统计]],FIND("1",书库[[#This Row],[译者 For 统计]])-1),书库[[#This Row],[译者 For 统计]])</f>
        <v/>
      </c>
      <c r="AJ19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19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19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19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19" s="330" t="str">
        <f>IFERROR(LEFT(书库[[#This Row],[编者 For 统计]],FIND("1",书库[[#This Row],[编者 For 统计]])-1),书库[[#This Row],[编者 For 统计]])</f>
        <v/>
      </c>
      <c r="AO19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19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19" s="327" t="e">
        <f>IFERROR(书库[[#This Row],[套装册数]]/书库[[#This Row],[系列册数]],“”)</f>
        <v>#NAME?</v>
      </c>
      <c r="AR19" s="328">
        <f>DAY(书库[[#This Row],[印次]])</f>
        <v>0</v>
      </c>
    </row>
    <row r="20" spans="2:44" s="22" customFormat="1" ht="18" customHeight="1" x14ac:dyDescent="0.25">
      <c r="B20" s="320"/>
      <c r="C20" s="313"/>
      <c r="D20" s="313"/>
      <c r="E20" s="313"/>
      <c r="F20" s="313"/>
      <c r="G20" s="313"/>
      <c r="H20" s="313"/>
      <c r="I20" s="313"/>
      <c r="J20" s="315"/>
      <c r="K20" s="316"/>
      <c r="L20" s="331"/>
      <c r="M20" s="331"/>
      <c r="N20" s="332"/>
      <c r="O20" s="332"/>
      <c r="P20" s="313"/>
      <c r="Q20" s="317"/>
      <c r="R20" s="313"/>
      <c r="S20" s="274"/>
      <c r="T20" s="274"/>
      <c r="U20" s="318"/>
      <c r="V20" s="313"/>
      <c r="W20" s="313"/>
      <c r="X20" s="319"/>
      <c r="Y20" s="319"/>
      <c r="Z20" s="312"/>
      <c r="AA20" s="276" t="str">
        <f>IFERROR(书库[[#This Row],[购入价]]/书库[[#This Row],[套装册数]],"")</f>
        <v/>
      </c>
      <c r="AB20" s="338">
        <f>IFERROR(LEFT(书库[[#This Row],[系列]],FIND(" ",书库[[#This Row],[系列]])),书库[[#This Row],[系列]])</f>
        <v>0</v>
      </c>
      <c r="AC20" s="339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0" s="339" t="str">
        <f>IFERROR(LEFT(书库[[#This Row],[作者 For 统计]],FIND("1",书库[[#This Row],[作者 For 统计]])-1),书库[[#This Row],[作者 For 统计]])</f>
        <v/>
      </c>
      <c r="AE20" s="339" t="str">
        <f>IFERROR(MID(书库[[#This Row],[作者 For 统计]],FIND("1",书库[[#This Row],[作者 For 统计]])+1,FIND("2",书库[[#This Row],[作者 For 统计]])-FIND("1",书库[[#This Row],[作者 For 统计]])-1),"")</f>
        <v/>
      </c>
      <c r="AF20" s="339" t="str">
        <f>IFERROR(MID(书库[[#This Row],[作者 For 统计]],FIND("2",书库[[#This Row],[作者 For 统计]])+1,FIND("3",书库[[#This Row],[作者 For 统计]])-FIND("2",书库[[#This Row],[作者 For 统计]])-1),"")</f>
        <v/>
      </c>
      <c r="AG20" s="339" t="str">
        <f>IFERROR(MID(书库[[#This Row],[作者 For 统计]],FIND("3",书库[[#This Row],[作者 For 统计]])+1,LEN(书库[[#This Row],[第一作者 For 统计]])+1),"")</f>
        <v/>
      </c>
      <c r="AH20" s="339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0" s="339" t="str">
        <f>IFERROR(LEFT(书库[[#This Row],[译者 For 统计]],FIND("1",书库[[#This Row],[译者 For 统计]])-1),书库[[#This Row],[译者 For 统计]])</f>
        <v/>
      </c>
      <c r="AJ20" s="339" t="str">
        <f>IFERROR(MID(书库[[#This Row],[译者 For 统计]],FIND("1",书库[[#This Row],[译者 For 统计]])+1,FIND("2",书库[[#This Row],[译者 For 统计]])-FIND("1",书库[[#This Row],[译者 For 统计]])-1),"")</f>
        <v/>
      </c>
      <c r="AK20" s="339" t="str">
        <f>IFERROR(MID(书库[[#This Row],[译者 For 统计]],FIND("2",书库[[#This Row],[译者 For 统计]])+1,FIND("3",书库[[#This Row],[译者 For 统计]])-FIND("2",书库[[#This Row],[译者 For 统计]])-1),"")</f>
        <v/>
      </c>
      <c r="AL20" s="339" t="str">
        <f>IFERROR(MID(书库[[#This Row],[译者 For 统计]],FIND("3",书库[[#This Row],[译者 For 统计]])+1,FIND("4",书库[[#This Row],[译者 For 统计]])-FIND("3",书库[[#This Row],[译者 For 统计]])-1),"")</f>
        <v/>
      </c>
      <c r="AM20" s="339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0" s="339" t="str">
        <f>IFERROR(LEFT(书库[[#This Row],[编者 For 统计]],FIND("1",书库[[#This Row],[编者 For 统计]])-1),书库[[#This Row],[编者 For 统计]])</f>
        <v/>
      </c>
      <c r="AO20" s="339" t="str">
        <f>IFERROR(MID(书库[[#This Row],[编者 For 统计]],FIND("1",书库[[#This Row],[编者 For 统计]])+1,FIND("2",书库[[#This Row],[编者 For 统计]])-FIND("1",书库[[#This Row],[编者 For 统计]])-1),"")</f>
        <v/>
      </c>
      <c r="AP20" s="339" t="str">
        <f>IFERROR(MID(书库[[#This Row],[编者 For 统计]],FIND("2",书库[[#This Row],[编者 For 统计]])+1,FIND("3",书库[[#This Row],[编者 For 统计]])-FIND("2",书库[[#This Row],[编者 For 统计]])-1),"")</f>
        <v/>
      </c>
      <c r="AQ20" s="337" t="e">
        <f>IFERROR(书库[[#This Row],[套装册数]]/书库[[#This Row],[系列册数]],“”)</f>
        <v>#NAME?</v>
      </c>
      <c r="AR20" s="335">
        <f>DAY(书库[[#This Row],[印次]])</f>
        <v>0</v>
      </c>
    </row>
    <row r="21" spans="2:44" s="22" customFormat="1" ht="18" customHeight="1" x14ac:dyDescent="0.25">
      <c r="B21" s="320"/>
      <c r="C21" s="313"/>
      <c r="D21" s="313"/>
      <c r="E21" s="313"/>
      <c r="F21" s="313"/>
      <c r="G21" s="313"/>
      <c r="H21" s="313"/>
      <c r="I21" s="313"/>
      <c r="J21" s="315"/>
      <c r="K21" s="316"/>
      <c r="L21" s="331"/>
      <c r="M21" s="331"/>
      <c r="N21" s="332"/>
      <c r="O21" s="332"/>
      <c r="P21" s="313"/>
      <c r="Q21" s="317"/>
      <c r="R21" s="313"/>
      <c r="S21" s="274"/>
      <c r="T21" s="274"/>
      <c r="U21" s="318"/>
      <c r="V21" s="313"/>
      <c r="W21" s="313"/>
      <c r="X21" s="319"/>
      <c r="Y21" s="319"/>
      <c r="Z21" s="312"/>
      <c r="AA21" s="275" t="str">
        <f>IFERROR(书库[[#This Row],[购入价]]/书库[[#This Row],[套装册数]],"")</f>
        <v/>
      </c>
      <c r="AB21" s="329">
        <f>IFERROR(LEFT(书库[[#This Row],[系列]],FIND(" ",书库[[#This Row],[系列]])),书库[[#This Row],[系列]])</f>
        <v>0</v>
      </c>
      <c r="AC21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1" s="330" t="str">
        <f>IFERROR(LEFT(书库[[#This Row],[作者 For 统计]],FIND("1",书库[[#This Row],[作者 For 统计]])-1),书库[[#This Row],[作者 For 统计]])</f>
        <v/>
      </c>
      <c r="AE21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1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1" s="330" t="str">
        <f>IFERROR(MID(书库[[#This Row],[作者 For 统计]],FIND("3",书库[[#This Row],[作者 For 统计]])+1,LEN(书库[[#This Row],[第一作者 For 统计]])+1),"")</f>
        <v/>
      </c>
      <c r="AH21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1" s="330" t="str">
        <f>IFERROR(LEFT(书库[[#This Row],[译者 For 统计]],FIND("1",书库[[#This Row],[译者 For 统计]])-1),书库[[#This Row],[译者 For 统计]])</f>
        <v/>
      </c>
      <c r="AJ21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1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1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1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1" s="330" t="str">
        <f>IFERROR(LEFT(书库[[#This Row],[编者 For 统计]],FIND("1",书库[[#This Row],[编者 For 统计]])-1),书库[[#This Row],[编者 For 统计]])</f>
        <v/>
      </c>
      <c r="AO21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1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1" s="327" t="e">
        <f>IFERROR(书库[[#This Row],[套装册数]]/书库[[#This Row],[系列册数]],“”)</f>
        <v>#NAME?</v>
      </c>
      <c r="AR21" s="328">
        <f>DAY(书库[[#This Row],[印次]])</f>
        <v>0</v>
      </c>
    </row>
    <row r="22" spans="2:44" s="140" customFormat="1" ht="18" customHeight="1" x14ac:dyDescent="0.25">
      <c r="B22" s="320"/>
      <c r="C22" s="313"/>
      <c r="D22" s="313"/>
      <c r="E22" s="313"/>
      <c r="F22" s="313"/>
      <c r="G22" s="313"/>
      <c r="H22" s="313"/>
      <c r="I22" s="313"/>
      <c r="J22" s="315"/>
      <c r="K22" s="316"/>
      <c r="L22" s="331"/>
      <c r="M22" s="331"/>
      <c r="N22" s="332"/>
      <c r="O22" s="332"/>
      <c r="P22" s="313"/>
      <c r="Q22" s="317"/>
      <c r="R22" s="313"/>
      <c r="S22" s="274"/>
      <c r="T22" s="274"/>
      <c r="U22" s="318"/>
      <c r="V22" s="314"/>
      <c r="W22" s="313"/>
      <c r="X22" s="319"/>
      <c r="Y22" s="319"/>
      <c r="Z22" s="312"/>
      <c r="AA22" s="275" t="str">
        <f>IFERROR(书库[[#This Row],[购入价]]/书库[[#This Row],[套装册数]],"")</f>
        <v/>
      </c>
      <c r="AB22" s="329">
        <f>IFERROR(LEFT(书库[[#This Row],[系列]],FIND(" ",书库[[#This Row],[系列]])),书库[[#This Row],[系列]])</f>
        <v>0</v>
      </c>
      <c r="AC22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2" s="330" t="str">
        <f>IFERROR(LEFT(书库[[#This Row],[作者 For 统计]],FIND("1",书库[[#This Row],[作者 For 统计]])-1),书库[[#This Row],[作者 For 统计]])</f>
        <v/>
      </c>
      <c r="AE22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2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2" s="330" t="str">
        <f>IFERROR(MID(书库[[#This Row],[作者 For 统计]],FIND("3",书库[[#This Row],[作者 For 统计]])+1,LEN(书库[[#This Row],[第一作者 For 统计]])+1),"")</f>
        <v/>
      </c>
      <c r="AH22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2" s="330" t="str">
        <f>IFERROR(LEFT(书库[[#This Row],[译者 For 统计]],FIND("1",书库[[#This Row],[译者 For 统计]])-1),书库[[#This Row],[译者 For 统计]])</f>
        <v/>
      </c>
      <c r="AJ22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2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2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2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2" s="330" t="str">
        <f>IFERROR(LEFT(书库[[#This Row],[编者 For 统计]],FIND("1",书库[[#This Row],[编者 For 统计]])-1),书库[[#This Row],[编者 For 统计]])</f>
        <v/>
      </c>
      <c r="AO22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2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2" s="327" t="e">
        <f>IFERROR(书库[[#This Row],[套装册数]]/书库[[#This Row],[系列册数]],“”)</f>
        <v>#NAME?</v>
      </c>
      <c r="AR22" s="328">
        <f>DAY(书库[[#This Row],[印次]])</f>
        <v>0</v>
      </c>
    </row>
    <row r="23" spans="2:44" s="22" customFormat="1" ht="18" customHeight="1" x14ac:dyDescent="0.25">
      <c r="B23" s="320"/>
      <c r="C23" s="313"/>
      <c r="D23" s="313"/>
      <c r="E23" s="313"/>
      <c r="F23" s="313"/>
      <c r="G23" s="313"/>
      <c r="H23" s="313"/>
      <c r="I23" s="313"/>
      <c r="J23" s="315"/>
      <c r="K23" s="316"/>
      <c r="L23" s="331"/>
      <c r="M23" s="331"/>
      <c r="N23" s="332"/>
      <c r="O23" s="332"/>
      <c r="P23" s="313"/>
      <c r="Q23" s="317"/>
      <c r="R23" s="313"/>
      <c r="S23" s="274"/>
      <c r="T23" s="274"/>
      <c r="U23" s="318"/>
      <c r="V23" s="314"/>
      <c r="W23" s="313"/>
      <c r="X23" s="319"/>
      <c r="Y23" s="319"/>
      <c r="Z23" s="312"/>
      <c r="AA23" s="275" t="str">
        <f>IFERROR(书库[[#This Row],[购入价]]/书库[[#This Row],[套装册数]],"")</f>
        <v/>
      </c>
      <c r="AB23" s="329">
        <f>IFERROR(LEFT(书库[[#This Row],[系列]],FIND(" ",书库[[#This Row],[系列]])),书库[[#This Row],[系列]])</f>
        <v>0</v>
      </c>
      <c r="AC23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3" s="330" t="str">
        <f>IFERROR(LEFT(书库[[#This Row],[作者 For 统计]],FIND("1",书库[[#This Row],[作者 For 统计]])-1),书库[[#This Row],[作者 For 统计]])</f>
        <v/>
      </c>
      <c r="AE23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3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3" s="330" t="str">
        <f>IFERROR(MID(书库[[#This Row],[作者 For 统计]],FIND("3",书库[[#This Row],[作者 For 统计]])+1,LEN(书库[[#This Row],[第一作者 For 统计]])+1),"")</f>
        <v/>
      </c>
      <c r="AH23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3" s="330" t="str">
        <f>IFERROR(LEFT(书库[[#This Row],[译者 For 统计]],FIND("1",书库[[#This Row],[译者 For 统计]])-1),书库[[#This Row],[译者 For 统计]])</f>
        <v/>
      </c>
      <c r="AJ23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3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3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3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3" s="330" t="str">
        <f>IFERROR(LEFT(书库[[#This Row],[编者 For 统计]],FIND("1",书库[[#This Row],[编者 For 统计]])-1),书库[[#This Row],[编者 For 统计]])</f>
        <v/>
      </c>
      <c r="AO23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3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3" s="327" t="e">
        <f>IFERROR(书库[[#This Row],[套装册数]]/书库[[#This Row],[系列册数]],“”)</f>
        <v>#NAME?</v>
      </c>
      <c r="AR23" s="328">
        <f>DAY(书库[[#This Row],[印次]])</f>
        <v>0</v>
      </c>
    </row>
    <row r="24" spans="2:44" s="140" customFormat="1" ht="18" customHeight="1" x14ac:dyDescent="0.25">
      <c r="B24" s="320"/>
      <c r="C24" s="321"/>
      <c r="D24" s="321"/>
      <c r="E24" s="321"/>
      <c r="F24" s="321"/>
      <c r="G24" s="321"/>
      <c r="H24" s="321"/>
      <c r="I24" s="321"/>
      <c r="J24" s="322"/>
      <c r="K24" s="323"/>
      <c r="L24" s="324"/>
      <c r="M24" s="324"/>
      <c r="N24" s="325"/>
      <c r="O24" s="325"/>
      <c r="P24" s="328"/>
      <c r="Q24" s="326"/>
      <c r="R24" s="321"/>
      <c r="S24" s="274"/>
      <c r="T24" s="274"/>
      <c r="U24" s="327"/>
      <c r="V24" s="333"/>
      <c r="W24" s="321"/>
      <c r="X24" s="328"/>
      <c r="Y24" s="328"/>
      <c r="Z24" s="320"/>
      <c r="AA24" s="275" t="str">
        <f>IFERROR(书库[[#This Row],[购入价]]/书库[[#This Row],[套装册数]],"")</f>
        <v/>
      </c>
      <c r="AB24" s="329">
        <f>IFERROR(LEFT(书库[[#This Row],[系列]],FIND(" ",书库[[#This Row],[系列]])),书库[[#This Row],[系列]])</f>
        <v>0</v>
      </c>
      <c r="AC24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4" s="330" t="str">
        <f>IFERROR(LEFT(书库[[#This Row],[作者 For 统计]],FIND("1",书库[[#This Row],[作者 For 统计]])-1),书库[[#This Row],[作者 For 统计]])</f>
        <v/>
      </c>
      <c r="AE24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4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4" s="330" t="str">
        <f>IFERROR(MID(书库[[#This Row],[作者 For 统计]],FIND("3",书库[[#This Row],[作者 For 统计]])+1,LEN(书库[[#This Row],[第一作者 For 统计]])+1),"")</f>
        <v/>
      </c>
      <c r="AH24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4" s="330" t="str">
        <f>IFERROR(LEFT(书库[[#This Row],[译者 For 统计]],FIND("1",书库[[#This Row],[译者 For 统计]])-1),书库[[#This Row],[译者 For 统计]])</f>
        <v/>
      </c>
      <c r="AJ24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4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4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4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4" s="330" t="str">
        <f>IFERROR(LEFT(书库[[#This Row],[编者 For 统计]],FIND("1",书库[[#This Row],[编者 For 统计]])-1),书库[[#This Row],[编者 For 统计]])</f>
        <v/>
      </c>
      <c r="AO24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4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4" s="327" t="e">
        <f>IFERROR(书库[[#This Row],[套装册数]]/书库[[#This Row],[系列册数]],“”)</f>
        <v>#NAME?</v>
      </c>
      <c r="AR24" s="328">
        <f>DAY(书库[[#This Row],[印次]])</f>
        <v>0</v>
      </c>
    </row>
    <row r="25" spans="2:44" s="22" customFormat="1" ht="18" customHeight="1" x14ac:dyDescent="0.25">
      <c r="B25" s="320"/>
      <c r="C25" s="321"/>
      <c r="D25" s="321"/>
      <c r="E25" s="321"/>
      <c r="F25" s="321"/>
      <c r="G25" s="321"/>
      <c r="H25" s="321"/>
      <c r="I25" s="321"/>
      <c r="J25" s="322"/>
      <c r="K25" s="323"/>
      <c r="L25" s="324"/>
      <c r="M25" s="324"/>
      <c r="N25" s="325"/>
      <c r="O25" s="325"/>
      <c r="P25" s="328"/>
      <c r="Q25" s="326"/>
      <c r="R25" s="321"/>
      <c r="S25" s="274"/>
      <c r="T25" s="274"/>
      <c r="U25" s="327"/>
      <c r="V25" s="333"/>
      <c r="W25" s="321"/>
      <c r="X25" s="328"/>
      <c r="Y25" s="328"/>
      <c r="Z25" s="320"/>
      <c r="AA25" s="275" t="str">
        <f>IFERROR(书库[[#This Row],[购入价]]/书库[[#This Row],[套装册数]],"")</f>
        <v/>
      </c>
      <c r="AB25" s="329">
        <f>IFERROR(LEFT(书库[[#This Row],[系列]],FIND(" ",书库[[#This Row],[系列]])),书库[[#This Row],[系列]])</f>
        <v>0</v>
      </c>
      <c r="AC25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5" s="330" t="str">
        <f>IFERROR(LEFT(书库[[#This Row],[作者 For 统计]],FIND("1",书库[[#This Row],[作者 For 统计]])-1),书库[[#This Row],[作者 For 统计]])</f>
        <v/>
      </c>
      <c r="AE25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5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5" s="330" t="str">
        <f>IFERROR(MID(书库[[#This Row],[作者 For 统计]],FIND("3",书库[[#This Row],[作者 For 统计]])+1,LEN(书库[[#This Row],[第一作者 For 统计]])+1),"")</f>
        <v/>
      </c>
      <c r="AH25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5" s="330" t="str">
        <f>IFERROR(LEFT(书库[[#This Row],[译者 For 统计]],FIND("1",书库[[#This Row],[译者 For 统计]])-1),书库[[#This Row],[译者 For 统计]])</f>
        <v/>
      </c>
      <c r="AJ25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5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5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5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5" s="330" t="str">
        <f>IFERROR(LEFT(书库[[#This Row],[编者 For 统计]],FIND("1",书库[[#This Row],[编者 For 统计]])-1),书库[[#This Row],[编者 For 统计]])</f>
        <v/>
      </c>
      <c r="AO25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5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5" s="327" t="e">
        <f>IFERROR(书库[[#This Row],[套装册数]]/书库[[#This Row],[系列册数]],“”)</f>
        <v>#NAME?</v>
      </c>
      <c r="AR25" s="328">
        <f>DAY(书库[[#This Row],[印次]])</f>
        <v>0</v>
      </c>
    </row>
    <row r="26" spans="2:44" s="22" customFormat="1" ht="18" customHeight="1" x14ac:dyDescent="0.25">
      <c r="B26" s="320"/>
      <c r="C26" s="321"/>
      <c r="D26" s="321"/>
      <c r="E26" s="321"/>
      <c r="F26" s="321"/>
      <c r="G26" s="321"/>
      <c r="H26" s="321"/>
      <c r="I26" s="321"/>
      <c r="J26" s="322"/>
      <c r="K26" s="323"/>
      <c r="L26" s="324"/>
      <c r="M26" s="324"/>
      <c r="N26" s="325"/>
      <c r="O26" s="325"/>
      <c r="P26" s="328"/>
      <c r="Q26" s="326"/>
      <c r="R26" s="321"/>
      <c r="S26" s="274"/>
      <c r="T26" s="274"/>
      <c r="U26" s="327"/>
      <c r="V26" s="333"/>
      <c r="W26" s="321"/>
      <c r="X26" s="328"/>
      <c r="Y26" s="328"/>
      <c r="Z26" s="320"/>
      <c r="AA26" s="275" t="str">
        <f>IFERROR(书库[[#This Row],[购入价]]/书库[[#This Row],[套装册数]],"")</f>
        <v/>
      </c>
      <c r="AB26" s="329">
        <f>IFERROR(LEFT(书库[[#This Row],[系列]],FIND(" ",书库[[#This Row],[系列]])),书库[[#This Row],[系列]])</f>
        <v>0</v>
      </c>
      <c r="AC26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6" s="330" t="str">
        <f>IFERROR(LEFT(书库[[#This Row],[作者 For 统计]],FIND("1",书库[[#This Row],[作者 For 统计]])-1),书库[[#This Row],[作者 For 统计]])</f>
        <v/>
      </c>
      <c r="AE26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6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6" s="330" t="str">
        <f>IFERROR(MID(书库[[#This Row],[作者 For 统计]],FIND("3",书库[[#This Row],[作者 For 统计]])+1,LEN(书库[[#This Row],[第一作者 For 统计]])+1),"")</f>
        <v/>
      </c>
      <c r="AH26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6" s="330" t="str">
        <f>IFERROR(LEFT(书库[[#This Row],[译者 For 统计]],FIND("1",书库[[#This Row],[译者 For 统计]])-1),书库[[#This Row],[译者 For 统计]])</f>
        <v/>
      </c>
      <c r="AJ26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6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6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6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6" s="330" t="str">
        <f>IFERROR(LEFT(书库[[#This Row],[编者 For 统计]],FIND("1",书库[[#This Row],[编者 For 统计]])-1),书库[[#This Row],[编者 For 统计]])</f>
        <v/>
      </c>
      <c r="AO26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6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6" s="327" t="e">
        <f>IFERROR(书库[[#This Row],[套装册数]]/书库[[#This Row],[系列册数]],“”)</f>
        <v>#NAME?</v>
      </c>
      <c r="AR26" s="328">
        <f>DAY(书库[[#This Row],[印次]])</f>
        <v>0</v>
      </c>
    </row>
    <row r="27" spans="2:44" s="22" customFormat="1" ht="18" customHeight="1" x14ac:dyDescent="0.25">
      <c r="B27" s="320"/>
      <c r="C27" s="321"/>
      <c r="D27" s="321"/>
      <c r="E27" s="321"/>
      <c r="F27" s="321"/>
      <c r="G27" s="321"/>
      <c r="H27" s="321"/>
      <c r="I27" s="321"/>
      <c r="J27" s="322"/>
      <c r="K27" s="323"/>
      <c r="L27" s="324"/>
      <c r="M27" s="324"/>
      <c r="N27" s="325"/>
      <c r="O27" s="325"/>
      <c r="P27" s="328"/>
      <c r="Q27" s="326"/>
      <c r="R27" s="321"/>
      <c r="S27" s="274"/>
      <c r="T27" s="274"/>
      <c r="U27" s="327"/>
      <c r="V27" s="333"/>
      <c r="W27" s="321"/>
      <c r="X27" s="328"/>
      <c r="Y27" s="328"/>
      <c r="Z27" s="320"/>
      <c r="AA27" s="275" t="str">
        <f>IFERROR(书库[[#This Row],[购入价]]/书库[[#This Row],[套装册数]],"")</f>
        <v/>
      </c>
      <c r="AB27" s="329">
        <f>IFERROR(LEFT(书库[[#This Row],[系列]],FIND(" ",书库[[#This Row],[系列]])),书库[[#This Row],[系列]])</f>
        <v>0</v>
      </c>
      <c r="AC27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7" s="330" t="str">
        <f>IFERROR(LEFT(书库[[#This Row],[作者 For 统计]],FIND("1",书库[[#This Row],[作者 For 统计]])-1),书库[[#This Row],[作者 For 统计]])</f>
        <v/>
      </c>
      <c r="AE27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7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7" s="330" t="str">
        <f>IFERROR(MID(书库[[#This Row],[作者 For 统计]],FIND("3",书库[[#This Row],[作者 For 统计]])+1,LEN(书库[[#This Row],[第一作者 For 统计]])+1),"")</f>
        <v/>
      </c>
      <c r="AH27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7" s="330" t="str">
        <f>IFERROR(LEFT(书库[[#This Row],[译者 For 统计]],FIND("1",书库[[#This Row],[译者 For 统计]])-1),书库[[#This Row],[译者 For 统计]])</f>
        <v/>
      </c>
      <c r="AJ27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7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7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7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7" s="330" t="str">
        <f>IFERROR(LEFT(书库[[#This Row],[编者 For 统计]],FIND("1",书库[[#This Row],[编者 For 统计]])-1),书库[[#This Row],[编者 For 统计]])</f>
        <v/>
      </c>
      <c r="AO27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7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7" s="327" t="e">
        <f>IFERROR(书库[[#This Row],[套装册数]]/书库[[#This Row],[系列册数]],“”)</f>
        <v>#NAME?</v>
      </c>
      <c r="AR27" s="328">
        <f>DAY(书库[[#This Row],[印次]])</f>
        <v>0</v>
      </c>
    </row>
    <row r="28" spans="2:44" s="22" customFormat="1" ht="18" customHeight="1" x14ac:dyDescent="0.25">
      <c r="B28" s="320"/>
      <c r="C28" s="321"/>
      <c r="D28" s="321"/>
      <c r="E28" s="321"/>
      <c r="F28" s="321"/>
      <c r="G28" s="321"/>
      <c r="H28" s="321"/>
      <c r="I28" s="321"/>
      <c r="J28" s="322"/>
      <c r="K28" s="323"/>
      <c r="L28" s="324"/>
      <c r="M28" s="324"/>
      <c r="N28" s="325"/>
      <c r="O28" s="325"/>
      <c r="P28" s="328"/>
      <c r="Q28" s="326"/>
      <c r="R28" s="321"/>
      <c r="S28" s="274"/>
      <c r="T28" s="274"/>
      <c r="U28" s="327"/>
      <c r="V28" s="333"/>
      <c r="W28" s="321"/>
      <c r="X28" s="328"/>
      <c r="Y28" s="328"/>
      <c r="Z28" s="320"/>
      <c r="AA28" s="275" t="str">
        <f>IFERROR(书库[[#This Row],[购入价]]/书库[[#This Row],[套装册数]],"")</f>
        <v/>
      </c>
      <c r="AB28" s="329">
        <f>IFERROR(LEFT(书库[[#This Row],[系列]],FIND(" ",书库[[#This Row],[系列]])),书库[[#This Row],[系列]])</f>
        <v>0</v>
      </c>
      <c r="AC28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8" s="330" t="str">
        <f>IFERROR(LEFT(书库[[#This Row],[作者 For 统计]],FIND("1",书库[[#This Row],[作者 For 统计]])-1),书库[[#This Row],[作者 For 统计]])</f>
        <v/>
      </c>
      <c r="AE28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8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8" s="330" t="str">
        <f>IFERROR(MID(书库[[#This Row],[作者 For 统计]],FIND("3",书库[[#This Row],[作者 For 统计]])+1,LEN(书库[[#This Row],[第一作者 For 统计]])+1),"")</f>
        <v/>
      </c>
      <c r="AH28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8" s="330" t="str">
        <f>IFERROR(LEFT(书库[[#This Row],[译者 For 统计]],FIND("1",书库[[#This Row],[译者 For 统计]])-1),书库[[#This Row],[译者 For 统计]])</f>
        <v/>
      </c>
      <c r="AJ28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8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8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8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8" s="330" t="str">
        <f>IFERROR(LEFT(书库[[#This Row],[编者 For 统计]],FIND("1",书库[[#This Row],[编者 For 统计]])-1),书库[[#This Row],[编者 For 统计]])</f>
        <v/>
      </c>
      <c r="AO28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8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8" s="327" t="e">
        <f>IFERROR(书库[[#This Row],[套装册数]]/书库[[#This Row],[系列册数]],“”)</f>
        <v>#NAME?</v>
      </c>
      <c r="AR28" s="328">
        <f>DAY(书库[[#This Row],[印次]])</f>
        <v>0</v>
      </c>
    </row>
    <row r="29" spans="2:44" s="141" customFormat="1" ht="18" customHeight="1" x14ac:dyDescent="0.25">
      <c r="B29" s="320"/>
      <c r="C29" s="321"/>
      <c r="D29" s="321"/>
      <c r="E29" s="321"/>
      <c r="F29" s="321"/>
      <c r="G29" s="321"/>
      <c r="H29" s="321"/>
      <c r="I29" s="321"/>
      <c r="J29" s="322"/>
      <c r="K29" s="323"/>
      <c r="L29" s="324"/>
      <c r="M29" s="324"/>
      <c r="N29" s="325"/>
      <c r="O29" s="325"/>
      <c r="P29" s="328"/>
      <c r="Q29" s="326"/>
      <c r="R29" s="321"/>
      <c r="S29" s="274"/>
      <c r="T29" s="274"/>
      <c r="U29" s="327"/>
      <c r="V29" s="333"/>
      <c r="W29" s="321"/>
      <c r="X29" s="328"/>
      <c r="Y29" s="328"/>
      <c r="Z29" s="320"/>
      <c r="AA29" s="275" t="str">
        <f>IFERROR(书库[[#This Row],[购入价]]/书库[[#This Row],[套装册数]],"")</f>
        <v/>
      </c>
      <c r="AB29" s="329">
        <f>IFERROR(LEFT(书库[[#This Row],[系列]],FIND(" ",书库[[#This Row],[系列]])),书库[[#This Row],[系列]])</f>
        <v>0</v>
      </c>
      <c r="AC29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29" s="330" t="str">
        <f>IFERROR(LEFT(书库[[#This Row],[作者 For 统计]],FIND("1",书库[[#This Row],[作者 For 统计]])-1),书库[[#This Row],[作者 For 统计]])</f>
        <v/>
      </c>
      <c r="AE29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29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29" s="330" t="str">
        <f>IFERROR(MID(书库[[#This Row],[作者 For 统计]],FIND("3",书库[[#This Row],[作者 For 统计]])+1,LEN(书库[[#This Row],[第一作者 For 统计]])+1),"")</f>
        <v/>
      </c>
      <c r="AH29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29" s="330" t="str">
        <f>IFERROR(LEFT(书库[[#This Row],[译者 For 统计]],FIND("1",书库[[#This Row],[译者 For 统计]])-1),书库[[#This Row],[译者 For 统计]])</f>
        <v/>
      </c>
      <c r="AJ29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29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29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29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29" s="330" t="str">
        <f>IFERROR(LEFT(书库[[#This Row],[编者 For 统计]],FIND("1",书库[[#This Row],[编者 For 统计]])-1),书库[[#This Row],[编者 For 统计]])</f>
        <v/>
      </c>
      <c r="AO29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29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29" s="327" t="e">
        <f>IFERROR(书库[[#This Row],[套装册数]]/书库[[#This Row],[系列册数]],“”)</f>
        <v>#NAME?</v>
      </c>
      <c r="AR29" s="328">
        <f>DAY(书库[[#This Row],[印次]])</f>
        <v>0</v>
      </c>
    </row>
    <row r="30" spans="2:44" s="22" customFormat="1" ht="18" customHeight="1" x14ac:dyDescent="0.25">
      <c r="B30" s="320"/>
      <c r="C30" s="321"/>
      <c r="D30" s="321"/>
      <c r="E30" s="321"/>
      <c r="F30" s="321"/>
      <c r="G30" s="321"/>
      <c r="H30" s="321"/>
      <c r="I30" s="321"/>
      <c r="J30" s="322"/>
      <c r="K30" s="323"/>
      <c r="L30" s="324"/>
      <c r="M30" s="324"/>
      <c r="N30" s="325"/>
      <c r="O30" s="325"/>
      <c r="P30" s="328"/>
      <c r="Q30" s="326"/>
      <c r="R30" s="321"/>
      <c r="S30" s="274"/>
      <c r="T30" s="274"/>
      <c r="U30" s="327"/>
      <c r="V30" s="333"/>
      <c r="W30" s="321"/>
      <c r="X30" s="328"/>
      <c r="Y30" s="328"/>
      <c r="Z30" s="320"/>
      <c r="AA30" s="275" t="str">
        <f>IFERROR(书库[[#This Row],[购入价]]/书库[[#This Row],[套装册数]],"")</f>
        <v/>
      </c>
      <c r="AB30" s="329">
        <f>IFERROR(LEFT(书库[[#This Row],[系列]],FIND(" ",书库[[#This Row],[系列]])),书库[[#This Row],[系列]])</f>
        <v>0</v>
      </c>
      <c r="AC30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30" s="330" t="str">
        <f>IFERROR(LEFT(书库[[#This Row],[作者 For 统计]],FIND("1",书库[[#This Row],[作者 For 统计]])-1),书库[[#This Row],[作者 For 统计]])</f>
        <v/>
      </c>
      <c r="AE30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30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30" s="330" t="str">
        <f>IFERROR(MID(书库[[#This Row],[作者 For 统计]],FIND("3",书库[[#This Row],[作者 For 统计]])+1,LEN(书库[[#This Row],[第一作者 For 统计]])+1),"")</f>
        <v/>
      </c>
      <c r="AH30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30" s="330" t="str">
        <f>IFERROR(LEFT(书库[[#This Row],[译者 For 统计]],FIND("1",书库[[#This Row],[译者 For 统计]])-1),书库[[#This Row],[译者 For 统计]])</f>
        <v/>
      </c>
      <c r="AJ30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30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30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30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30" s="330" t="str">
        <f>IFERROR(LEFT(书库[[#This Row],[编者 For 统计]],FIND("1",书库[[#This Row],[编者 For 统计]])-1),书库[[#This Row],[编者 For 统计]])</f>
        <v/>
      </c>
      <c r="AO30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30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30" s="327" t="e">
        <f>IFERROR(书库[[#This Row],[套装册数]]/书库[[#This Row],[系列册数]],“”)</f>
        <v>#NAME?</v>
      </c>
      <c r="AR30" s="328">
        <f>DAY(书库[[#This Row],[印次]])</f>
        <v>0</v>
      </c>
    </row>
    <row r="31" spans="2:44" s="22" customFormat="1" ht="18" customHeight="1" x14ac:dyDescent="0.25">
      <c r="B31" s="320"/>
      <c r="C31" s="321"/>
      <c r="D31" s="321"/>
      <c r="E31" s="321"/>
      <c r="F31" s="321"/>
      <c r="G31" s="321"/>
      <c r="H31" s="321"/>
      <c r="I31" s="321"/>
      <c r="J31" s="322"/>
      <c r="K31" s="323"/>
      <c r="L31" s="324"/>
      <c r="M31" s="324"/>
      <c r="N31" s="325"/>
      <c r="O31" s="325"/>
      <c r="P31" s="328"/>
      <c r="Q31" s="326"/>
      <c r="R31" s="321"/>
      <c r="S31" s="274"/>
      <c r="T31" s="274"/>
      <c r="U31" s="327"/>
      <c r="V31" s="333"/>
      <c r="W31" s="321"/>
      <c r="X31" s="328"/>
      <c r="Y31" s="328"/>
      <c r="Z31" s="320"/>
      <c r="AA31" s="275" t="str">
        <f>IFERROR(书库[[#This Row],[购入价]]/书库[[#This Row],[套装册数]],"")</f>
        <v/>
      </c>
      <c r="AB31" s="329">
        <f>IFERROR(LEFT(书库[[#This Row],[系列]],FIND(" ",书库[[#This Row],[系列]])),书库[[#This Row],[系列]])</f>
        <v>0</v>
      </c>
      <c r="AC31" s="330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31" s="330" t="str">
        <f>IFERROR(LEFT(书库[[#This Row],[作者 For 统计]],FIND("1",书库[[#This Row],[作者 For 统计]])-1),书库[[#This Row],[作者 For 统计]])</f>
        <v/>
      </c>
      <c r="AE31" s="330" t="str">
        <f>IFERROR(MID(书库[[#This Row],[作者 For 统计]],FIND("1",书库[[#This Row],[作者 For 统计]])+1,FIND("2",书库[[#This Row],[作者 For 统计]])-FIND("1",书库[[#This Row],[作者 For 统计]])-1),"")</f>
        <v/>
      </c>
      <c r="AF31" s="330" t="str">
        <f>IFERROR(MID(书库[[#This Row],[作者 For 统计]],FIND("2",书库[[#This Row],[作者 For 统计]])+1,FIND("3",书库[[#This Row],[作者 For 统计]])-FIND("2",书库[[#This Row],[作者 For 统计]])-1),"")</f>
        <v/>
      </c>
      <c r="AG31" s="330" t="str">
        <f>IFERROR(MID(书库[[#This Row],[作者 For 统计]],FIND("3",书库[[#This Row],[作者 For 统计]])+1,LEN(书库[[#This Row],[第一作者 For 统计]])+1),"")</f>
        <v/>
      </c>
      <c r="AH31" s="330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31" s="330" t="str">
        <f>IFERROR(LEFT(书库[[#This Row],[译者 For 统计]],FIND("1",书库[[#This Row],[译者 For 统计]])-1),书库[[#This Row],[译者 For 统计]])</f>
        <v/>
      </c>
      <c r="AJ31" s="330" t="str">
        <f>IFERROR(MID(书库[[#This Row],[译者 For 统计]],FIND("1",书库[[#This Row],[译者 For 统计]])+1,FIND("2",书库[[#This Row],[译者 For 统计]])-FIND("1",书库[[#This Row],[译者 For 统计]])-1),"")</f>
        <v/>
      </c>
      <c r="AK31" s="330" t="str">
        <f>IFERROR(MID(书库[[#This Row],[译者 For 统计]],FIND("2",书库[[#This Row],[译者 For 统计]])+1,FIND("3",书库[[#This Row],[译者 For 统计]])-FIND("2",书库[[#This Row],[译者 For 统计]])-1),"")</f>
        <v/>
      </c>
      <c r="AL31" s="330" t="str">
        <f>IFERROR(MID(书库[[#This Row],[译者 For 统计]],FIND("3",书库[[#This Row],[译者 For 统计]])+1,FIND("4",书库[[#This Row],[译者 For 统计]])-FIND("3",书库[[#This Row],[译者 For 统计]])-1),"")</f>
        <v/>
      </c>
      <c r="AM31" s="330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31" s="330" t="str">
        <f>IFERROR(LEFT(书库[[#This Row],[编者 For 统计]],FIND("1",书库[[#This Row],[编者 For 统计]])-1),书库[[#This Row],[编者 For 统计]])</f>
        <v/>
      </c>
      <c r="AO31" s="330" t="str">
        <f>IFERROR(MID(书库[[#This Row],[编者 For 统计]],FIND("1",书库[[#This Row],[编者 For 统计]])+1,FIND("2",书库[[#This Row],[编者 For 统计]])-FIND("1",书库[[#This Row],[编者 For 统计]])-1),"")</f>
        <v/>
      </c>
      <c r="AP31" s="330" t="str">
        <f>IFERROR(MID(书库[[#This Row],[编者 For 统计]],FIND("2",书库[[#This Row],[编者 For 统计]])+1,FIND("3",书库[[#This Row],[编者 For 统计]])-FIND("2",书库[[#This Row],[编者 For 统计]])-1),"")</f>
        <v/>
      </c>
      <c r="AQ31" s="327" t="e">
        <f>IFERROR(书库[[#This Row],[套装册数]]/书库[[#This Row],[系列册数]],“”)</f>
        <v>#NAME?</v>
      </c>
      <c r="AR31" s="328">
        <f>DAY(书库[[#This Row],[印次]])</f>
        <v>0</v>
      </c>
    </row>
    <row r="32" spans="2:44" s="22" customFormat="1" ht="18" customHeight="1" x14ac:dyDescent="0.25">
      <c r="B32" s="320"/>
      <c r="C32" s="333"/>
      <c r="D32" s="333"/>
      <c r="E32" s="333"/>
      <c r="F32" s="333"/>
      <c r="G32" s="333"/>
      <c r="H32" s="333"/>
      <c r="I32" s="333"/>
      <c r="J32" s="340"/>
      <c r="K32" s="341"/>
      <c r="L32" s="342"/>
      <c r="M32" s="342"/>
      <c r="N32" s="343"/>
      <c r="O32" s="343"/>
      <c r="P32" s="335"/>
      <c r="Q32" s="334"/>
      <c r="R32" s="333"/>
      <c r="S32" s="274"/>
      <c r="T32" s="274"/>
      <c r="U32" s="337"/>
      <c r="V32" s="333"/>
      <c r="W32" s="333"/>
      <c r="X32" s="335"/>
      <c r="Y32" s="335"/>
      <c r="Z32" s="336"/>
      <c r="AA32" s="276" t="str">
        <f>IFERROR(书库[[#This Row],[购入价]]/书库[[#This Row],[套装册数]],"")</f>
        <v/>
      </c>
      <c r="AB32" s="338">
        <f>IFERROR(LEFT(书库[[#This Row],[系列]],FIND(" ",书库[[#This Row],[系列]])),书库[[#This Row],[系列]])</f>
        <v>0</v>
      </c>
      <c r="AC32" s="339" t="str">
        <f>SUBSTITUTE(SUBSTITUTE(SUBSTITUTE(SUBSTITUTE(SUBSTITUTE(SUBSTITUTE(SUBSTITUTE(SUBSTITUTE(SUBSTITUTE(SUBSTITUTE(SUBSTITUTE(SUBSTITUTE(SUBSTITUTE(SUBSTITUTE(SUBSTITUTE(SUBSTITUTE(SUBSTITUTE(SUBSTITUTE(SUBSTITUTE(SUBSTITUTE(SUBSTITUTE(书库[[#This Row],[作者]],"  等",""),"  ","1",1),"  ","2",1),"  ","3",1),"/著",""),"/主编",""),"/编撰",""),"/编校",""),"/辑撰",""),"/编",""),"/注",""),"/译注",""),"/校",""),"/点校",""),"/辑校",""),"/绘",""),"/摄",""),"/图",""),"/批评",""),"/订补",""),"/笺注","")</f>
        <v/>
      </c>
      <c r="AD32" s="339" t="str">
        <f>IFERROR(LEFT(书库[[#This Row],[作者 For 统计]],FIND("1",书库[[#This Row],[作者 For 统计]])-1),书库[[#This Row],[作者 For 统计]])</f>
        <v/>
      </c>
      <c r="AE32" s="339" t="str">
        <f>IFERROR(MID(书库[[#This Row],[作者 For 统计]],FIND("1",书库[[#This Row],[作者 For 统计]])+1,FIND("2",书库[[#This Row],[作者 For 统计]])-FIND("1",书库[[#This Row],[作者 For 统计]])-1),"")</f>
        <v/>
      </c>
      <c r="AF32" s="339" t="str">
        <f>IFERROR(MID(书库[[#This Row],[作者 For 统计]],FIND("2",书库[[#This Row],[作者 For 统计]])+1,FIND("3",书库[[#This Row],[作者 For 统计]])-FIND("2",书库[[#This Row],[作者 For 统计]])-1),"")</f>
        <v/>
      </c>
      <c r="AG32" s="339" t="str">
        <f>IFERROR(MID(书库[[#This Row],[作者 For 统计]],FIND("3",书库[[#This Row],[作者 For 统计]])+1,LEN(书库[[#This Row],[第一作者 For 统计]])+1),"")</f>
        <v/>
      </c>
      <c r="AH32" s="339" t="str">
        <f>SUBSTITUTE(SUBSTITUTE(SUBSTITUTE(SUBSTITUTE(SUBSTITUTE(SUBSTITUTE(SUBSTITUTE(SUBSTITUTE(SUBSTITUTE(SUBSTITUTE(SUBSTITUTE(SUBSTITUTE(SUBSTITUTE(SUBSTITUTE(书库[[#This Row],[译者]],"  等",""),"  ","1",1),"  ","2",1),"  ","3",1),"  ","4",1),"/译",""),"/校译",""),"/校",""),"/补译",""),"/原译",""),"/重译",""),"/英译",""),"/中译",""),"/","")</f>
        <v/>
      </c>
      <c r="AI32" s="339" t="str">
        <f>IFERROR(LEFT(书库[[#This Row],[译者 For 统计]],FIND("1",书库[[#This Row],[译者 For 统计]])-1),书库[[#This Row],[译者 For 统计]])</f>
        <v/>
      </c>
      <c r="AJ32" s="339" t="str">
        <f>IFERROR(MID(书库[[#This Row],[译者 For 统计]],FIND("1",书库[[#This Row],[译者 For 统计]])+1,FIND("2",书库[[#This Row],[译者 For 统计]])-FIND("1",书库[[#This Row],[译者 For 统计]])-1),"")</f>
        <v/>
      </c>
      <c r="AK32" s="339" t="str">
        <f>IFERROR(MID(书库[[#This Row],[译者 For 统计]],FIND("2",书库[[#This Row],[译者 For 统计]])+1,FIND("3",书库[[#This Row],[译者 For 统计]])-FIND("2",书库[[#This Row],[译者 For 统计]])-1),"")</f>
        <v/>
      </c>
      <c r="AL32" s="339" t="str">
        <f>IFERROR(MID(书库[[#This Row],[译者 For 统计]],FIND("3",书库[[#This Row],[译者 For 统计]])+1,FIND("4",书库[[#This Row],[译者 For 统计]])-FIND("3",书库[[#This Row],[译者 For 统计]])-1),"")</f>
        <v/>
      </c>
      <c r="AM32" s="339" t="str">
        <f>IFERROR(SUBSTITUTE(SUBSTITUTE(IFERROR(MID(书库[[#This Row],[作者]],IF(ISERROR(FIND("/著",书库[[#This Row],[作者]])),1,FIND("/著",书库[[#This Row],[作者]])+4),FIND("/编",书库[[#This Row],[作者]])-IF(ISERROR(FIND("/著",书库[[#This Row],[作者]])),1,FIND("/著",书库[[#This Row],[作者]])+4)),MID(书库[[#This Row],[作者]],IF(ISERROR(FIND("/著",书库[[#This Row],[作者]])),1,FIND("/著",书库[[#This Row],[作者]])+4),FIND("/主编",书库[[#This Row],[作者]])-IF(ISERROR(FIND("/著",书库[[#This Row],[作者]])),1,FIND("/著",书库[[#This Row],[作者]])+4))),"  ","1",1),"  ","2",1),"")</f>
        <v/>
      </c>
      <c r="AN32" s="339" t="str">
        <f>IFERROR(LEFT(书库[[#This Row],[编者 For 统计]],FIND("1",书库[[#This Row],[编者 For 统计]])-1),书库[[#This Row],[编者 For 统计]])</f>
        <v/>
      </c>
      <c r="AO32" s="339" t="str">
        <f>IFERROR(MID(书库[[#This Row],[编者 For 统计]],FIND("1",书库[[#This Row],[编者 For 统计]])+1,FIND("2",书库[[#This Row],[编者 For 统计]])-FIND("1",书库[[#This Row],[编者 For 统计]])-1),"")</f>
        <v/>
      </c>
      <c r="AP32" s="339" t="str">
        <f>IFERROR(MID(书库[[#This Row],[编者 For 统计]],FIND("2",书库[[#This Row],[编者 For 统计]])+1,FIND("3",书库[[#This Row],[编者 For 统计]])-FIND("2",书库[[#This Row],[编者 For 统计]])-1),"")</f>
        <v/>
      </c>
      <c r="AQ32" s="337" t="e">
        <f>IFERROR(书库[[#This Row],[套装册数]]/书库[[#This Row],[系列册数]],“”)</f>
        <v>#NAME?</v>
      </c>
      <c r="AR32" s="335">
        <f>DAY(书库[[#This Row],[印次]])</f>
        <v>0</v>
      </c>
    </row>
    <row r="33" spans="2:44" s="22" customFormat="1" ht="18" customHeight="1" x14ac:dyDescent="0.25">
      <c r="B33" s="145"/>
      <c r="C33" s="139"/>
      <c r="D33" s="146"/>
      <c r="E33" s="139"/>
      <c r="F33" s="139"/>
      <c r="G33" s="139"/>
      <c r="H33" s="139"/>
      <c r="I33" s="139"/>
      <c r="J33" s="139"/>
      <c r="K33" s="139"/>
      <c r="L33" s="243"/>
      <c r="M33" s="243"/>
      <c r="N33" s="139"/>
      <c r="O33" s="139"/>
      <c r="P33" s="139"/>
      <c r="Q33" s="147"/>
      <c r="R33" s="139"/>
      <c r="S33" s="139"/>
      <c r="T33" s="139"/>
      <c r="U33" s="139"/>
      <c r="V33" s="139"/>
      <c r="W33" s="139"/>
      <c r="X33" s="146"/>
      <c r="Y33" s="148"/>
      <c r="Z33" s="145"/>
      <c r="AA33" s="139"/>
      <c r="AB33" s="149"/>
      <c r="AC33" s="119"/>
      <c r="AD33" s="139"/>
      <c r="AE33" s="139"/>
      <c r="AF33" s="139"/>
      <c r="AG33" s="139"/>
      <c r="AH33" s="139"/>
      <c r="AI33" s="139"/>
      <c r="AJ33" s="139"/>
      <c r="AK33" s="139"/>
      <c r="AL33" s="139"/>
      <c r="AM33" s="139"/>
      <c r="AN33" s="139"/>
      <c r="AO33" s="139"/>
      <c r="AP33" s="139"/>
      <c r="AQ33" s="174"/>
      <c r="AR33" s="222"/>
    </row>
    <row r="34" spans="2:44" s="22" customFormat="1" ht="18" customHeight="1" x14ac:dyDescent="0.25">
      <c r="B34" s="145"/>
      <c r="C34" s="139"/>
      <c r="D34" s="146"/>
      <c r="E34" s="139"/>
      <c r="F34" s="139"/>
      <c r="G34" s="139"/>
      <c r="H34" s="139"/>
      <c r="I34" s="139"/>
      <c r="J34" s="139"/>
      <c r="K34" s="139"/>
      <c r="L34" s="243"/>
      <c r="M34" s="243"/>
      <c r="N34" s="139"/>
      <c r="O34" s="139"/>
      <c r="P34" s="139"/>
      <c r="Q34" s="147"/>
      <c r="R34" s="139"/>
      <c r="S34" s="139"/>
      <c r="T34" s="139"/>
      <c r="U34" s="139"/>
      <c r="V34" s="139"/>
      <c r="W34" s="139"/>
      <c r="X34" s="146"/>
      <c r="Y34" s="148"/>
      <c r="Z34" s="145"/>
      <c r="AA34" s="139"/>
      <c r="AB34" s="149"/>
      <c r="AC34" s="119"/>
      <c r="AD34" s="139"/>
      <c r="AE34" s="139"/>
      <c r="AF34" s="139"/>
      <c r="AG34" s="139"/>
      <c r="AH34" s="139"/>
      <c r="AI34" s="139"/>
      <c r="AJ34" s="139"/>
      <c r="AK34" s="139"/>
      <c r="AL34" s="139"/>
      <c r="AM34" s="139"/>
      <c r="AN34" s="139"/>
      <c r="AO34" s="139"/>
      <c r="AP34" s="139"/>
      <c r="AQ34" s="174"/>
      <c r="AR34" s="222"/>
    </row>
    <row r="35" spans="2:44" s="22" customFormat="1" ht="18" customHeight="1" x14ac:dyDescent="0.25">
      <c r="B35" s="145"/>
      <c r="C35" s="139"/>
      <c r="D35" s="146"/>
      <c r="E35" s="139"/>
      <c r="F35" s="139"/>
      <c r="G35" s="139"/>
      <c r="H35" s="139"/>
      <c r="I35" s="139"/>
      <c r="J35" s="139"/>
      <c r="K35" s="139"/>
      <c r="L35" s="243"/>
      <c r="M35" s="243"/>
      <c r="N35" s="139"/>
      <c r="O35" s="139"/>
      <c r="P35" s="139"/>
      <c r="Q35" s="147"/>
      <c r="R35" s="139"/>
      <c r="S35" s="139"/>
      <c r="T35" s="139"/>
      <c r="U35" s="139"/>
      <c r="V35" s="139"/>
      <c r="W35" s="139"/>
      <c r="X35" s="146"/>
      <c r="Y35" s="148"/>
      <c r="Z35" s="145"/>
      <c r="AA35" s="139"/>
      <c r="AB35" s="149"/>
      <c r="AC35" s="119"/>
      <c r="AD35" s="139"/>
      <c r="AE35" s="139"/>
      <c r="AF35" s="139"/>
      <c r="AG35" s="139"/>
      <c r="AH35" s="139"/>
      <c r="AI35" s="139"/>
      <c r="AJ35" s="139"/>
      <c r="AK35" s="139"/>
      <c r="AL35" s="139"/>
      <c r="AM35" s="139"/>
      <c r="AN35" s="139"/>
      <c r="AO35" s="139"/>
      <c r="AP35" s="139"/>
      <c r="AQ35" s="174"/>
      <c r="AR35" s="222"/>
    </row>
    <row r="36" spans="2:44" s="22" customFormat="1" ht="18" customHeight="1" x14ac:dyDescent="0.25">
      <c r="B36" s="145"/>
      <c r="C36" s="139"/>
      <c r="D36" s="146"/>
      <c r="E36" s="139"/>
      <c r="F36" s="139"/>
      <c r="G36" s="139"/>
      <c r="H36" s="139"/>
      <c r="I36" s="139"/>
      <c r="J36" s="139"/>
      <c r="K36" s="139"/>
      <c r="L36" s="243"/>
      <c r="M36" s="243"/>
      <c r="N36" s="139"/>
      <c r="O36" s="139"/>
      <c r="P36" s="139"/>
      <c r="Q36" s="147"/>
      <c r="R36" s="139"/>
      <c r="S36" s="139"/>
      <c r="T36" s="139"/>
      <c r="U36" s="139"/>
      <c r="V36" s="139"/>
      <c r="W36" s="139"/>
      <c r="X36" s="146"/>
      <c r="Y36" s="148"/>
      <c r="Z36" s="145"/>
      <c r="AA36" s="139"/>
      <c r="AB36" s="149"/>
      <c r="AC36" s="119"/>
      <c r="AD36" s="139"/>
      <c r="AE36" s="139"/>
      <c r="AF36" s="139"/>
      <c r="AG36" s="139"/>
      <c r="AH36" s="139"/>
      <c r="AI36" s="139"/>
      <c r="AJ36" s="139"/>
      <c r="AK36" s="139"/>
      <c r="AL36" s="139"/>
      <c r="AM36" s="139"/>
      <c r="AN36" s="139"/>
      <c r="AO36" s="139"/>
      <c r="AP36" s="139"/>
      <c r="AQ36" s="174"/>
      <c r="AR36" s="222"/>
    </row>
    <row r="37" spans="2:44" s="141" customFormat="1" ht="18" customHeight="1" x14ac:dyDescent="0.25">
      <c r="B37" s="145"/>
      <c r="C37" s="139"/>
      <c r="D37" s="146"/>
      <c r="E37" s="139"/>
      <c r="F37" s="139"/>
      <c r="G37" s="139"/>
      <c r="H37" s="139"/>
      <c r="I37" s="139"/>
      <c r="J37" s="139"/>
      <c r="K37" s="139"/>
      <c r="L37" s="243"/>
      <c r="M37" s="243"/>
      <c r="N37" s="139"/>
      <c r="O37" s="139"/>
      <c r="P37" s="139"/>
      <c r="Q37" s="147"/>
      <c r="R37" s="139"/>
      <c r="S37" s="139"/>
      <c r="T37" s="139"/>
      <c r="U37" s="139"/>
      <c r="V37" s="139"/>
      <c r="W37" s="139"/>
      <c r="X37" s="146"/>
      <c r="Y37" s="148"/>
      <c r="Z37" s="145"/>
      <c r="AA37" s="139"/>
      <c r="AB37" s="149"/>
      <c r="AC37" s="119"/>
      <c r="AD37" s="139"/>
      <c r="AE37" s="139"/>
      <c r="AF37" s="139"/>
      <c r="AG37" s="139"/>
      <c r="AH37" s="139"/>
      <c r="AI37" s="139"/>
      <c r="AJ37" s="139"/>
      <c r="AK37" s="139"/>
      <c r="AL37" s="139"/>
      <c r="AM37" s="139"/>
      <c r="AN37" s="139"/>
      <c r="AO37" s="139"/>
      <c r="AP37" s="139"/>
      <c r="AQ37" s="174"/>
      <c r="AR37" s="222"/>
    </row>
    <row r="38" spans="2:44" s="140" customFormat="1" ht="18" customHeight="1" x14ac:dyDescent="0.25">
      <c r="B38" s="145"/>
      <c r="C38" s="139"/>
      <c r="D38" s="146"/>
      <c r="E38" s="139"/>
      <c r="F38" s="139"/>
      <c r="G38" s="139"/>
      <c r="H38" s="139"/>
      <c r="I38" s="139"/>
      <c r="J38" s="139"/>
      <c r="K38" s="139"/>
      <c r="L38" s="243"/>
      <c r="M38" s="243"/>
      <c r="N38" s="139"/>
      <c r="O38" s="139"/>
      <c r="P38" s="139"/>
      <c r="Q38" s="147"/>
      <c r="R38" s="139"/>
      <c r="S38" s="139"/>
      <c r="T38" s="139"/>
      <c r="U38" s="139"/>
      <c r="V38" s="139"/>
      <c r="W38" s="139"/>
      <c r="X38" s="146"/>
      <c r="Y38" s="148"/>
      <c r="Z38" s="145"/>
      <c r="AA38" s="139"/>
      <c r="AB38" s="149"/>
      <c r="AC38" s="119"/>
      <c r="AD38" s="139"/>
      <c r="AE38" s="139"/>
      <c r="AF38" s="139"/>
      <c r="AG38" s="139"/>
      <c r="AH38" s="139"/>
      <c r="AI38" s="139"/>
      <c r="AJ38" s="139"/>
      <c r="AK38" s="139"/>
      <c r="AL38" s="139"/>
      <c r="AM38" s="139"/>
      <c r="AN38" s="139"/>
      <c r="AO38" s="139"/>
      <c r="AP38" s="139"/>
      <c r="AQ38" s="174"/>
      <c r="AR38" s="222"/>
    </row>
    <row r="39" spans="2:44" s="141" customFormat="1" ht="18" customHeight="1" x14ac:dyDescent="0.25">
      <c r="B39" s="145"/>
      <c r="C39" s="139"/>
      <c r="D39" s="146"/>
      <c r="E39" s="139"/>
      <c r="F39" s="139"/>
      <c r="G39" s="139"/>
      <c r="H39" s="139"/>
      <c r="I39" s="139"/>
      <c r="J39" s="139"/>
      <c r="K39" s="139"/>
      <c r="L39" s="243"/>
      <c r="M39" s="243"/>
      <c r="N39" s="139"/>
      <c r="O39" s="139"/>
      <c r="P39" s="139"/>
      <c r="Q39" s="147"/>
      <c r="R39" s="139"/>
      <c r="S39" s="139"/>
      <c r="T39" s="139"/>
      <c r="U39" s="139"/>
      <c r="V39" s="139"/>
      <c r="W39" s="139"/>
      <c r="X39" s="146"/>
      <c r="Y39" s="148"/>
      <c r="Z39" s="145"/>
      <c r="AA39" s="139"/>
      <c r="AB39" s="149"/>
      <c r="AC39" s="119"/>
      <c r="AD39" s="139"/>
      <c r="AE39" s="139"/>
      <c r="AF39" s="139"/>
      <c r="AG39" s="139"/>
      <c r="AH39" s="139"/>
      <c r="AI39" s="139"/>
      <c r="AJ39" s="139"/>
      <c r="AK39" s="139"/>
      <c r="AL39" s="139"/>
      <c r="AM39" s="139"/>
      <c r="AN39" s="139"/>
      <c r="AO39" s="139"/>
      <c r="AP39" s="139"/>
      <c r="AQ39" s="174"/>
      <c r="AR39" s="222"/>
    </row>
    <row r="40" spans="2:44" s="22" customFormat="1" ht="18" customHeight="1" x14ac:dyDescent="0.25">
      <c r="B40" s="145"/>
      <c r="C40" s="139"/>
      <c r="D40" s="146"/>
      <c r="E40" s="139"/>
      <c r="F40" s="139"/>
      <c r="G40" s="139"/>
      <c r="H40" s="139"/>
      <c r="I40" s="139"/>
      <c r="J40" s="139"/>
      <c r="K40" s="139"/>
      <c r="L40" s="243"/>
      <c r="M40" s="243"/>
      <c r="N40" s="139"/>
      <c r="O40" s="139"/>
      <c r="P40" s="139"/>
      <c r="Q40" s="147"/>
      <c r="R40" s="139"/>
      <c r="S40" s="139"/>
      <c r="T40" s="139"/>
      <c r="U40" s="139"/>
      <c r="V40" s="139"/>
      <c r="W40" s="139"/>
      <c r="X40" s="146"/>
      <c r="Y40" s="148"/>
      <c r="Z40" s="145"/>
      <c r="AA40" s="139"/>
      <c r="AB40" s="149"/>
      <c r="AC40" s="119"/>
      <c r="AD40" s="139"/>
      <c r="AE40" s="139"/>
      <c r="AF40" s="139"/>
      <c r="AG40" s="139"/>
      <c r="AH40" s="139"/>
      <c r="AI40" s="139"/>
      <c r="AJ40" s="139"/>
      <c r="AK40" s="139"/>
      <c r="AL40" s="139"/>
      <c r="AM40" s="139"/>
      <c r="AN40" s="139"/>
      <c r="AO40" s="139"/>
      <c r="AP40" s="139"/>
      <c r="AQ40" s="174"/>
      <c r="AR40" s="222"/>
    </row>
    <row r="41" spans="2:44" s="22" customFormat="1" ht="18" customHeight="1" x14ac:dyDescent="0.25">
      <c r="B41" s="145"/>
      <c r="C41" s="139"/>
      <c r="D41" s="146"/>
      <c r="E41" s="139"/>
      <c r="F41" s="139"/>
      <c r="G41" s="139"/>
      <c r="H41" s="139"/>
      <c r="I41" s="139"/>
      <c r="J41" s="139"/>
      <c r="K41" s="139"/>
      <c r="L41" s="243"/>
      <c r="M41" s="243"/>
      <c r="N41" s="139"/>
      <c r="O41" s="139"/>
      <c r="P41" s="139"/>
      <c r="Q41" s="147"/>
      <c r="R41" s="139"/>
      <c r="S41" s="139"/>
      <c r="T41" s="139"/>
      <c r="U41" s="139"/>
      <c r="V41" s="139"/>
      <c r="W41" s="139"/>
      <c r="X41" s="146"/>
      <c r="Y41" s="148"/>
      <c r="Z41" s="145"/>
      <c r="AA41" s="139"/>
      <c r="AB41" s="149"/>
      <c r="AC41" s="11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  <c r="AO41" s="139"/>
      <c r="AP41" s="139"/>
      <c r="AQ41" s="174"/>
      <c r="AR41" s="222"/>
    </row>
    <row r="42" spans="2:44" s="22" customFormat="1" ht="18" customHeight="1" x14ac:dyDescent="0.25">
      <c r="B42" s="145"/>
      <c r="C42" s="139"/>
      <c r="D42" s="146"/>
      <c r="E42" s="139"/>
      <c r="F42" s="139"/>
      <c r="G42" s="139"/>
      <c r="H42" s="139"/>
      <c r="I42" s="139"/>
      <c r="J42" s="139"/>
      <c r="K42" s="139"/>
      <c r="L42" s="243"/>
      <c r="M42" s="243"/>
      <c r="N42" s="139"/>
      <c r="O42" s="139"/>
      <c r="P42" s="139"/>
      <c r="Q42" s="147"/>
      <c r="R42" s="139"/>
      <c r="S42" s="139"/>
      <c r="T42" s="139"/>
      <c r="U42" s="139"/>
      <c r="V42" s="139"/>
      <c r="W42" s="139"/>
      <c r="X42" s="146"/>
      <c r="Y42" s="148"/>
      <c r="Z42" s="145"/>
      <c r="AA42" s="139"/>
      <c r="AB42" s="149"/>
      <c r="AC42" s="11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  <c r="AO42" s="139"/>
      <c r="AP42" s="139"/>
      <c r="AQ42" s="174"/>
      <c r="AR42" s="222"/>
    </row>
    <row r="43" spans="2:44" s="22" customFormat="1" ht="18" customHeight="1" x14ac:dyDescent="0.25">
      <c r="B43" s="145"/>
      <c r="C43" s="139"/>
      <c r="D43" s="146"/>
      <c r="E43" s="139"/>
      <c r="F43" s="139"/>
      <c r="G43" s="139"/>
      <c r="H43" s="139"/>
      <c r="I43" s="139"/>
      <c r="J43" s="139"/>
      <c r="K43" s="139"/>
      <c r="L43" s="243"/>
      <c r="M43" s="243"/>
      <c r="N43" s="139"/>
      <c r="O43" s="139"/>
      <c r="P43" s="139"/>
      <c r="Q43" s="147"/>
      <c r="R43" s="139"/>
      <c r="S43" s="139"/>
      <c r="T43" s="139"/>
      <c r="U43" s="139"/>
      <c r="V43" s="139"/>
      <c r="W43" s="139"/>
      <c r="X43" s="146"/>
      <c r="Y43" s="148"/>
      <c r="Z43" s="145"/>
      <c r="AA43" s="139"/>
      <c r="AB43" s="149"/>
      <c r="AC43" s="119"/>
      <c r="AD43" s="139"/>
      <c r="AE43" s="139"/>
      <c r="AF43" s="139"/>
      <c r="AG43" s="139"/>
      <c r="AH43" s="139"/>
      <c r="AI43" s="139"/>
      <c r="AJ43" s="139"/>
      <c r="AK43" s="139"/>
      <c r="AL43" s="139"/>
      <c r="AM43" s="139"/>
      <c r="AN43" s="139"/>
      <c r="AO43" s="139"/>
      <c r="AP43" s="139"/>
      <c r="AQ43" s="174"/>
      <c r="AR43" s="222"/>
    </row>
    <row r="44" spans="2:44" s="22" customFormat="1" ht="18" customHeight="1" x14ac:dyDescent="0.25">
      <c r="B44" s="145"/>
      <c r="C44" s="139"/>
      <c r="D44" s="146"/>
      <c r="E44" s="139"/>
      <c r="F44" s="139"/>
      <c r="G44" s="139"/>
      <c r="H44" s="139"/>
      <c r="I44" s="139"/>
      <c r="J44" s="139"/>
      <c r="K44" s="139"/>
      <c r="L44" s="243"/>
      <c r="M44" s="243"/>
      <c r="N44" s="139"/>
      <c r="O44" s="139"/>
      <c r="P44" s="139"/>
      <c r="Q44" s="147"/>
      <c r="R44" s="139"/>
      <c r="S44" s="139"/>
      <c r="T44" s="139"/>
      <c r="U44" s="139"/>
      <c r="V44" s="139"/>
      <c r="W44" s="139"/>
      <c r="X44" s="146"/>
      <c r="Y44" s="148"/>
      <c r="Z44" s="145"/>
      <c r="AA44" s="139"/>
      <c r="AB44" s="149"/>
      <c r="AC44" s="11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39"/>
      <c r="AO44" s="139"/>
      <c r="AP44" s="139"/>
      <c r="AQ44" s="174"/>
      <c r="AR44" s="222"/>
    </row>
    <row r="45" spans="2:44" s="140" customFormat="1" ht="18" customHeight="1" x14ac:dyDescent="0.25">
      <c r="B45" s="145"/>
      <c r="C45" s="139"/>
      <c r="D45" s="146"/>
      <c r="E45" s="139"/>
      <c r="F45" s="139"/>
      <c r="G45" s="139"/>
      <c r="H45" s="139"/>
      <c r="I45" s="139"/>
      <c r="J45" s="139"/>
      <c r="K45" s="139"/>
      <c r="L45" s="243"/>
      <c r="M45" s="243"/>
      <c r="N45" s="139"/>
      <c r="O45" s="139"/>
      <c r="P45" s="139"/>
      <c r="Q45" s="147"/>
      <c r="R45" s="139"/>
      <c r="S45" s="139"/>
      <c r="T45" s="139"/>
      <c r="U45" s="139"/>
      <c r="V45" s="139"/>
      <c r="W45" s="139"/>
      <c r="X45" s="146"/>
      <c r="Y45" s="148"/>
      <c r="Z45" s="145"/>
      <c r="AA45" s="139"/>
      <c r="AB45" s="149"/>
      <c r="AC45" s="11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  <c r="AO45" s="139"/>
      <c r="AP45" s="139"/>
      <c r="AQ45" s="174"/>
      <c r="AR45" s="222"/>
    </row>
    <row r="46" spans="2:44" s="22" customFormat="1" ht="18" customHeight="1" x14ac:dyDescent="0.25">
      <c r="B46" s="145"/>
      <c r="C46" s="139"/>
      <c r="D46" s="146"/>
      <c r="E46" s="139"/>
      <c r="F46" s="139"/>
      <c r="G46" s="139"/>
      <c r="H46" s="139"/>
      <c r="I46" s="139"/>
      <c r="J46" s="139"/>
      <c r="K46" s="139"/>
      <c r="L46" s="243"/>
      <c r="M46" s="243"/>
      <c r="N46" s="139"/>
      <c r="O46" s="139"/>
      <c r="P46" s="139"/>
      <c r="Q46" s="147"/>
      <c r="R46" s="139"/>
      <c r="S46" s="139"/>
      <c r="T46" s="139"/>
      <c r="U46" s="139"/>
      <c r="V46" s="139"/>
      <c r="W46" s="139"/>
      <c r="X46" s="146"/>
      <c r="Y46" s="148"/>
      <c r="Z46" s="145"/>
      <c r="AA46" s="139"/>
      <c r="AB46" s="149"/>
      <c r="AC46" s="119"/>
      <c r="AD46" s="139"/>
      <c r="AE46" s="139"/>
      <c r="AF46" s="139"/>
      <c r="AG46" s="139"/>
      <c r="AH46" s="139"/>
      <c r="AI46" s="139"/>
      <c r="AJ46" s="139"/>
      <c r="AK46" s="139"/>
      <c r="AL46" s="139"/>
      <c r="AM46" s="139"/>
      <c r="AN46" s="139"/>
      <c r="AO46" s="139"/>
      <c r="AP46" s="139"/>
      <c r="AQ46" s="174"/>
      <c r="AR46" s="222"/>
    </row>
    <row r="47" spans="2:44" s="22" customFormat="1" ht="18" customHeight="1" x14ac:dyDescent="0.25">
      <c r="B47" s="145"/>
      <c r="C47" s="139"/>
      <c r="D47" s="146"/>
      <c r="E47" s="139"/>
      <c r="F47" s="139"/>
      <c r="G47" s="139"/>
      <c r="H47" s="139"/>
      <c r="I47" s="139"/>
      <c r="J47" s="139"/>
      <c r="K47" s="139"/>
      <c r="L47" s="243"/>
      <c r="M47" s="243"/>
      <c r="N47" s="139"/>
      <c r="O47" s="139"/>
      <c r="P47" s="139"/>
      <c r="Q47" s="147"/>
      <c r="R47" s="139"/>
      <c r="S47" s="139"/>
      <c r="T47" s="139"/>
      <c r="U47" s="139"/>
      <c r="V47" s="139"/>
      <c r="W47" s="139"/>
      <c r="X47" s="146"/>
      <c r="Y47" s="148"/>
      <c r="Z47" s="145"/>
      <c r="AA47" s="139"/>
      <c r="AB47" s="149"/>
      <c r="AC47" s="11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74"/>
      <c r="AR47" s="222"/>
    </row>
    <row r="48" spans="2:44" s="22" customFormat="1" ht="18" customHeight="1" x14ac:dyDescent="0.25">
      <c r="B48" s="145"/>
      <c r="C48" s="139"/>
      <c r="D48" s="146"/>
      <c r="E48" s="139"/>
      <c r="F48" s="139"/>
      <c r="G48" s="139"/>
      <c r="H48" s="139"/>
      <c r="I48" s="139"/>
      <c r="J48" s="139"/>
      <c r="K48" s="139"/>
      <c r="L48" s="243"/>
      <c r="M48" s="243"/>
      <c r="N48" s="139"/>
      <c r="O48" s="139"/>
      <c r="P48" s="139"/>
      <c r="Q48" s="147"/>
      <c r="R48" s="139"/>
      <c r="S48" s="139"/>
      <c r="T48" s="139"/>
      <c r="U48" s="139"/>
      <c r="V48" s="139"/>
      <c r="W48" s="139"/>
      <c r="X48" s="146"/>
      <c r="Y48" s="148"/>
      <c r="Z48" s="145"/>
      <c r="AA48" s="139"/>
      <c r="AB48" s="149"/>
      <c r="AC48" s="119"/>
      <c r="AD48" s="139"/>
      <c r="AE48" s="139"/>
      <c r="AF48" s="139"/>
      <c r="AG48" s="139"/>
      <c r="AH48" s="139"/>
      <c r="AI48" s="139"/>
      <c r="AJ48" s="139"/>
      <c r="AK48" s="139"/>
      <c r="AL48" s="139"/>
      <c r="AM48" s="139"/>
      <c r="AN48" s="139"/>
      <c r="AO48" s="139"/>
      <c r="AP48" s="139"/>
      <c r="AQ48" s="174"/>
      <c r="AR48" s="222"/>
    </row>
    <row r="49" spans="2:44" s="22" customFormat="1" ht="18" customHeight="1" x14ac:dyDescent="0.25">
      <c r="B49" s="145"/>
      <c r="C49" s="139"/>
      <c r="D49" s="146"/>
      <c r="E49" s="139"/>
      <c r="F49" s="139"/>
      <c r="G49" s="139"/>
      <c r="H49" s="139"/>
      <c r="I49" s="139"/>
      <c r="J49" s="139"/>
      <c r="K49" s="139"/>
      <c r="L49" s="243"/>
      <c r="M49" s="243"/>
      <c r="N49" s="139"/>
      <c r="O49" s="139"/>
      <c r="P49" s="139"/>
      <c r="Q49" s="147"/>
      <c r="R49" s="139"/>
      <c r="S49" s="139"/>
      <c r="T49" s="139"/>
      <c r="U49" s="139"/>
      <c r="V49" s="139"/>
      <c r="W49" s="139"/>
      <c r="X49" s="146"/>
      <c r="Y49" s="148"/>
      <c r="Z49" s="145"/>
      <c r="AA49" s="139"/>
      <c r="AB49" s="149"/>
      <c r="AC49" s="119"/>
      <c r="AD49" s="139"/>
      <c r="AE49" s="139"/>
      <c r="AF49" s="139"/>
      <c r="AG49" s="139"/>
      <c r="AH49" s="139"/>
      <c r="AI49" s="139"/>
      <c r="AJ49" s="139"/>
      <c r="AK49" s="139"/>
      <c r="AL49" s="139"/>
      <c r="AM49" s="139"/>
      <c r="AN49" s="139"/>
      <c r="AO49" s="139"/>
      <c r="AP49" s="139"/>
      <c r="AQ49" s="174"/>
      <c r="AR49" s="222"/>
    </row>
    <row r="50" spans="2:44" s="140" customFormat="1" ht="18" customHeight="1" x14ac:dyDescent="0.25">
      <c r="B50" s="145"/>
      <c r="C50" s="139"/>
      <c r="D50" s="146"/>
      <c r="E50" s="139"/>
      <c r="F50" s="139"/>
      <c r="G50" s="139"/>
      <c r="H50" s="139"/>
      <c r="I50" s="139"/>
      <c r="J50" s="139"/>
      <c r="K50" s="139"/>
      <c r="L50" s="243"/>
      <c r="M50" s="243"/>
      <c r="N50" s="139"/>
      <c r="O50" s="139"/>
      <c r="P50" s="139"/>
      <c r="Q50" s="147"/>
      <c r="R50" s="139"/>
      <c r="S50" s="139"/>
      <c r="T50" s="139"/>
      <c r="U50" s="139"/>
      <c r="V50" s="139"/>
      <c r="W50" s="139"/>
      <c r="X50" s="146"/>
      <c r="Y50" s="148"/>
      <c r="Z50" s="145"/>
      <c r="AA50" s="139"/>
      <c r="AB50" s="149"/>
      <c r="AC50" s="119"/>
      <c r="AD50" s="139"/>
      <c r="AE50" s="139"/>
      <c r="AF50" s="139"/>
      <c r="AG50" s="139"/>
      <c r="AH50" s="139"/>
      <c r="AI50" s="139"/>
      <c r="AJ50" s="139"/>
      <c r="AK50" s="139"/>
      <c r="AL50" s="139"/>
      <c r="AM50" s="139"/>
      <c r="AN50" s="139"/>
      <c r="AO50" s="139"/>
      <c r="AP50" s="139"/>
      <c r="AQ50" s="174"/>
      <c r="AR50" s="222"/>
    </row>
    <row r="51" spans="2:44" s="22" customFormat="1" ht="18" customHeight="1" x14ac:dyDescent="0.25">
      <c r="B51" s="145"/>
      <c r="C51" s="139"/>
      <c r="D51" s="146"/>
      <c r="E51" s="139"/>
      <c r="F51" s="139"/>
      <c r="G51" s="139"/>
      <c r="H51" s="139"/>
      <c r="I51" s="139"/>
      <c r="J51" s="139"/>
      <c r="K51" s="139"/>
      <c r="L51" s="243"/>
      <c r="M51" s="243"/>
      <c r="N51" s="139"/>
      <c r="O51" s="139"/>
      <c r="P51" s="139"/>
      <c r="Q51" s="147"/>
      <c r="R51" s="139"/>
      <c r="S51" s="139"/>
      <c r="T51" s="139"/>
      <c r="U51" s="139"/>
      <c r="V51" s="139"/>
      <c r="W51" s="139"/>
      <c r="X51" s="146"/>
      <c r="Y51" s="148"/>
      <c r="Z51" s="145"/>
      <c r="AA51" s="139"/>
      <c r="AB51" s="149"/>
      <c r="AC51" s="119"/>
      <c r="AD51" s="139"/>
      <c r="AE51" s="139"/>
      <c r="AF51" s="139"/>
      <c r="AG51" s="139"/>
      <c r="AH51" s="139"/>
      <c r="AI51" s="139"/>
      <c r="AJ51" s="139"/>
      <c r="AK51" s="139"/>
      <c r="AL51" s="139"/>
      <c r="AM51" s="139"/>
      <c r="AN51" s="139"/>
      <c r="AO51" s="139"/>
      <c r="AP51" s="139"/>
      <c r="AQ51" s="174"/>
      <c r="AR51" s="222"/>
    </row>
    <row r="52" spans="2:44" s="22" customFormat="1" ht="18" customHeight="1" x14ac:dyDescent="0.25">
      <c r="B52" s="145"/>
      <c r="C52" s="139"/>
      <c r="D52" s="146"/>
      <c r="E52" s="139"/>
      <c r="F52" s="139"/>
      <c r="G52" s="139"/>
      <c r="H52" s="139"/>
      <c r="I52" s="139"/>
      <c r="J52" s="139"/>
      <c r="K52" s="139"/>
      <c r="L52" s="243"/>
      <c r="M52" s="243"/>
      <c r="N52" s="139"/>
      <c r="O52" s="139"/>
      <c r="P52" s="139"/>
      <c r="Q52" s="147"/>
      <c r="R52" s="139"/>
      <c r="S52" s="139"/>
      <c r="T52" s="139"/>
      <c r="U52" s="139"/>
      <c r="V52" s="139"/>
      <c r="W52" s="139"/>
      <c r="X52" s="146"/>
      <c r="Y52" s="148"/>
      <c r="Z52" s="145"/>
      <c r="AA52" s="139"/>
      <c r="AB52" s="149"/>
      <c r="AC52" s="119"/>
      <c r="AD52" s="139"/>
      <c r="AE52" s="139"/>
      <c r="AF52" s="139"/>
      <c r="AG52" s="139"/>
      <c r="AH52" s="139"/>
      <c r="AI52" s="139"/>
      <c r="AJ52" s="139"/>
      <c r="AK52" s="139"/>
      <c r="AL52" s="139"/>
      <c r="AM52" s="139"/>
      <c r="AN52" s="139"/>
      <c r="AO52" s="139"/>
      <c r="AP52" s="139"/>
      <c r="AQ52" s="174"/>
      <c r="AR52" s="222"/>
    </row>
    <row r="53" spans="2:44" s="22" customFormat="1" ht="18" customHeight="1" x14ac:dyDescent="0.25">
      <c r="B53" s="145"/>
      <c r="C53" s="139"/>
      <c r="D53" s="146"/>
      <c r="E53" s="139"/>
      <c r="F53" s="139"/>
      <c r="G53" s="139"/>
      <c r="H53" s="139"/>
      <c r="I53" s="139"/>
      <c r="J53" s="139"/>
      <c r="K53" s="139"/>
      <c r="L53" s="243"/>
      <c r="M53" s="243"/>
      <c r="N53" s="139"/>
      <c r="O53" s="139"/>
      <c r="P53" s="139"/>
      <c r="Q53" s="147"/>
      <c r="R53" s="139"/>
      <c r="S53" s="139"/>
      <c r="T53" s="139"/>
      <c r="U53" s="139"/>
      <c r="V53" s="139"/>
      <c r="W53" s="139"/>
      <c r="X53" s="146"/>
      <c r="Y53" s="148"/>
      <c r="Z53" s="145"/>
      <c r="AA53" s="139"/>
      <c r="AB53" s="149"/>
      <c r="AC53" s="119"/>
      <c r="AD53" s="139"/>
      <c r="AE53" s="139"/>
      <c r="AF53" s="139"/>
      <c r="AG53" s="139"/>
      <c r="AH53" s="139"/>
      <c r="AI53" s="139"/>
      <c r="AJ53" s="139"/>
      <c r="AK53" s="139"/>
      <c r="AL53" s="139"/>
      <c r="AM53" s="139"/>
      <c r="AN53" s="139"/>
      <c r="AO53" s="139"/>
      <c r="AP53" s="139"/>
      <c r="AQ53" s="174"/>
      <c r="AR53" s="222"/>
    </row>
    <row r="54" spans="2:44" s="22" customFormat="1" ht="18" customHeight="1" x14ac:dyDescent="0.25">
      <c r="B54" s="145"/>
      <c r="C54" s="139"/>
      <c r="D54" s="146"/>
      <c r="E54" s="139"/>
      <c r="F54" s="139"/>
      <c r="G54" s="139"/>
      <c r="H54" s="139"/>
      <c r="I54" s="139"/>
      <c r="J54" s="139"/>
      <c r="K54" s="139"/>
      <c r="L54" s="243"/>
      <c r="M54" s="243"/>
      <c r="N54" s="139"/>
      <c r="O54" s="139"/>
      <c r="P54" s="139"/>
      <c r="Q54" s="147"/>
      <c r="R54" s="139"/>
      <c r="S54" s="139"/>
      <c r="T54" s="139"/>
      <c r="U54" s="139"/>
      <c r="V54" s="139"/>
      <c r="W54" s="139"/>
      <c r="X54" s="146"/>
      <c r="Y54" s="148"/>
      <c r="Z54" s="145"/>
      <c r="AA54" s="139"/>
      <c r="AB54" s="149"/>
      <c r="AC54" s="119"/>
      <c r="AD54" s="139"/>
      <c r="AE54" s="139"/>
      <c r="AF54" s="139"/>
      <c r="AG54" s="139"/>
      <c r="AH54" s="139"/>
      <c r="AI54" s="139"/>
      <c r="AJ54" s="139"/>
      <c r="AK54" s="139"/>
      <c r="AL54" s="139"/>
      <c r="AM54" s="139"/>
      <c r="AN54" s="139"/>
      <c r="AO54" s="139"/>
      <c r="AP54" s="139"/>
      <c r="AQ54" s="174"/>
      <c r="AR54" s="222"/>
    </row>
    <row r="55" spans="2:44" s="22" customFormat="1" ht="18" customHeight="1" x14ac:dyDescent="0.25">
      <c r="B55" s="145"/>
      <c r="C55" s="139"/>
      <c r="D55" s="146"/>
      <c r="E55" s="139"/>
      <c r="F55" s="139"/>
      <c r="G55" s="139"/>
      <c r="H55" s="139"/>
      <c r="I55" s="139"/>
      <c r="J55" s="139"/>
      <c r="K55" s="139"/>
      <c r="L55" s="243"/>
      <c r="M55" s="243"/>
      <c r="N55" s="139"/>
      <c r="O55" s="139"/>
      <c r="P55" s="139"/>
      <c r="Q55" s="147"/>
      <c r="R55" s="139"/>
      <c r="S55" s="139"/>
      <c r="T55" s="139"/>
      <c r="U55" s="139"/>
      <c r="V55" s="139"/>
      <c r="W55" s="139"/>
      <c r="X55" s="146"/>
      <c r="Y55" s="148"/>
      <c r="Z55" s="145"/>
      <c r="AA55" s="139"/>
      <c r="AB55" s="149"/>
      <c r="AC55" s="119"/>
      <c r="AD55" s="139"/>
      <c r="AE55" s="139"/>
      <c r="AF55" s="139"/>
      <c r="AG55" s="139"/>
      <c r="AH55" s="139"/>
      <c r="AI55" s="139"/>
      <c r="AJ55" s="139"/>
      <c r="AK55" s="139"/>
      <c r="AL55" s="139"/>
      <c r="AM55" s="139"/>
      <c r="AN55" s="139"/>
      <c r="AO55" s="139"/>
      <c r="AP55" s="139"/>
      <c r="AQ55" s="174"/>
      <c r="AR55" s="222"/>
    </row>
    <row r="56" spans="2:44" s="22" customFormat="1" ht="18" customHeight="1" x14ac:dyDescent="0.25">
      <c r="B56" s="145"/>
      <c r="C56" s="139"/>
      <c r="D56" s="146"/>
      <c r="E56" s="139"/>
      <c r="F56" s="139"/>
      <c r="G56" s="139"/>
      <c r="H56" s="139"/>
      <c r="I56" s="139"/>
      <c r="J56" s="139"/>
      <c r="K56" s="139"/>
      <c r="L56" s="243"/>
      <c r="M56" s="243"/>
      <c r="N56" s="139"/>
      <c r="O56" s="139"/>
      <c r="P56" s="139"/>
      <c r="Q56" s="147"/>
      <c r="R56" s="139"/>
      <c r="S56" s="139"/>
      <c r="T56" s="139"/>
      <c r="U56" s="139"/>
      <c r="V56" s="139"/>
      <c r="W56" s="139"/>
      <c r="X56" s="146"/>
      <c r="Y56" s="148"/>
      <c r="Z56" s="145"/>
      <c r="AA56" s="139"/>
      <c r="AB56" s="149"/>
      <c r="AC56" s="119"/>
      <c r="AD56" s="139"/>
      <c r="AE56" s="139"/>
      <c r="AF56" s="139"/>
      <c r="AG56" s="139"/>
      <c r="AH56" s="139"/>
      <c r="AI56" s="139"/>
      <c r="AJ56" s="139"/>
      <c r="AK56" s="139"/>
      <c r="AL56" s="139"/>
      <c r="AM56" s="139"/>
      <c r="AN56" s="139"/>
      <c r="AO56" s="139"/>
      <c r="AP56" s="139"/>
      <c r="AQ56" s="174"/>
      <c r="AR56" s="222"/>
    </row>
    <row r="57" spans="2:44" s="22" customFormat="1" ht="18" customHeight="1" x14ac:dyDescent="0.25">
      <c r="B57" s="145"/>
      <c r="C57" s="139"/>
      <c r="D57" s="146"/>
      <c r="E57" s="139"/>
      <c r="F57" s="139"/>
      <c r="G57" s="139"/>
      <c r="H57" s="139"/>
      <c r="I57" s="139"/>
      <c r="J57" s="139"/>
      <c r="K57" s="139"/>
      <c r="L57" s="243"/>
      <c r="M57" s="243"/>
      <c r="N57" s="139"/>
      <c r="O57" s="139"/>
      <c r="P57" s="139"/>
      <c r="Q57" s="147"/>
      <c r="R57" s="139"/>
      <c r="S57" s="139"/>
      <c r="T57" s="139"/>
      <c r="U57" s="139"/>
      <c r="V57" s="139"/>
      <c r="W57" s="139"/>
      <c r="X57" s="146"/>
      <c r="Y57" s="148"/>
      <c r="Z57" s="145"/>
      <c r="AA57" s="139"/>
      <c r="AB57" s="149"/>
      <c r="AC57" s="119"/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  <c r="AO57" s="139"/>
      <c r="AP57" s="139"/>
      <c r="AQ57" s="174"/>
      <c r="AR57" s="222"/>
    </row>
    <row r="58" spans="2:44" s="22" customFormat="1" ht="18" customHeight="1" x14ac:dyDescent="0.25">
      <c r="B58" s="145"/>
      <c r="C58" s="139"/>
      <c r="D58" s="146"/>
      <c r="E58" s="139"/>
      <c r="F58" s="139"/>
      <c r="G58" s="139"/>
      <c r="H58" s="139"/>
      <c r="I58" s="139"/>
      <c r="J58" s="139"/>
      <c r="K58" s="139"/>
      <c r="L58" s="243"/>
      <c r="M58" s="243"/>
      <c r="N58" s="139"/>
      <c r="O58" s="139"/>
      <c r="P58" s="139"/>
      <c r="Q58" s="147"/>
      <c r="R58" s="139"/>
      <c r="S58" s="139"/>
      <c r="T58" s="139"/>
      <c r="U58" s="139"/>
      <c r="V58" s="139"/>
      <c r="W58" s="139"/>
      <c r="X58" s="146"/>
      <c r="Y58" s="148"/>
      <c r="Z58" s="145"/>
      <c r="AA58" s="139"/>
      <c r="AB58" s="149"/>
      <c r="AC58" s="11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  <c r="AO58" s="139"/>
      <c r="AP58" s="139"/>
      <c r="AQ58" s="174"/>
      <c r="AR58" s="222"/>
    </row>
    <row r="59" spans="2:44" s="22" customFormat="1" ht="18" customHeight="1" x14ac:dyDescent="0.25">
      <c r="B59" s="145"/>
      <c r="C59" s="139"/>
      <c r="D59" s="146"/>
      <c r="E59" s="139"/>
      <c r="F59" s="139"/>
      <c r="G59" s="139"/>
      <c r="H59" s="139"/>
      <c r="I59" s="139"/>
      <c r="J59" s="139"/>
      <c r="K59" s="139"/>
      <c r="L59" s="243"/>
      <c r="M59" s="243"/>
      <c r="N59" s="139"/>
      <c r="O59" s="139"/>
      <c r="P59" s="139"/>
      <c r="Q59" s="147"/>
      <c r="R59" s="139"/>
      <c r="S59" s="139"/>
      <c r="T59" s="139"/>
      <c r="U59" s="139"/>
      <c r="V59" s="139"/>
      <c r="W59" s="139"/>
      <c r="X59" s="146"/>
      <c r="Y59" s="148"/>
      <c r="Z59" s="145"/>
      <c r="AA59" s="139"/>
      <c r="AB59" s="149"/>
      <c r="AC59" s="119"/>
      <c r="AD59" s="139"/>
      <c r="AE59" s="139"/>
      <c r="AF59" s="139"/>
      <c r="AG59" s="139"/>
      <c r="AH59" s="139"/>
      <c r="AI59" s="139"/>
      <c r="AJ59" s="139"/>
      <c r="AK59" s="139"/>
      <c r="AL59" s="139"/>
      <c r="AM59" s="139"/>
      <c r="AN59" s="139"/>
      <c r="AO59" s="139"/>
      <c r="AP59" s="139"/>
      <c r="AQ59" s="174"/>
      <c r="AR59" s="222"/>
    </row>
    <row r="60" spans="2:44" s="140" customFormat="1" ht="18" customHeight="1" x14ac:dyDescent="0.25">
      <c r="B60" s="145"/>
      <c r="C60" s="139"/>
      <c r="D60" s="146"/>
      <c r="E60" s="139"/>
      <c r="F60" s="139"/>
      <c r="G60" s="139"/>
      <c r="H60" s="139"/>
      <c r="I60" s="139"/>
      <c r="J60" s="139"/>
      <c r="K60" s="139"/>
      <c r="L60" s="243"/>
      <c r="M60" s="243"/>
      <c r="N60" s="139"/>
      <c r="O60" s="139"/>
      <c r="P60" s="139"/>
      <c r="Q60" s="147"/>
      <c r="R60" s="139"/>
      <c r="S60" s="139"/>
      <c r="T60" s="139"/>
      <c r="U60" s="139"/>
      <c r="V60" s="139"/>
      <c r="W60" s="139"/>
      <c r="X60" s="146"/>
      <c r="Y60" s="148"/>
      <c r="Z60" s="145"/>
      <c r="AA60" s="139"/>
      <c r="AB60" s="149"/>
      <c r="AC60" s="119"/>
      <c r="AD60" s="139"/>
      <c r="AE60" s="139"/>
      <c r="AF60" s="139"/>
      <c r="AG60" s="139"/>
      <c r="AH60" s="139"/>
      <c r="AI60" s="139"/>
      <c r="AJ60" s="139"/>
      <c r="AK60" s="139"/>
      <c r="AL60" s="139"/>
      <c r="AM60" s="139"/>
      <c r="AN60" s="139"/>
      <c r="AO60" s="139"/>
      <c r="AP60" s="139"/>
      <c r="AQ60" s="174"/>
      <c r="AR60" s="222"/>
    </row>
    <row r="61" spans="2:44" s="22" customFormat="1" ht="18" customHeight="1" x14ac:dyDescent="0.25">
      <c r="B61" s="145"/>
      <c r="C61" s="139"/>
      <c r="D61" s="146"/>
      <c r="E61" s="139"/>
      <c r="F61" s="139"/>
      <c r="G61" s="139"/>
      <c r="H61" s="139"/>
      <c r="I61" s="139"/>
      <c r="J61" s="139"/>
      <c r="K61" s="139"/>
      <c r="L61" s="243"/>
      <c r="M61" s="243"/>
      <c r="N61" s="139"/>
      <c r="O61" s="139"/>
      <c r="P61" s="139"/>
      <c r="Q61" s="147"/>
      <c r="R61" s="139"/>
      <c r="S61" s="139"/>
      <c r="T61" s="139"/>
      <c r="U61" s="139"/>
      <c r="V61" s="139"/>
      <c r="W61" s="139"/>
      <c r="X61" s="146"/>
      <c r="Y61" s="148"/>
      <c r="Z61" s="145"/>
      <c r="AA61" s="139"/>
      <c r="AB61" s="149"/>
      <c r="AC61" s="11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  <c r="AO61" s="139"/>
      <c r="AP61" s="139"/>
      <c r="AQ61" s="174"/>
      <c r="AR61" s="222"/>
    </row>
    <row r="62" spans="2:44" s="22" customFormat="1" ht="18" customHeight="1" x14ac:dyDescent="0.25">
      <c r="B62" s="145"/>
      <c r="C62" s="139"/>
      <c r="D62" s="146"/>
      <c r="E62" s="139"/>
      <c r="F62" s="139"/>
      <c r="G62" s="139"/>
      <c r="H62" s="139"/>
      <c r="I62" s="139"/>
      <c r="J62" s="139"/>
      <c r="K62" s="139"/>
      <c r="L62" s="243"/>
      <c r="M62" s="243"/>
      <c r="N62" s="139"/>
      <c r="O62" s="139"/>
      <c r="P62" s="139"/>
      <c r="Q62" s="147"/>
      <c r="R62" s="139"/>
      <c r="S62" s="139"/>
      <c r="T62" s="139"/>
      <c r="U62" s="139"/>
      <c r="V62" s="139"/>
      <c r="W62" s="139"/>
      <c r="X62" s="146"/>
      <c r="Y62" s="148"/>
      <c r="Z62" s="145"/>
      <c r="AA62" s="139"/>
      <c r="AB62" s="149"/>
      <c r="AC62" s="119"/>
      <c r="AD62" s="139"/>
      <c r="AE62" s="139"/>
      <c r="AF62" s="139"/>
      <c r="AG62" s="139"/>
      <c r="AH62" s="139"/>
      <c r="AI62" s="139"/>
      <c r="AJ62" s="139"/>
      <c r="AK62" s="139"/>
      <c r="AL62" s="139"/>
      <c r="AM62" s="139"/>
      <c r="AN62" s="139"/>
      <c r="AO62" s="139"/>
      <c r="AP62" s="139"/>
      <c r="AQ62" s="174"/>
      <c r="AR62" s="222"/>
    </row>
    <row r="63" spans="2:44" s="22" customFormat="1" ht="18" customHeight="1" x14ac:dyDescent="0.25">
      <c r="B63" s="145"/>
      <c r="C63" s="139"/>
      <c r="D63" s="146"/>
      <c r="E63" s="139"/>
      <c r="F63" s="139"/>
      <c r="G63" s="139"/>
      <c r="H63" s="139"/>
      <c r="I63" s="139"/>
      <c r="J63" s="139"/>
      <c r="K63" s="139"/>
      <c r="L63" s="243"/>
      <c r="M63" s="243"/>
      <c r="N63" s="139"/>
      <c r="O63" s="139"/>
      <c r="P63" s="139"/>
      <c r="Q63" s="147"/>
      <c r="R63" s="139"/>
      <c r="S63" s="139"/>
      <c r="T63" s="139"/>
      <c r="U63" s="139"/>
      <c r="V63" s="139"/>
      <c r="W63" s="139"/>
      <c r="X63" s="146"/>
      <c r="Y63" s="148"/>
      <c r="Z63" s="145"/>
      <c r="AA63" s="139"/>
      <c r="AB63" s="149"/>
      <c r="AC63" s="119"/>
      <c r="AD63" s="139"/>
      <c r="AE63" s="139"/>
      <c r="AF63" s="139"/>
      <c r="AG63" s="139"/>
      <c r="AH63" s="139"/>
      <c r="AI63" s="139"/>
      <c r="AJ63" s="139"/>
      <c r="AK63" s="139"/>
      <c r="AL63" s="139"/>
      <c r="AM63" s="139"/>
      <c r="AN63" s="139"/>
      <c r="AO63" s="139"/>
      <c r="AP63" s="139"/>
      <c r="AQ63" s="174"/>
      <c r="AR63" s="222"/>
    </row>
    <row r="64" spans="2:44" s="22" customFormat="1" ht="18" customHeight="1" x14ac:dyDescent="0.25">
      <c r="B64" s="145"/>
      <c r="C64" s="139"/>
      <c r="D64" s="146"/>
      <c r="E64" s="139"/>
      <c r="F64" s="139"/>
      <c r="G64" s="139"/>
      <c r="H64" s="139"/>
      <c r="I64" s="139"/>
      <c r="J64" s="139"/>
      <c r="K64" s="139"/>
      <c r="L64" s="243"/>
      <c r="M64" s="243"/>
      <c r="N64" s="139"/>
      <c r="O64" s="139"/>
      <c r="P64" s="139"/>
      <c r="Q64" s="147"/>
      <c r="R64" s="139"/>
      <c r="S64" s="139"/>
      <c r="T64" s="139"/>
      <c r="U64" s="139"/>
      <c r="V64" s="139"/>
      <c r="W64" s="139"/>
      <c r="X64" s="146"/>
      <c r="Y64" s="148"/>
      <c r="Z64" s="145"/>
      <c r="AA64" s="139"/>
      <c r="AB64" s="149"/>
      <c r="AC64" s="11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74"/>
      <c r="AR64" s="222"/>
    </row>
    <row r="65" spans="2:44" s="140" customFormat="1" ht="18" customHeight="1" x14ac:dyDescent="0.25">
      <c r="B65" s="145"/>
      <c r="C65" s="139"/>
      <c r="D65" s="146"/>
      <c r="E65" s="139"/>
      <c r="F65" s="139"/>
      <c r="G65" s="139"/>
      <c r="H65" s="139"/>
      <c r="I65" s="139"/>
      <c r="J65" s="139"/>
      <c r="K65" s="139"/>
      <c r="L65" s="243"/>
      <c r="M65" s="243"/>
      <c r="N65" s="139"/>
      <c r="O65" s="139"/>
      <c r="P65" s="139"/>
      <c r="Q65" s="147"/>
      <c r="R65" s="139"/>
      <c r="S65" s="139"/>
      <c r="T65" s="139"/>
      <c r="U65" s="139"/>
      <c r="V65" s="139"/>
      <c r="W65" s="139"/>
      <c r="X65" s="146"/>
      <c r="Y65" s="148"/>
      <c r="Z65" s="145"/>
      <c r="AA65" s="139"/>
      <c r="AB65" s="149"/>
      <c r="AC65" s="119"/>
      <c r="AD65" s="139"/>
      <c r="AE65" s="139"/>
      <c r="AF65" s="139"/>
      <c r="AG65" s="139"/>
      <c r="AH65" s="139"/>
      <c r="AI65" s="139"/>
      <c r="AJ65" s="139"/>
      <c r="AK65" s="139"/>
      <c r="AL65" s="139"/>
      <c r="AM65" s="139"/>
      <c r="AN65" s="139"/>
      <c r="AO65" s="139"/>
      <c r="AP65" s="139"/>
      <c r="AQ65" s="174"/>
      <c r="AR65" s="222"/>
    </row>
    <row r="66" spans="2:44" s="22" customFormat="1" ht="18" customHeight="1" x14ac:dyDescent="0.25">
      <c r="B66" s="145"/>
      <c r="C66" s="139"/>
      <c r="D66" s="146"/>
      <c r="E66" s="139"/>
      <c r="F66" s="139"/>
      <c r="G66" s="139"/>
      <c r="H66" s="139"/>
      <c r="I66" s="139"/>
      <c r="J66" s="139"/>
      <c r="K66" s="139"/>
      <c r="L66" s="243"/>
      <c r="M66" s="243"/>
      <c r="N66" s="139"/>
      <c r="O66" s="139"/>
      <c r="P66" s="139"/>
      <c r="Q66" s="147"/>
      <c r="R66" s="139"/>
      <c r="S66" s="139"/>
      <c r="T66" s="139"/>
      <c r="U66" s="139"/>
      <c r="V66" s="139"/>
      <c r="W66" s="139"/>
      <c r="X66" s="146"/>
      <c r="Y66" s="148"/>
      <c r="Z66" s="145"/>
      <c r="AA66" s="139"/>
      <c r="AB66" s="149"/>
      <c r="AC66" s="119"/>
      <c r="AD66" s="139"/>
      <c r="AE66" s="139"/>
      <c r="AF66" s="139"/>
      <c r="AG66" s="139"/>
      <c r="AH66" s="139"/>
      <c r="AI66" s="139"/>
      <c r="AJ66" s="139"/>
      <c r="AK66" s="139"/>
      <c r="AL66" s="139"/>
      <c r="AM66" s="139"/>
      <c r="AN66" s="139"/>
      <c r="AO66" s="139"/>
      <c r="AP66" s="139"/>
      <c r="AQ66" s="174"/>
      <c r="AR66" s="222"/>
    </row>
    <row r="67" spans="2:44" s="22" customFormat="1" ht="18" customHeight="1" x14ac:dyDescent="0.25">
      <c r="B67" s="145"/>
      <c r="C67" s="139"/>
      <c r="D67" s="146"/>
      <c r="E67" s="139"/>
      <c r="F67" s="139"/>
      <c r="G67" s="139"/>
      <c r="H67" s="139"/>
      <c r="I67" s="139"/>
      <c r="J67" s="139"/>
      <c r="K67" s="139"/>
      <c r="L67" s="243"/>
      <c r="M67" s="243"/>
      <c r="N67" s="139"/>
      <c r="O67" s="139"/>
      <c r="P67" s="139"/>
      <c r="Q67" s="147"/>
      <c r="R67" s="139"/>
      <c r="S67" s="139"/>
      <c r="T67" s="139"/>
      <c r="U67" s="139"/>
      <c r="V67" s="139"/>
      <c r="W67" s="139"/>
      <c r="X67" s="146"/>
      <c r="Y67" s="148"/>
      <c r="Z67" s="145"/>
      <c r="AA67" s="139"/>
      <c r="AB67" s="149"/>
      <c r="AC67" s="119"/>
      <c r="AD67" s="139"/>
      <c r="AE67" s="139"/>
      <c r="AF67" s="139"/>
      <c r="AG67" s="139"/>
      <c r="AH67" s="139"/>
      <c r="AI67" s="139"/>
      <c r="AJ67" s="139"/>
      <c r="AK67" s="139"/>
      <c r="AL67" s="139"/>
      <c r="AM67" s="139"/>
      <c r="AN67" s="139"/>
      <c r="AO67" s="139"/>
      <c r="AP67" s="139"/>
      <c r="AQ67" s="174"/>
      <c r="AR67" s="222"/>
    </row>
    <row r="68" spans="2:44" s="140" customFormat="1" ht="18" customHeight="1" x14ac:dyDescent="0.25">
      <c r="B68" s="145"/>
      <c r="C68" s="139"/>
      <c r="D68" s="146"/>
      <c r="E68" s="139"/>
      <c r="F68" s="139"/>
      <c r="G68" s="139"/>
      <c r="H68" s="139"/>
      <c r="I68" s="139"/>
      <c r="J68" s="139"/>
      <c r="K68" s="139"/>
      <c r="L68" s="243"/>
      <c r="M68" s="243"/>
      <c r="N68" s="139"/>
      <c r="O68" s="139"/>
      <c r="P68" s="139"/>
      <c r="Q68" s="147"/>
      <c r="R68" s="139"/>
      <c r="S68" s="139"/>
      <c r="T68" s="139"/>
      <c r="U68" s="139"/>
      <c r="V68" s="139"/>
      <c r="W68" s="139"/>
      <c r="X68" s="146"/>
      <c r="Y68" s="148"/>
      <c r="Z68" s="145"/>
      <c r="AA68" s="139"/>
      <c r="AB68" s="149"/>
      <c r="AC68" s="119"/>
      <c r="AD68" s="139"/>
      <c r="AE68" s="139"/>
      <c r="AF68" s="139"/>
      <c r="AG68" s="139"/>
      <c r="AH68" s="139"/>
      <c r="AI68" s="139"/>
      <c r="AJ68" s="139"/>
      <c r="AK68" s="139"/>
      <c r="AL68" s="139"/>
      <c r="AM68" s="139"/>
      <c r="AN68" s="139"/>
      <c r="AO68" s="139"/>
      <c r="AP68" s="139"/>
      <c r="AQ68" s="174"/>
      <c r="AR68" s="222"/>
    </row>
    <row r="69" spans="2:44" s="22" customFormat="1" ht="18" customHeight="1" x14ac:dyDescent="0.25">
      <c r="B69" s="145"/>
      <c r="C69" s="139"/>
      <c r="D69" s="146"/>
      <c r="E69" s="139"/>
      <c r="F69" s="139"/>
      <c r="G69" s="139"/>
      <c r="H69" s="139"/>
      <c r="I69" s="139"/>
      <c r="J69" s="139"/>
      <c r="K69" s="139"/>
      <c r="L69" s="243"/>
      <c r="M69" s="243"/>
      <c r="N69" s="139"/>
      <c r="O69" s="139"/>
      <c r="P69" s="139"/>
      <c r="Q69" s="147"/>
      <c r="R69" s="139"/>
      <c r="S69" s="139"/>
      <c r="T69" s="139"/>
      <c r="U69" s="139"/>
      <c r="V69" s="139"/>
      <c r="W69" s="139"/>
      <c r="X69" s="146"/>
      <c r="Y69" s="148"/>
      <c r="Z69" s="145"/>
      <c r="AA69" s="139"/>
      <c r="AB69" s="149"/>
      <c r="AC69" s="119"/>
      <c r="AD69" s="139"/>
      <c r="AE69" s="139"/>
      <c r="AF69" s="139"/>
      <c r="AG69" s="139"/>
      <c r="AH69" s="139"/>
      <c r="AI69" s="139"/>
      <c r="AJ69" s="139"/>
      <c r="AK69" s="139"/>
      <c r="AL69" s="139"/>
      <c r="AM69" s="139"/>
      <c r="AN69" s="139"/>
      <c r="AO69" s="139"/>
      <c r="AP69" s="139"/>
      <c r="AQ69" s="174"/>
      <c r="AR69" s="222"/>
    </row>
    <row r="70" spans="2:44" s="22" customFormat="1" ht="18" customHeight="1" x14ac:dyDescent="0.25">
      <c r="B70" s="145"/>
      <c r="C70" s="139"/>
      <c r="D70" s="146"/>
      <c r="E70" s="139"/>
      <c r="F70" s="139"/>
      <c r="G70" s="139"/>
      <c r="H70" s="139"/>
      <c r="I70" s="139"/>
      <c r="J70" s="139"/>
      <c r="K70" s="139"/>
      <c r="L70" s="243"/>
      <c r="M70" s="243"/>
      <c r="N70" s="139"/>
      <c r="O70" s="139"/>
      <c r="P70" s="139"/>
      <c r="Q70" s="147"/>
      <c r="R70" s="139"/>
      <c r="S70" s="139"/>
      <c r="T70" s="139"/>
      <c r="U70" s="139"/>
      <c r="V70" s="139"/>
      <c r="W70" s="139"/>
      <c r="X70" s="146"/>
      <c r="Y70" s="148"/>
      <c r="Z70" s="145"/>
      <c r="AA70" s="139"/>
      <c r="AB70" s="149"/>
      <c r="AC70" s="119"/>
      <c r="AD70" s="139"/>
      <c r="AE70" s="139"/>
      <c r="AF70" s="139"/>
      <c r="AG70" s="139"/>
      <c r="AH70" s="139"/>
      <c r="AI70" s="139"/>
      <c r="AJ70" s="139"/>
      <c r="AK70" s="139"/>
      <c r="AL70" s="139"/>
      <c r="AM70" s="139"/>
      <c r="AN70" s="139"/>
      <c r="AO70" s="139"/>
      <c r="AP70" s="139"/>
      <c r="AQ70" s="174"/>
      <c r="AR70" s="222"/>
    </row>
    <row r="71" spans="2:44" s="22" customFormat="1" ht="18" customHeight="1" x14ac:dyDescent="0.25">
      <c r="B71" s="145"/>
      <c r="C71" s="139"/>
      <c r="D71" s="146"/>
      <c r="E71" s="139"/>
      <c r="F71" s="139"/>
      <c r="G71" s="139"/>
      <c r="H71" s="139"/>
      <c r="I71" s="139"/>
      <c r="J71" s="139"/>
      <c r="K71" s="139"/>
      <c r="L71" s="243"/>
      <c r="M71" s="243"/>
      <c r="N71" s="139"/>
      <c r="O71" s="139"/>
      <c r="P71" s="139"/>
      <c r="Q71" s="147"/>
      <c r="R71" s="139"/>
      <c r="S71" s="139"/>
      <c r="T71" s="139"/>
      <c r="U71" s="139"/>
      <c r="V71" s="139"/>
      <c r="W71" s="139"/>
      <c r="X71" s="146"/>
      <c r="Y71" s="148"/>
      <c r="Z71" s="145"/>
      <c r="AA71" s="139"/>
      <c r="AB71" s="149"/>
      <c r="AC71" s="119"/>
      <c r="AD71" s="139"/>
      <c r="AE71" s="139"/>
      <c r="AF71" s="139"/>
      <c r="AG71" s="139"/>
      <c r="AH71" s="139"/>
      <c r="AI71" s="139"/>
      <c r="AJ71" s="139"/>
      <c r="AK71" s="139"/>
      <c r="AL71" s="139"/>
      <c r="AM71" s="139"/>
      <c r="AN71" s="139"/>
      <c r="AO71" s="139"/>
      <c r="AP71" s="139"/>
      <c r="AQ71" s="174"/>
      <c r="AR71" s="222"/>
    </row>
    <row r="72" spans="2:44" s="22" customFormat="1" ht="18" customHeight="1" x14ac:dyDescent="0.25">
      <c r="B72" s="145"/>
      <c r="C72" s="139"/>
      <c r="D72" s="146"/>
      <c r="E72" s="139"/>
      <c r="F72" s="139"/>
      <c r="G72" s="139"/>
      <c r="H72" s="139"/>
      <c r="I72" s="139"/>
      <c r="J72" s="139"/>
      <c r="K72" s="139"/>
      <c r="L72" s="243"/>
      <c r="M72" s="243"/>
      <c r="N72" s="139"/>
      <c r="O72" s="139"/>
      <c r="P72" s="139"/>
      <c r="Q72" s="147"/>
      <c r="R72" s="139"/>
      <c r="S72" s="139"/>
      <c r="T72" s="139"/>
      <c r="U72" s="139"/>
      <c r="V72" s="139"/>
      <c r="W72" s="139"/>
      <c r="X72" s="146"/>
      <c r="Y72" s="148"/>
      <c r="Z72" s="145"/>
      <c r="AA72" s="139"/>
      <c r="AB72" s="149"/>
      <c r="AC72" s="119"/>
      <c r="AD72" s="139"/>
      <c r="AE72" s="139"/>
      <c r="AF72" s="139"/>
      <c r="AG72" s="139"/>
      <c r="AH72" s="139"/>
      <c r="AI72" s="139"/>
      <c r="AJ72" s="139"/>
      <c r="AK72" s="139"/>
      <c r="AL72" s="139"/>
      <c r="AM72" s="139"/>
      <c r="AN72" s="139"/>
      <c r="AO72" s="139"/>
      <c r="AP72" s="139"/>
      <c r="AQ72" s="174"/>
      <c r="AR72" s="222"/>
    </row>
    <row r="73" spans="2:44" s="22" customFormat="1" ht="18" customHeight="1" x14ac:dyDescent="0.25">
      <c r="B73" s="145"/>
      <c r="C73" s="139"/>
      <c r="D73" s="146"/>
      <c r="E73" s="139"/>
      <c r="F73" s="139"/>
      <c r="G73" s="139"/>
      <c r="H73" s="139"/>
      <c r="I73" s="139"/>
      <c r="J73" s="139"/>
      <c r="K73" s="139"/>
      <c r="L73" s="243"/>
      <c r="M73" s="243"/>
      <c r="N73" s="139"/>
      <c r="O73" s="139"/>
      <c r="P73" s="139"/>
      <c r="Q73" s="147"/>
      <c r="R73" s="139"/>
      <c r="S73" s="139"/>
      <c r="T73" s="139"/>
      <c r="U73" s="139"/>
      <c r="V73" s="139"/>
      <c r="W73" s="139"/>
      <c r="X73" s="146"/>
      <c r="Y73" s="148"/>
      <c r="Z73" s="145"/>
      <c r="AA73" s="139"/>
      <c r="AB73" s="149"/>
      <c r="AC73" s="119"/>
      <c r="AD73" s="139"/>
      <c r="AE73" s="139"/>
      <c r="AF73" s="139"/>
      <c r="AG73" s="139"/>
      <c r="AH73" s="139"/>
      <c r="AI73" s="139"/>
      <c r="AJ73" s="139"/>
      <c r="AK73" s="139"/>
      <c r="AL73" s="139"/>
      <c r="AM73" s="139"/>
      <c r="AN73" s="139"/>
      <c r="AO73" s="139"/>
      <c r="AP73" s="139"/>
      <c r="AQ73" s="174"/>
      <c r="AR73" s="222"/>
    </row>
    <row r="74" spans="2:44" s="140" customFormat="1" ht="18" customHeight="1" x14ac:dyDescent="0.25">
      <c r="B74" s="145"/>
      <c r="C74" s="139"/>
      <c r="D74" s="146"/>
      <c r="E74" s="139"/>
      <c r="F74" s="139"/>
      <c r="G74" s="139"/>
      <c r="H74" s="139"/>
      <c r="I74" s="139"/>
      <c r="J74" s="139"/>
      <c r="K74" s="139"/>
      <c r="L74" s="243"/>
      <c r="M74" s="243"/>
      <c r="N74" s="139"/>
      <c r="O74" s="139"/>
      <c r="P74" s="139"/>
      <c r="Q74" s="147"/>
      <c r="R74" s="139"/>
      <c r="S74" s="139"/>
      <c r="T74" s="139"/>
      <c r="U74" s="139"/>
      <c r="V74" s="139"/>
      <c r="W74" s="139"/>
      <c r="X74" s="146"/>
      <c r="Y74" s="148"/>
      <c r="Z74" s="145"/>
      <c r="AA74" s="139"/>
      <c r="AB74" s="149"/>
      <c r="AC74" s="119"/>
      <c r="AD74" s="139"/>
      <c r="AE74" s="139"/>
      <c r="AF74" s="139"/>
      <c r="AG74" s="139"/>
      <c r="AH74" s="139"/>
      <c r="AI74" s="139"/>
      <c r="AJ74" s="139"/>
      <c r="AK74" s="139"/>
      <c r="AL74" s="139"/>
      <c r="AM74" s="139"/>
      <c r="AN74" s="139"/>
      <c r="AO74" s="139"/>
      <c r="AP74" s="139"/>
      <c r="AQ74" s="174"/>
      <c r="AR74" s="222"/>
    </row>
    <row r="75" spans="2:44" s="22" customFormat="1" ht="18" customHeight="1" x14ac:dyDescent="0.25">
      <c r="B75" s="145"/>
      <c r="C75" s="139"/>
      <c r="D75" s="146"/>
      <c r="E75" s="139"/>
      <c r="F75" s="139"/>
      <c r="G75" s="139"/>
      <c r="H75" s="139"/>
      <c r="I75" s="139"/>
      <c r="J75" s="139"/>
      <c r="K75" s="139"/>
      <c r="L75" s="243"/>
      <c r="M75" s="243"/>
      <c r="N75" s="139"/>
      <c r="O75" s="139"/>
      <c r="P75" s="139"/>
      <c r="Q75" s="147"/>
      <c r="R75" s="139"/>
      <c r="S75" s="139"/>
      <c r="T75" s="139"/>
      <c r="U75" s="139"/>
      <c r="V75" s="139"/>
      <c r="W75" s="139"/>
      <c r="X75" s="146"/>
      <c r="Y75" s="148"/>
      <c r="Z75" s="145"/>
      <c r="AA75" s="139"/>
      <c r="AB75" s="149"/>
      <c r="AC75" s="11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74"/>
      <c r="AR75" s="222"/>
    </row>
    <row r="76" spans="2:44" s="22" customFormat="1" ht="18" customHeight="1" x14ac:dyDescent="0.25">
      <c r="B76" s="145"/>
      <c r="C76" s="139"/>
      <c r="D76" s="146"/>
      <c r="E76" s="139"/>
      <c r="F76" s="139"/>
      <c r="G76" s="139"/>
      <c r="H76" s="139"/>
      <c r="I76" s="139"/>
      <c r="J76" s="139"/>
      <c r="K76" s="139"/>
      <c r="L76" s="243"/>
      <c r="M76" s="243"/>
      <c r="N76" s="139"/>
      <c r="O76" s="139"/>
      <c r="P76" s="139"/>
      <c r="Q76" s="147"/>
      <c r="R76" s="139"/>
      <c r="S76" s="139"/>
      <c r="T76" s="139"/>
      <c r="U76" s="139"/>
      <c r="V76" s="139"/>
      <c r="W76" s="139"/>
      <c r="X76" s="146"/>
      <c r="Y76" s="148"/>
      <c r="Z76" s="145"/>
      <c r="AA76" s="139"/>
      <c r="AB76" s="149"/>
      <c r="AC76" s="11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74"/>
      <c r="AR76" s="222"/>
    </row>
    <row r="77" spans="2:44" s="140" customFormat="1" ht="18" customHeight="1" x14ac:dyDescent="0.25">
      <c r="B77" s="145"/>
      <c r="C77" s="139"/>
      <c r="D77" s="146"/>
      <c r="E77" s="139"/>
      <c r="F77" s="139"/>
      <c r="G77" s="139"/>
      <c r="H77" s="139"/>
      <c r="I77" s="139"/>
      <c r="J77" s="139"/>
      <c r="K77" s="139"/>
      <c r="L77" s="243"/>
      <c r="M77" s="243"/>
      <c r="N77" s="139"/>
      <c r="O77" s="139"/>
      <c r="P77" s="139"/>
      <c r="Q77" s="147"/>
      <c r="R77" s="139"/>
      <c r="S77" s="139"/>
      <c r="T77" s="139"/>
      <c r="U77" s="139"/>
      <c r="V77" s="139"/>
      <c r="W77" s="139"/>
      <c r="X77" s="146"/>
      <c r="Y77" s="148"/>
      <c r="Z77" s="145"/>
      <c r="AA77" s="139"/>
      <c r="AB77" s="149"/>
      <c r="AC77" s="11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  <c r="AQ77" s="174"/>
      <c r="AR77" s="222"/>
    </row>
    <row r="78" spans="2:44" s="22" customFormat="1" ht="18" customHeight="1" x14ac:dyDescent="0.25">
      <c r="B78" s="145"/>
      <c r="C78" s="139"/>
      <c r="D78" s="146"/>
      <c r="E78" s="139"/>
      <c r="F78" s="139"/>
      <c r="G78" s="139"/>
      <c r="H78" s="139"/>
      <c r="I78" s="139"/>
      <c r="J78" s="139"/>
      <c r="K78" s="139"/>
      <c r="L78" s="243"/>
      <c r="M78" s="243"/>
      <c r="N78" s="139"/>
      <c r="O78" s="139"/>
      <c r="P78" s="139"/>
      <c r="Q78" s="147"/>
      <c r="R78" s="139"/>
      <c r="S78" s="139"/>
      <c r="T78" s="139"/>
      <c r="U78" s="139"/>
      <c r="V78" s="139"/>
      <c r="W78" s="139"/>
      <c r="X78" s="146"/>
      <c r="Y78" s="148"/>
      <c r="Z78" s="145"/>
      <c r="AA78" s="139"/>
      <c r="AB78" s="149"/>
      <c r="AC78" s="11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  <c r="AO78" s="139"/>
      <c r="AP78" s="139"/>
      <c r="AQ78" s="174"/>
      <c r="AR78" s="222"/>
    </row>
    <row r="79" spans="2:44" s="22" customFormat="1" ht="18" customHeight="1" x14ac:dyDescent="0.25">
      <c r="B79" s="145"/>
      <c r="C79" s="139"/>
      <c r="D79" s="146"/>
      <c r="E79" s="139"/>
      <c r="F79" s="139"/>
      <c r="G79" s="139"/>
      <c r="H79" s="139"/>
      <c r="I79" s="139"/>
      <c r="J79" s="139"/>
      <c r="K79" s="139"/>
      <c r="L79" s="243"/>
      <c r="M79" s="243"/>
      <c r="N79" s="139"/>
      <c r="O79" s="139"/>
      <c r="P79" s="139"/>
      <c r="Q79" s="147"/>
      <c r="R79" s="139"/>
      <c r="S79" s="139"/>
      <c r="T79" s="139"/>
      <c r="U79" s="139"/>
      <c r="V79" s="139"/>
      <c r="W79" s="139"/>
      <c r="X79" s="146"/>
      <c r="Y79" s="148"/>
      <c r="Z79" s="145"/>
      <c r="AA79" s="139"/>
      <c r="AB79" s="149"/>
      <c r="AC79" s="119"/>
      <c r="AD79" s="139"/>
      <c r="AE79" s="139"/>
      <c r="AF79" s="139"/>
      <c r="AG79" s="139"/>
      <c r="AH79" s="139"/>
      <c r="AI79" s="139"/>
      <c r="AJ79" s="139"/>
      <c r="AK79" s="139"/>
      <c r="AL79" s="139"/>
      <c r="AM79" s="139"/>
      <c r="AN79" s="139"/>
      <c r="AO79" s="139"/>
      <c r="AP79" s="139"/>
      <c r="AQ79" s="174"/>
      <c r="AR79" s="222"/>
    </row>
    <row r="80" spans="2:44" s="22" customFormat="1" ht="18" customHeight="1" x14ac:dyDescent="0.25">
      <c r="B80" s="145"/>
      <c r="C80" s="139"/>
      <c r="D80" s="146"/>
      <c r="E80" s="139"/>
      <c r="F80" s="139"/>
      <c r="G80" s="139"/>
      <c r="H80" s="139"/>
      <c r="I80" s="139"/>
      <c r="J80" s="139"/>
      <c r="K80" s="139"/>
      <c r="L80" s="243"/>
      <c r="M80" s="243"/>
      <c r="N80" s="139"/>
      <c r="O80" s="139"/>
      <c r="P80" s="139"/>
      <c r="Q80" s="147"/>
      <c r="R80" s="139"/>
      <c r="S80" s="139"/>
      <c r="T80" s="139"/>
      <c r="U80" s="139"/>
      <c r="V80" s="139"/>
      <c r="W80" s="139"/>
      <c r="X80" s="146"/>
      <c r="Y80" s="148"/>
      <c r="Z80" s="145"/>
      <c r="AA80" s="139"/>
      <c r="AB80" s="149"/>
      <c r="AC80" s="119"/>
      <c r="AD80" s="139"/>
      <c r="AE80" s="139"/>
      <c r="AF80" s="139"/>
      <c r="AG80" s="139"/>
      <c r="AH80" s="139"/>
      <c r="AI80" s="139"/>
      <c r="AJ80" s="139"/>
      <c r="AK80" s="139"/>
      <c r="AL80" s="139"/>
      <c r="AM80" s="139"/>
      <c r="AN80" s="139"/>
      <c r="AO80" s="139"/>
      <c r="AP80" s="139"/>
      <c r="AQ80" s="174"/>
      <c r="AR80" s="222"/>
    </row>
    <row r="81" spans="2:44" s="22" customFormat="1" ht="18" customHeight="1" x14ac:dyDescent="0.25">
      <c r="B81" s="145"/>
      <c r="C81" s="139"/>
      <c r="D81" s="146"/>
      <c r="E81" s="139"/>
      <c r="F81" s="139"/>
      <c r="G81" s="139"/>
      <c r="H81" s="139"/>
      <c r="I81" s="139"/>
      <c r="J81" s="139"/>
      <c r="K81" s="139"/>
      <c r="L81" s="243"/>
      <c r="M81" s="243"/>
      <c r="N81" s="139"/>
      <c r="O81" s="139"/>
      <c r="P81" s="139"/>
      <c r="Q81" s="147"/>
      <c r="R81" s="139"/>
      <c r="S81" s="139"/>
      <c r="T81" s="139"/>
      <c r="U81" s="139"/>
      <c r="V81" s="139"/>
      <c r="W81" s="139"/>
      <c r="X81" s="146"/>
      <c r="Y81" s="148"/>
      <c r="Z81" s="145"/>
      <c r="AA81" s="139"/>
      <c r="AB81" s="149"/>
      <c r="AC81" s="119"/>
      <c r="AD81" s="139"/>
      <c r="AE81" s="139"/>
      <c r="AF81" s="139"/>
      <c r="AG81" s="139"/>
      <c r="AH81" s="139"/>
      <c r="AI81" s="139"/>
      <c r="AJ81" s="139"/>
      <c r="AK81" s="139"/>
      <c r="AL81" s="139"/>
      <c r="AM81" s="139"/>
      <c r="AN81" s="139"/>
      <c r="AO81" s="139"/>
      <c r="AP81" s="139"/>
      <c r="AQ81" s="174"/>
      <c r="AR81" s="222"/>
    </row>
    <row r="82" spans="2:44" s="22" customFormat="1" ht="18" customHeight="1" x14ac:dyDescent="0.25">
      <c r="B82" s="145"/>
      <c r="C82" s="139"/>
      <c r="D82" s="146"/>
      <c r="E82" s="139"/>
      <c r="F82" s="139"/>
      <c r="G82" s="139"/>
      <c r="H82" s="139"/>
      <c r="I82" s="139"/>
      <c r="J82" s="139"/>
      <c r="K82" s="139"/>
      <c r="L82" s="243"/>
      <c r="M82" s="243"/>
      <c r="N82" s="139"/>
      <c r="O82" s="139"/>
      <c r="P82" s="139"/>
      <c r="Q82" s="147"/>
      <c r="R82" s="139"/>
      <c r="S82" s="139"/>
      <c r="T82" s="139"/>
      <c r="U82" s="139"/>
      <c r="V82" s="139"/>
      <c r="W82" s="139"/>
      <c r="X82" s="146"/>
      <c r="Y82" s="148"/>
      <c r="Z82" s="145"/>
      <c r="AA82" s="139"/>
      <c r="AB82" s="149"/>
      <c r="AC82" s="119"/>
      <c r="AD82" s="139"/>
      <c r="AE82" s="139"/>
      <c r="AF82" s="139"/>
      <c r="AG82" s="139"/>
      <c r="AH82" s="139"/>
      <c r="AI82" s="139"/>
      <c r="AJ82" s="139"/>
      <c r="AK82" s="139"/>
      <c r="AL82" s="139"/>
      <c r="AM82" s="139"/>
      <c r="AN82" s="139"/>
      <c r="AO82" s="139"/>
      <c r="AP82" s="139"/>
      <c r="AQ82" s="174"/>
      <c r="AR82" s="222"/>
    </row>
    <row r="83" spans="2:44" s="140" customFormat="1" ht="18" customHeight="1" x14ac:dyDescent="0.25">
      <c r="B83" s="145"/>
      <c r="C83" s="139"/>
      <c r="D83" s="146"/>
      <c r="E83" s="139"/>
      <c r="F83" s="139"/>
      <c r="G83" s="139"/>
      <c r="H83" s="139"/>
      <c r="I83" s="139"/>
      <c r="J83" s="139"/>
      <c r="K83" s="139"/>
      <c r="L83" s="243"/>
      <c r="M83" s="243"/>
      <c r="N83" s="139"/>
      <c r="O83" s="139"/>
      <c r="P83" s="139"/>
      <c r="Q83" s="147"/>
      <c r="R83" s="139"/>
      <c r="S83" s="139"/>
      <c r="T83" s="139"/>
      <c r="U83" s="139"/>
      <c r="V83" s="139"/>
      <c r="W83" s="139"/>
      <c r="X83" s="146"/>
      <c r="Y83" s="148"/>
      <c r="Z83" s="145"/>
      <c r="AA83" s="139"/>
      <c r="AB83" s="149"/>
      <c r="AC83" s="119"/>
      <c r="AD83" s="139"/>
      <c r="AE83" s="139"/>
      <c r="AF83" s="139"/>
      <c r="AG83" s="139"/>
      <c r="AH83" s="139"/>
      <c r="AI83" s="139"/>
      <c r="AJ83" s="139"/>
      <c r="AK83" s="139"/>
      <c r="AL83" s="139"/>
      <c r="AM83" s="139"/>
      <c r="AN83" s="139"/>
      <c r="AO83" s="139"/>
      <c r="AP83" s="139"/>
      <c r="AQ83" s="174"/>
      <c r="AR83" s="222"/>
    </row>
    <row r="84" spans="2:44" s="22" customFormat="1" ht="18" customHeight="1" x14ac:dyDescent="0.25">
      <c r="B84" s="145"/>
      <c r="C84" s="139"/>
      <c r="D84" s="146"/>
      <c r="E84" s="139"/>
      <c r="F84" s="139"/>
      <c r="G84" s="139"/>
      <c r="H84" s="139"/>
      <c r="I84" s="139"/>
      <c r="J84" s="139"/>
      <c r="K84" s="139"/>
      <c r="L84" s="243"/>
      <c r="M84" s="243"/>
      <c r="N84" s="139"/>
      <c r="O84" s="139"/>
      <c r="P84" s="139"/>
      <c r="Q84" s="147"/>
      <c r="R84" s="139"/>
      <c r="S84" s="139"/>
      <c r="T84" s="139"/>
      <c r="U84" s="139"/>
      <c r="V84" s="139"/>
      <c r="W84" s="139"/>
      <c r="X84" s="146"/>
      <c r="Y84" s="148"/>
      <c r="Z84" s="145"/>
      <c r="AA84" s="139"/>
      <c r="AB84" s="149"/>
      <c r="AC84" s="119"/>
      <c r="AD84" s="139"/>
      <c r="AE84" s="139"/>
      <c r="AF84" s="139"/>
      <c r="AG84" s="139"/>
      <c r="AH84" s="139"/>
      <c r="AI84" s="139"/>
      <c r="AJ84" s="139"/>
      <c r="AK84" s="139"/>
      <c r="AL84" s="139"/>
      <c r="AM84" s="139"/>
      <c r="AN84" s="139"/>
      <c r="AO84" s="139"/>
      <c r="AP84" s="139"/>
      <c r="AQ84" s="174"/>
      <c r="AR84" s="222"/>
    </row>
    <row r="85" spans="2:44" s="22" customFormat="1" ht="18" customHeight="1" x14ac:dyDescent="0.25">
      <c r="B85" s="145"/>
      <c r="C85" s="139"/>
      <c r="D85" s="146"/>
      <c r="E85" s="139"/>
      <c r="F85" s="139"/>
      <c r="G85" s="139"/>
      <c r="H85" s="139"/>
      <c r="I85" s="139"/>
      <c r="J85" s="139"/>
      <c r="K85" s="139"/>
      <c r="L85" s="243"/>
      <c r="M85" s="243"/>
      <c r="N85" s="139"/>
      <c r="O85" s="139"/>
      <c r="P85" s="139"/>
      <c r="Q85" s="147"/>
      <c r="R85" s="139"/>
      <c r="S85" s="139"/>
      <c r="T85" s="139"/>
      <c r="U85" s="139"/>
      <c r="V85" s="139"/>
      <c r="W85" s="139"/>
      <c r="X85" s="146"/>
      <c r="Y85" s="148"/>
      <c r="Z85" s="145"/>
      <c r="AA85" s="139"/>
      <c r="AB85" s="149"/>
      <c r="AC85" s="119"/>
      <c r="AD85" s="139"/>
      <c r="AE85" s="139"/>
      <c r="AF85" s="139"/>
      <c r="AG85" s="139"/>
      <c r="AH85" s="139"/>
      <c r="AI85" s="139"/>
      <c r="AJ85" s="139"/>
      <c r="AK85" s="139"/>
      <c r="AL85" s="139"/>
      <c r="AM85" s="139"/>
      <c r="AN85" s="139"/>
      <c r="AO85" s="139"/>
      <c r="AP85" s="139"/>
      <c r="AQ85" s="174"/>
      <c r="AR85" s="222"/>
    </row>
    <row r="86" spans="2:44" s="22" customFormat="1" ht="18" customHeight="1" x14ac:dyDescent="0.25">
      <c r="B86" s="145"/>
      <c r="C86" s="139"/>
      <c r="D86" s="146"/>
      <c r="E86" s="139"/>
      <c r="F86" s="139"/>
      <c r="G86" s="139"/>
      <c r="H86" s="139"/>
      <c r="I86" s="139"/>
      <c r="J86" s="139"/>
      <c r="K86" s="139"/>
      <c r="L86" s="243"/>
      <c r="M86" s="243"/>
      <c r="N86" s="139"/>
      <c r="O86" s="139"/>
      <c r="P86" s="139"/>
      <c r="Q86" s="147"/>
      <c r="R86" s="139"/>
      <c r="S86" s="139"/>
      <c r="T86" s="139"/>
      <c r="U86" s="139"/>
      <c r="V86" s="139"/>
      <c r="W86" s="139"/>
      <c r="X86" s="146"/>
      <c r="Y86" s="148"/>
      <c r="Z86" s="145"/>
      <c r="AA86" s="139"/>
      <c r="AB86" s="149"/>
      <c r="AC86" s="119"/>
      <c r="AD86" s="139"/>
      <c r="AE86" s="139"/>
      <c r="AF86" s="139"/>
      <c r="AG86" s="139"/>
      <c r="AH86" s="139"/>
      <c r="AI86" s="139"/>
      <c r="AJ86" s="139"/>
      <c r="AK86" s="139"/>
      <c r="AL86" s="139"/>
      <c r="AM86" s="139"/>
      <c r="AN86" s="139"/>
      <c r="AO86" s="139"/>
      <c r="AP86" s="139"/>
      <c r="AQ86" s="174"/>
      <c r="AR86" s="222"/>
    </row>
    <row r="87" spans="2:44" s="22" customFormat="1" ht="18" customHeight="1" x14ac:dyDescent="0.25">
      <c r="B87" s="145"/>
      <c r="C87" s="139"/>
      <c r="D87" s="146"/>
      <c r="E87" s="139"/>
      <c r="F87" s="139"/>
      <c r="G87" s="139"/>
      <c r="H87" s="139"/>
      <c r="I87" s="139"/>
      <c r="J87" s="139"/>
      <c r="K87" s="139"/>
      <c r="L87" s="243"/>
      <c r="M87" s="243"/>
      <c r="N87" s="139"/>
      <c r="O87" s="139"/>
      <c r="P87" s="139"/>
      <c r="Q87" s="147"/>
      <c r="R87" s="139"/>
      <c r="S87" s="139"/>
      <c r="T87" s="139"/>
      <c r="U87" s="139"/>
      <c r="V87" s="139"/>
      <c r="W87" s="139"/>
      <c r="X87" s="146"/>
      <c r="Y87" s="148"/>
      <c r="Z87" s="145"/>
      <c r="AA87" s="139"/>
      <c r="AB87" s="149"/>
      <c r="AC87" s="119"/>
      <c r="AD87" s="139"/>
      <c r="AE87" s="139"/>
      <c r="AF87" s="139"/>
      <c r="AG87" s="139"/>
      <c r="AH87" s="139"/>
      <c r="AI87" s="139"/>
      <c r="AJ87" s="139"/>
      <c r="AK87" s="139"/>
      <c r="AL87" s="139"/>
      <c r="AM87" s="139"/>
      <c r="AN87" s="139"/>
      <c r="AO87" s="139"/>
      <c r="AP87" s="139"/>
      <c r="AQ87" s="174"/>
      <c r="AR87" s="222"/>
    </row>
    <row r="88" spans="2:44" s="22" customFormat="1" ht="18" customHeight="1" x14ac:dyDescent="0.25">
      <c r="B88" s="145"/>
      <c r="C88" s="139"/>
      <c r="D88" s="146"/>
      <c r="E88" s="139"/>
      <c r="F88" s="139"/>
      <c r="G88" s="139"/>
      <c r="H88" s="139"/>
      <c r="I88" s="139"/>
      <c r="J88" s="139"/>
      <c r="K88" s="139"/>
      <c r="L88" s="243"/>
      <c r="M88" s="243"/>
      <c r="N88" s="139"/>
      <c r="O88" s="139"/>
      <c r="P88" s="139"/>
      <c r="Q88" s="147"/>
      <c r="R88" s="139"/>
      <c r="S88" s="139"/>
      <c r="T88" s="139"/>
      <c r="U88" s="139"/>
      <c r="V88" s="139"/>
      <c r="W88" s="139"/>
      <c r="X88" s="146"/>
      <c r="Y88" s="148"/>
      <c r="Z88" s="145"/>
      <c r="AA88" s="139"/>
      <c r="AB88" s="149"/>
      <c r="AC88" s="11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74"/>
      <c r="AR88" s="222"/>
    </row>
    <row r="89" spans="2:44" s="140" customFormat="1" ht="18" customHeight="1" x14ac:dyDescent="0.25">
      <c r="B89" s="145"/>
      <c r="C89" s="139"/>
      <c r="D89" s="146"/>
      <c r="E89" s="139"/>
      <c r="F89" s="139"/>
      <c r="G89" s="139"/>
      <c r="H89" s="139"/>
      <c r="I89" s="139"/>
      <c r="J89" s="139"/>
      <c r="K89" s="139"/>
      <c r="L89" s="243"/>
      <c r="M89" s="243"/>
      <c r="N89" s="139"/>
      <c r="O89" s="139"/>
      <c r="P89" s="139"/>
      <c r="Q89" s="147"/>
      <c r="R89" s="139"/>
      <c r="S89" s="139"/>
      <c r="T89" s="139"/>
      <c r="U89" s="139"/>
      <c r="V89" s="139"/>
      <c r="W89" s="139"/>
      <c r="X89" s="146"/>
      <c r="Y89" s="148"/>
      <c r="Z89" s="145"/>
      <c r="AA89" s="139"/>
      <c r="AB89" s="149"/>
      <c r="AC89" s="11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74"/>
      <c r="AR89" s="222"/>
    </row>
    <row r="90" spans="2:44" s="22" customFormat="1" ht="18" customHeight="1" x14ac:dyDescent="0.25">
      <c r="B90" s="145"/>
      <c r="C90" s="139"/>
      <c r="D90" s="146"/>
      <c r="E90" s="139"/>
      <c r="F90" s="139"/>
      <c r="G90" s="139"/>
      <c r="H90" s="139"/>
      <c r="I90" s="139"/>
      <c r="J90" s="139"/>
      <c r="K90" s="139"/>
      <c r="L90" s="243"/>
      <c r="M90" s="243"/>
      <c r="N90" s="139"/>
      <c r="O90" s="139"/>
      <c r="P90" s="139"/>
      <c r="Q90" s="147"/>
      <c r="R90" s="139"/>
      <c r="S90" s="139"/>
      <c r="T90" s="139"/>
      <c r="U90" s="139"/>
      <c r="V90" s="139"/>
      <c r="W90" s="139"/>
      <c r="X90" s="146"/>
      <c r="Y90" s="148"/>
      <c r="Z90" s="145"/>
      <c r="AA90" s="139"/>
      <c r="AB90" s="149"/>
      <c r="AC90" s="119"/>
      <c r="AD90" s="139"/>
      <c r="AE90" s="139"/>
      <c r="AF90" s="139"/>
      <c r="AG90" s="139"/>
      <c r="AH90" s="139"/>
      <c r="AI90" s="139"/>
      <c r="AJ90" s="139"/>
      <c r="AK90" s="139"/>
      <c r="AL90" s="139"/>
      <c r="AM90" s="139"/>
      <c r="AN90" s="139"/>
      <c r="AO90" s="139"/>
      <c r="AP90" s="139"/>
      <c r="AQ90" s="174"/>
      <c r="AR90" s="222"/>
    </row>
    <row r="91" spans="2:44" s="22" customFormat="1" ht="18" customHeight="1" x14ac:dyDescent="0.25">
      <c r="B91" s="145"/>
      <c r="C91" s="139"/>
      <c r="D91" s="146"/>
      <c r="E91" s="139"/>
      <c r="F91" s="139"/>
      <c r="G91" s="139"/>
      <c r="H91" s="139"/>
      <c r="I91" s="139"/>
      <c r="J91" s="139"/>
      <c r="K91" s="139"/>
      <c r="L91" s="243"/>
      <c r="M91" s="243"/>
      <c r="N91" s="139"/>
      <c r="O91" s="139"/>
      <c r="P91" s="139"/>
      <c r="Q91" s="147"/>
      <c r="R91" s="139"/>
      <c r="S91" s="139"/>
      <c r="T91" s="139"/>
      <c r="U91" s="139"/>
      <c r="V91" s="139"/>
      <c r="W91" s="139"/>
      <c r="X91" s="146"/>
      <c r="Y91" s="148"/>
      <c r="Z91" s="145"/>
      <c r="AA91" s="139"/>
      <c r="AB91" s="149"/>
      <c r="AC91" s="119"/>
      <c r="AD91" s="139"/>
      <c r="AE91" s="139"/>
      <c r="AF91" s="139"/>
      <c r="AG91" s="139"/>
      <c r="AH91" s="139"/>
      <c r="AI91" s="139"/>
      <c r="AJ91" s="139"/>
      <c r="AK91" s="139"/>
      <c r="AL91" s="139"/>
      <c r="AM91" s="139"/>
      <c r="AN91" s="139"/>
      <c r="AO91" s="139"/>
      <c r="AP91" s="139"/>
      <c r="AQ91" s="174"/>
      <c r="AR91" s="222"/>
    </row>
    <row r="92" spans="2:44" s="22" customFormat="1" ht="18" customHeight="1" x14ac:dyDescent="0.25">
      <c r="B92" s="145"/>
      <c r="C92" s="139"/>
      <c r="D92" s="146"/>
      <c r="E92" s="139"/>
      <c r="F92" s="139"/>
      <c r="G92" s="139"/>
      <c r="H92" s="139"/>
      <c r="I92" s="139"/>
      <c r="J92" s="139"/>
      <c r="K92" s="139"/>
      <c r="L92" s="243"/>
      <c r="M92" s="243"/>
      <c r="N92" s="139"/>
      <c r="O92" s="139"/>
      <c r="P92" s="139"/>
      <c r="Q92" s="147"/>
      <c r="R92" s="139"/>
      <c r="S92" s="139"/>
      <c r="T92" s="139"/>
      <c r="U92" s="139"/>
      <c r="V92" s="139"/>
      <c r="W92" s="139"/>
      <c r="X92" s="146"/>
      <c r="Y92" s="148"/>
      <c r="Z92" s="145"/>
      <c r="AA92" s="139"/>
      <c r="AB92" s="149"/>
      <c r="AC92" s="119"/>
      <c r="AD92" s="139"/>
      <c r="AE92" s="139"/>
      <c r="AF92" s="139"/>
      <c r="AG92" s="139"/>
      <c r="AH92" s="139"/>
      <c r="AI92" s="139"/>
      <c r="AJ92" s="139"/>
      <c r="AK92" s="139"/>
      <c r="AL92" s="139"/>
      <c r="AM92" s="139"/>
      <c r="AN92" s="139"/>
      <c r="AO92" s="139"/>
      <c r="AP92" s="139"/>
      <c r="AQ92" s="174"/>
      <c r="AR92" s="222"/>
    </row>
    <row r="93" spans="2:44" s="22" customFormat="1" ht="18" customHeight="1" x14ac:dyDescent="0.25">
      <c r="B93" s="145"/>
      <c r="C93" s="139"/>
      <c r="D93" s="146"/>
      <c r="E93" s="139"/>
      <c r="F93" s="139"/>
      <c r="G93" s="139"/>
      <c r="H93" s="139"/>
      <c r="I93" s="139"/>
      <c r="J93" s="139"/>
      <c r="K93" s="139"/>
      <c r="L93" s="243"/>
      <c r="M93" s="243"/>
      <c r="N93" s="139"/>
      <c r="O93" s="139"/>
      <c r="P93" s="139"/>
      <c r="Q93" s="147"/>
      <c r="R93" s="139"/>
      <c r="S93" s="139"/>
      <c r="T93" s="139"/>
      <c r="U93" s="139"/>
      <c r="V93" s="139"/>
      <c r="W93" s="139"/>
      <c r="X93" s="146"/>
      <c r="Y93" s="148"/>
      <c r="Z93" s="145"/>
      <c r="AA93" s="139"/>
      <c r="AB93" s="149"/>
      <c r="AC93" s="119"/>
      <c r="AD93" s="139"/>
      <c r="AE93" s="139"/>
      <c r="AF93" s="139"/>
      <c r="AG93" s="139"/>
      <c r="AH93" s="139"/>
      <c r="AI93" s="139"/>
      <c r="AJ93" s="139"/>
      <c r="AK93" s="139"/>
      <c r="AL93" s="139"/>
      <c r="AM93" s="139"/>
      <c r="AN93" s="139"/>
      <c r="AO93" s="139"/>
      <c r="AP93" s="139"/>
      <c r="AQ93" s="174"/>
      <c r="AR93" s="222"/>
    </row>
    <row r="94" spans="2:44" s="22" customFormat="1" ht="18" customHeight="1" x14ac:dyDescent="0.25">
      <c r="B94" s="145"/>
      <c r="C94" s="139"/>
      <c r="D94" s="146"/>
      <c r="E94" s="139"/>
      <c r="F94" s="139"/>
      <c r="G94" s="139"/>
      <c r="H94" s="139"/>
      <c r="I94" s="139"/>
      <c r="J94" s="139"/>
      <c r="K94" s="139"/>
      <c r="L94" s="243"/>
      <c r="M94" s="243"/>
      <c r="N94" s="139"/>
      <c r="O94" s="139"/>
      <c r="P94" s="139"/>
      <c r="Q94" s="147"/>
      <c r="R94" s="139"/>
      <c r="S94" s="139"/>
      <c r="T94" s="139"/>
      <c r="U94" s="139"/>
      <c r="V94" s="139"/>
      <c r="W94" s="139"/>
      <c r="X94" s="146"/>
      <c r="Y94" s="148"/>
      <c r="Z94" s="145"/>
      <c r="AA94" s="139"/>
      <c r="AB94" s="149"/>
      <c r="AC94" s="119"/>
      <c r="AD94" s="139"/>
      <c r="AE94" s="139"/>
      <c r="AF94" s="139"/>
      <c r="AG94" s="139"/>
      <c r="AH94" s="139"/>
      <c r="AI94" s="139"/>
      <c r="AJ94" s="139"/>
      <c r="AK94" s="139"/>
      <c r="AL94" s="139"/>
      <c r="AM94" s="139"/>
      <c r="AN94" s="139"/>
      <c r="AO94" s="139"/>
      <c r="AP94" s="139"/>
      <c r="AQ94" s="174"/>
      <c r="AR94" s="222"/>
    </row>
    <row r="95" spans="2:44" s="140" customFormat="1" ht="18" customHeight="1" x14ac:dyDescent="0.25">
      <c r="B95" s="145"/>
      <c r="C95" s="139"/>
      <c r="D95" s="146"/>
      <c r="E95" s="139"/>
      <c r="F95" s="139"/>
      <c r="G95" s="139"/>
      <c r="H95" s="139"/>
      <c r="I95" s="139"/>
      <c r="J95" s="139"/>
      <c r="K95" s="139"/>
      <c r="L95" s="243"/>
      <c r="M95" s="243"/>
      <c r="N95" s="139"/>
      <c r="O95" s="139"/>
      <c r="P95" s="139"/>
      <c r="Q95" s="147"/>
      <c r="R95" s="139"/>
      <c r="S95" s="139"/>
      <c r="T95" s="139"/>
      <c r="U95" s="139"/>
      <c r="V95" s="139"/>
      <c r="W95" s="139"/>
      <c r="X95" s="146"/>
      <c r="Y95" s="148"/>
      <c r="Z95" s="145"/>
      <c r="AA95" s="139"/>
      <c r="AB95" s="149"/>
      <c r="AC95" s="119"/>
      <c r="AD95" s="139"/>
      <c r="AE95" s="139"/>
      <c r="AF95" s="139"/>
      <c r="AG95" s="139"/>
      <c r="AH95" s="139"/>
      <c r="AI95" s="139"/>
      <c r="AJ95" s="139"/>
      <c r="AK95" s="139"/>
      <c r="AL95" s="139"/>
      <c r="AM95" s="139"/>
      <c r="AN95" s="139"/>
      <c r="AO95" s="139"/>
      <c r="AP95" s="139"/>
      <c r="AQ95" s="174"/>
      <c r="AR95" s="222"/>
    </row>
    <row r="96" spans="2:44" s="140" customFormat="1" ht="18" customHeight="1" x14ac:dyDescent="0.25">
      <c r="B96" s="145"/>
      <c r="C96" s="139"/>
      <c r="D96" s="146"/>
      <c r="E96" s="139"/>
      <c r="F96" s="139"/>
      <c r="G96" s="139"/>
      <c r="H96" s="139"/>
      <c r="I96" s="139"/>
      <c r="J96" s="139"/>
      <c r="K96" s="139"/>
      <c r="L96" s="243"/>
      <c r="M96" s="243"/>
      <c r="N96" s="139"/>
      <c r="O96" s="139"/>
      <c r="P96" s="139"/>
      <c r="Q96" s="147"/>
      <c r="R96" s="139"/>
      <c r="S96" s="139"/>
      <c r="T96" s="139"/>
      <c r="U96" s="139"/>
      <c r="V96" s="139"/>
      <c r="W96" s="139"/>
      <c r="X96" s="146"/>
      <c r="Y96" s="148"/>
      <c r="Z96" s="145"/>
      <c r="AA96" s="139"/>
      <c r="AB96" s="149"/>
      <c r="AC96" s="119"/>
      <c r="AD96" s="139"/>
      <c r="AE96" s="139"/>
      <c r="AF96" s="139"/>
      <c r="AG96" s="139"/>
      <c r="AH96" s="139"/>
      <c r="AI96" s="139"/>
      <c r="AJ96" s="139"/>
      <c r="AK96" s="139"/>
      <c r="AL96" s="139"/>
      <c r="AM96" s="139"/>
      <c r="AN96" s="139"/>
      <c r="AO96" s="139"/>
      <c r="AP96" s="139"/>
      <c r="AQ96" s="174"/>
      <c r="AR96" s="222"/>
    </row>
    <row r="97" spans="2:44" s="140" customFormat="1" ht="18" customHeight="1" x14ac:dyDescent="0.25">
      <c r="B97" s="145"/>
      <c r="C97" s="139"/>
      <c r="D97" s="146"/>
      <c r="E97" s="139"/>
      <c r="F97" s="139"/>
      <c r="G97" s="139"/>
      <c r="H97" s="139"/>
      <c r="I97" s="139"/>
      <c r="J97" s="139"/>
      <c r="K97" s="139"/>
      <c r="L97" s="243"/>
      <c r="M97" s="243"/>
      <c r="N97" s="139"/>
      <c r="O97" s="139"/>
      <c r="P97" s="139"/>
      <c r="Q97" s="147"/>
      <c r="R97" s="139"/>
      <c r="S97" s="139"/>
      <c r="T97" s="139"/>
      <c r="U97" s="139"/>
      <c r="V97" s="139"/>
      <c r="W97" s="139"/>
      <c r="X97" s="146"/>
      <c r="Y97" s="148"/>
      <c r="Z97" s="145"/>
      <c r="AA97" s="139"/>
      <c r="AB97" s="149"/>
      <c r="AC97" s="119"/>
      <c r="AD97" s="139"/>
      <c r="AE97" s="139"/>
      <c r="AF97" s="139"/>
      <c r="AG97" s="139"/>
      <c r="AH97" s="139"/>
      <c r="AI97" s="139"/>
      <c r="AJ97" s="139"/>
      <c r="AK97" s="139"/>
      <c r="AL97" s="139"/>
      <c r="AM97" s="139"/>
      <c r="AN97" s="139"/>
      <c r="AO97" s="139"/>
      <c r="AP97" s="139"/>
      <c r="AQ97" s="174"/>
      <c r="AR97" s="222"/>
    </row>
    <row r="98" spans="2:44" s="140" customFormat="1" ht="18" customHeight="1" x14ac:dyDescent="0.25">
      <c r="B98" s="145"/>
      <c r="C98" s="139"/>
      <c r="D98" s="146"/>
      <c r="E98" s="139"/>
      <c r="F98" s="139"/>
      <c r="G98" s="139"/>
      <c r="H98" s="139"/>
      <c r="I98" s="139"/>
      <c r="J98" s="139"/>
      <c r="K98" s="139"/>
      <c r="L98" s="243"/>
      <c r="M98" s="243"/>
      <c r="N98" s="139"/>
      <c r="O98" s="139"/>
      <c r="P98" s="139"/>
      <c r="Q98" s="147"/>
      <c r="R98" s="139"/>
      <c r="S98" s="139"/>
      <c r="T98" s="139"/>
      <c r="U98" s="139"/>
      <c r="V98" s="139"/>
      <c r="W98" s="139"/>
      <c r="X98" s="146"/>
      <c r="Y98" s="148"/>
      <c r="Z98" s="145"/>
      <c r="AA98" s="139"/>
      <c r="AB98" s="149"/>
      <c r="AC98" s="119"/>
      <c r="AD98" s="139"/>
      <c r="AE98" s="139"/>
      <c r="AF98" s="139"/>
      <c r="AG98" s="139"/>
      <c r="AH98" s="139"/>
      <c r="AI98" s="139"/>
      <c r="AJ98" s="139"/>
      <c r="AK98" s="139"/>
      <c r="AL98" s="139"/>
      <c r="AM98" s="139"/>
      <c r="AN98" s="139"/>
      <c r="AO98" s="139"/>
      <c r="AP98" s="139"/>
      <c r="AQ98" s="174"/>
      <c r="AR98" s="222"/>
    </row>
    <row r="99" spans="2:44" s="140" customFormat="1" ht="18" customHeight="1" x14ac:dyDescent="0.25">
      <c r="B99" s="145"/>
      <c r="C99" s="139"/>
      <c r="D99" s="146"/>
      <c r="E99" s="139"/>
      <c r="F99" s="139"/>
      <c r="G99" s="139"/>
      <c r="H99" s="139"/>
      <c r="I99" s="139"/>
      <c r="J99" s="139"/>
      <c r="K99" s="139"/>
      <c r="L99" s="243"/>
      <c r="M99" s="243"/>
      <c r="N99" s="139"/>
      <c r="O99" s="139"/>
      <c r="P99" s="139"/>
      <c r="Q99" s="147"/>
      <c r="R99" s="139"/>
      <c r="S99" s="139"/>
      <c r="T99" s="139"/>
      <c r="U99" s="139"/>
      <c r="V99" s="139"/>
      <c r="W99" s="139"/>
      <c r="X99" s="146"/>
      <c r="Y99" s="148"/>
      <c r="Z99" s="145"/>
      <c r="AA99" s="139"/>
      <c r="AB99" s="149"/>
      <c r="AC99" s="119"/>
      <c r="AD99" s="139"/>
      <c r="AE99" s="139"/>
      <c r="AF99" s="139"/>
      <c r="AG99" s="139"/>
      <c r="AH99" s="139"/>
      <c r="AI99" s="139"/>
      <c r="AJ99" s="139"/>
      <c r="AK99" s="139"/>
      <c r="AL99" s="139"/>
      <c r="AM99" s="139"/>
      <c r="AN99" s="139"/>
      <c r="AO99" s="139"/>
      <c r="AP99" s="139"/>
      <c r="AQ99" s="174"/>
      <c r="AR99" s="222"/>
    </row>
    <row r="100" spans="2:44" s="140" customFormat="1" ht="18" customHeight="1" x14ac:dyDescent="0.25">
      <c r="B100" s="145"/>
      <c r="C100" s="139"/>
      <c r="D100" s="146"/>
      <c r="E100" s="139"/>
      <c r="F100" s="139"/>
      <c r="G100" s="139"/>
      <c r="H100" s="139"/>
      <c r="I100" s="139"/>
      <c r="J100" s="139"/>
      <c r="K100" s="139"/>
      <c r="L100" s="243"/>
      <c r="M100" s="243"/>
      <c r="N100" s="139"/>
      <c r="O100" s="139"/>
      <c r="P100" s="139"/>
      <c r="Q100" s="147"/>
      <c r="R100" s="139"/>
      <c r="S100" s="139"/>
      <c r="T100" s="139"/>
      <c r="U100" s="139"/>
      <c r="V100" s="139"/>
      <c r="W100" s="139"/>
      <c r="X100" s="146"/>
      <c r="Y100" s="148"/>
      <c r="Z100" s="145"/>
      <c r="AA100" s="139"/>
      <c r="AB100" s="149"/>
      <c r="AC100" s="119"/>
      <c r="AD100" s="139"/>
      <c r="AE100" s="139"/>
      <c r="AF100" s="139"/>
      <c r="AG100" s="139"/>
      <c r="AH100" s="139"/>
      <c r="AI100" s="139"/>
      <c r="AJ100" s="139"/>
      <c r="AK100" s="139"/>
      <c r="AL100" s="139"/>
      <c r="AM100" s="139"/>
      <c r="AN100" s="139"/>
      <c r="AO100" s="139"/>
      <c r="AP100" s="139"/>
      <c r="AQ100" s="174"/>
      <c r="AR100" s="222"/>
    </row>
    <row r="101" spans="2:44" s="140" customFormat="1" ht="18" customHeight="1" x14ac:dyDescent="0.25">
      <c r="B101" s="145"/>
      <c r="C101" s="139"/>
      <c r="D101" s="146"/>
      <c r="E101" s="139"/>
      <c r="F101" s="139"/>
      <c r="G101" s="139"/>
      <c r="H101" s="139"/>
      <c r="I101" s="139"/>
      <c r="J101" s="139"/>
      <c r="K101" s="139"/>
      <c r="L101" s="243"/>
      <c r="M101" s="243"/>
      <c r="N101" s="139"/>
      <c r="O101" s="139"/>
      <c r="P101" s="139"/>
      <c r="Q101" s="147"/>
      <c r="R101" s="139"/>
      <c r="S101" s="139"/>
      <c r="T101" s="139"/>
      <c r="U101" s="139"/>
      <c r="V101" s="139"/>
      <c r="W101" s="139"/>
      <c r="X101" s="146"/>
      <c r="Y101" s="148"/>
      <c r="Z101" s="145"/>
      <c r="AA101" s="139"/>
      <c r="AB101" s="149"/>
      <c r="AC101" s="119"/>
      <c r="AD101" s="139"/>
      <c r="AE101" s="139"/>
      <c r="AF101" s="139"/>
      <c r="AG101" s="139"/>
      <c r="AH101" s="139"/>
      <c r="AI101" s="139"/>
      <c r="AJ101" s="139"/>
      <c r="AK101" s="139"/>
      <c r="AL101" s="139"/>
      <c r="AM101" s="139"/>
      <c r="AN101" s="139"/>
      <c r="AO101" s="139"/>
      <c r="AP101" s="139"/>
      <c r="AQ101" s="174"/>
      <c r="AR101" s="222"/>
    </row>
    <row r="102" spans="2:44" s="22" customFormat="1" ht="18" customHeight="1" x14ac:dyDescent="0.25">
      <c r="B102" s="145"/>
      <c r="C102" s="139"/>
      <c r="D102" s="146"/>
      <c r="E102" s="139"/>
      <c r="F102" s="139"/>
      <c r="G102" s="139"/>
      <c r="H102" s="139"/>
      <c r="I102" s="139"/>
      <c r="J102" s="139"/>
      <c r="K102" s="139"/>
      <c r="L102" s="243"/>
      <c r="M102" s="243"/>
      <c r="N102" s="139"/>
      <c r="O102" s="139"/>
      <c r="P102" s="139"/>
      <c r="Q102" s="147"/>
      <c r="R102" s="139"/>
      <c r="S102" s="139"/>
      <c r="T102" s="139"/>
      <c r="U102" s="139"/>
      <c r="V102" s="139"/>
      <c r="W102" s="139"/>
      <c r="X102" s="146"/>
      <c r="Y102" s="148"/>
      <c r="Z102" s="145"/>
      <c r="AA102" s="139"/>
      <c r="AB102" s="149"/>
      <c r="AC102" s="119"/>
      <c r="AD102" s="139"/>
      <c r="AE102" s="139"/>
      <c r="AF102" s="139"/>
      <c r="AG102" s="139"/>
      <c r="AH102" s="139"/>
      <c r="AI102" s="139"/>
      <c r="AJ102" s="139"/>
      <c r="AK102" s="139"/>
      <c r="AL102" s="139"/>
      <c r="AM102" s="139"/>
      <c r="AN102" s="139"/>
      <c r="AO102" s="139"/>
      <c r="AP102" s="139"/>
      <c r="AQ102" s="174"/>
      <c r="AR102" s="222"/>
    </row>
    <row r="103" spans="2:44" s="140" customFormat="1" ht="18" customHeight="1" x14ac:dyDescent="0.25">
      <c r="B103" s="145"/>
      <c r="C103" s="139"/>
      <c r="D103" s="146"/>
      <c r="E103" s="139"/>
      <c r="F103" s="139"/>
      <c r="G103" s="139"/>
      <c r="H103" s="139"/>
      <c r="I103" s="139"/>
      <c r="J103" s="139"/>
      <c r="K103" s="139"/>
      <c r="L103" s="243"/>
      <c r="M103" s="243"/>
      <c r="N103" s="139"/>
      <c r="O103" s="139"/>
      <c r="P103" s="139"/>
      <c r="Q103" s="147"/>
      <c r="R103" s="139"/>
      <c r="S103" s="139"/>
      <c r="T103" s="139"/>
      <c r="U103" s="139"/>
      <c r="V103" s="139"/>
      <c r="W103" s="139"/>
      <c r="X103" s="146"/>
      <c r="Y103" s="148"/>
      <c r="Z103" s="145"/>
      <c r="AA103" s="139"/>
      <c r="AB103" s="149"/>
      <c r="AC103" s="119"/>
      <c r="AD103" s="139"/>
      <c r="AE103" s="139"/>
      <c r="AF103" s="139"/>
      <c r="AG103" s="139"/>
      <c r="AH103" s="139"/>
      <c r="AI103" s="139"/>
      <c r="AJ103" s="139"/>
      <c r="AK103" s="139"/>
      <c r="AL103" s="139"/>
      <c r="AM103" s="139"/>
      <c r="AN103" s="139"/>
      <c r="AO103" s="139"/>
      <c r="AP103" s="139"/>
      <c r="AQ103" s="174"/>
      <c r="AR103" s="222"/>
    </row>
    <row r="104" spans="2:44" s="140" customFormat="1" ht="18" customHeight="1" x14ac:dyDescent="0.25">
      <c r="B104" s="145"/>
      <c r="C104" s="139"/>
      <c r="D104" s="146"/>
      <c r="E104" s="139"/>
      <c r="F104" s="139"/>
      <c r="G104" s="139"/>
      <c r="H104" s="139"/>
      <c r="I104" s="139"/>
      <c r="J104" s="139"/>
      <c r="K104" s="139"/>
      <c r="L104" s="243"/>
      <c r="M104" s="243"/>
      <c r="N104" s="139"/>
      <c r="O104" s="139"/>
      <c r="P104" s="139"/>
      <c r="Q104" s="147"/>
      <c r="R104" s="139"/>
      <c r="S104" s="139"/>
      <c r="T104" s="139"/>
      <c r="U104" s="139"/>
      <c r="V104" s="139"/>
      <c r="W104" s="139"/>
      <c r="X104" s="146"/>
      <c r="Y104" s="148"/>
      <c r="Z104" s="145"/>
      <c r="AA104" s="139"/>
      <c r="AB104" s="149"/>
      <c r="AC104" s="119"/>
      <c r="AD104" s="139"/>
      <c r="AE104" s="139"/>
      <c r="AF104" s="139"/>
      <c r="AG104" s="139"/>
      <c r="AH104" s="139"/>
      <c r="AI104" s="139"/>
      <c r="AJ104" s="139"/>
      <c r="AK104" s="139"/>
      <c r="AL104" s="139"/>
      <c r="AM104" s="139"/>
      <c r="AN104" s="139"/>
      <c r="AO104" s="139"/>
      <c r="AP104" s="139"/>
      <c r="AQ104" s="174"/>
      <c r="AR104" s="222"/>
    </row>
    <row r="105" spans="2:44" s="140" customFormat="1" ht="18" customHeight="1" x14ac:dyDescent="0.25">
      <c r="B105" s="145"/>
      <c r="C105" s="139"/>
      <c r="D105" s="146"/>
      <c r="E105" s="139"/>
      <c r="F105" s="139"/>
      <c r="G105" s="139"/>
      <c r="H105" s="139"/>
      <c r="I105" s="139"/>
      <c r="J105" s="139"/>
      <c r="K105" s="139"/>
      <c r="L105" s="243"/>
      <c r="M105" s="243"/>
      <c r="N105" s="139"/>
      <c r="O105" s="139"/>
      <c r="P105" s="139"/>
      <c r="Q105" s="147"/>
      <c r="R105" s="139"/>
      <c r="S105" s="139"/>
      <c r="T105" s="139"/>
      <c r="U105" s="139"/>
      <c r="V105" s="139"/>
      <c r="W105" s="139"/>
      <c r="X105" s="146"/>
      <c r="Y105" s="148"/>
      <c r="Z105" s="145"/>
      <c r="AA105" s="139"/>
      <c r="AB105" s="149"/>
      <c r="AC105" s="119"/>
      <c r="AD105" s="139"/>
      <c r="AE105" s="139"/>
      <c r="AF105" s="139"/>
      <c r="AG105" s="139"/>
      <c r="AH105" s="139"/>
      <c r="AI105" s="139"/>
      <c r="AJ105" s="139"/>
      <c r="AK105" s="139"/>
      <c r="AL105" s="139"/>
      <c r="AM105" s="139"/>
      <c r="AN105" s="139"/>
      <c r="AO105" s="139"/>
      <c r="AP105" s="139"/>
      <c r="AQ105" s="174"/>
      <c r="AR105" s="222"/>
    </row>
    <row r="106" spans="2:44" s="140" customFormat="1" ht="18" customHeight="1" x14ac:dyDescent="0.25">
      <c r="B106" s="145"/>
      <c r="C106" s="139"/>
      <c r="D106" s="146"/>
      <c r="E106" s="139"/>
      <c r="F106" s="139"/>
      <c r="G106" s="139"/>
      <c r="H106" s="139"/>
      <c r="I106" s="139"/>
      <c r="J106" s="139"/>
      <c r="K106" s="139"/>
      <c r="L106" s="243"/>
      <c r="M106" s="243"/>
      <c r="N106" s="139"/>
      <c r="O106" s="139"/>
      <c r="P106" s="139"/>
      <c r="Q106" s="147"/>
      <c r="R106" s="139"/>
      <c r="S106" s="139"/>
      <c r="T106" s="139"/>
      <c r="U106" s="139"/>
      <c r="V106" s="139"/>
      <c r="W106" s="139"/>
      <c r="X106" s="146"/>
      <c r="Y106" s="148"/>
      <c r="Z106" s="145"/>
      <c r="AA106" s="139"/>
      <c r="AB106" s="149"/>
      <c r="AC106" s="119"/>
      <c r="AD106" s="139"/>
      <c r="AE106" s="139"/>
      <c r="AF106" s="139"/>
      <c r="AG106" s="139"/>
      <c r="AH106" s="139"/>
      <c r="AI106" s="139"/>
      <c r="AJ106" s="139"/>
      <c r="AK106" s="139"/>
      <c r="AL106" s="139"/>
      <c r="AM106" s="139"/>
      <c r="AN106" s="139"/>
      <c r="AO106" s="139"/>
      <c r="AP106" s="139"/>
      <c r="AQ106" s="174"/>
      <c r="AR106" s="222"/>
    </row>
    <row r="107" spans="2:44" s="22" customFormat="1" ht="18" customHeight="1" x14ac:dyDescent="0.25">
      <c r="B107" s="145"/>
      <c r="C107" s="139"/>
      <c r="D107" s="146"/>
      <c r="E107" s="139"/>
      <c r="F107" s="139"/>
      <c r="G107" s="139"/>
      <c r="H107" s="139"/>
      <c r="I107" s="139"/>
      <c r="J107" s="139"/>
      <c r="K107" s="139"/>
      <c r="L107" s="243"/>
      <c r="M107" s="243"/>
      <c r="N107" s="139"/>
      <c r="O107" s="139"/>
      <c r="P107" s="139"/>
      <c r="Q107" s="147"/>
      <c r="R107" s="139"/>
      <c r="S107" s="139"/>
      <c r="T107" s="139"/>
      <c r="U107" s="139"/>
      <c r="V107" s="139"/>
      <c r="W107" s="139"/>
      <c r="X107" s="146"/>
      <c r="Y107" s="148"/>
      <c r="Z107" s="145"/>
      <c r="AA107" s="139"/>
      <c r="AB107" s="149"/>
      <c r="AC107" s="11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74"/>
      <c r="AR107" s="222"/>
    </row>
    <row r="108" spans="2:44" s="22" customFormat="1" ht="18" customHeight="1" x14ac:dyDescent="0.25">
      <c r="B108" s="145"/>
      <c r="C108" s="139"/>
      <c r="D108" s="146"/>
      <c r="E108" s="139"/>
      <c r="F108" s="139"/>
      <c r="G108" s="139"/>
      <c r="H108" s="139"/>
      <c r="I108" s="139"/>
      <c r="J108" s="139"/>
      <c r="K108" s="139"/>
      <c r="L108" s="243"/>
      <c r="M108" s="243"/>
      <c r="N108" s="139"/>
      <c r="O108" s="139"/>
      <c r="P108" s="139"/>
      <c r="Q108" s="147"/>
      <c r="R108" s="139"/>
      <c r="S108" s="139"/>
      <c r="T108" s="139"/>
      <c r="U108" s="139"/>
      <c r="V108" s="139"/>
      <c r="W108" s="139"/>
      <c r="X108" s="146"/>
      <c r="Y108" s="148"/>
      <c r="Z108" s="145"/>
      <c r="AA108" s="139"/>
      <c r="AB108" s="149"/>
      <c r="AC108" s="119"/>
      <c r="AD108" s="139"/>
      <c r="AE108" s="139"/>
      <c r="AF108" s="139"/>
      <c r="AG108" s="139"/>
      <c r="AH108" s="139"/>
      <c r="AI108" s="139"/>
      <c r="AJ108" s="139"/>
      <c r="AK108" s="139"/>
      <c r="AL108" s="139"/>
      <c r="AM108" s="139"/>
      <c r="AN108" s="139"/>
      <c r="AO108" s="139"/>
      <c r="AP108" s="139"/>
      <c r="AQ108" s="174"/>
      <c r="AR108" s="222"/>
    </row>
    <row r="109" spans="2:44" s="22" customFormat="1" ht="18" customHeight="1" x14ac:dyDescent="0.25">
      <c r="B109" s="145"/>
      <c r="C109" s="139"/>
      <c r="D109" s="146"/>
      <c r="E109" s="139"/>
      <c r="F109" s="139"/>
      <c r="G109" s="139"/>
      <c r="H109" s="139"/>
      <c r="I109" s="139"/>
      <c r="J109" s="139"/>
      <c r="K109" s="139"/>
      <c r="L109" s="243"/>
      <c r="M109" s="243"/>
      <c r="N109" s="139"/>
      <c r="O109" s="139"/>
      <c r="P109" s="139"/>
      <c r="Q109" s="147"/>
      <c r="R109" s="139"/>
      <c r="S109" s="139"/>
      <c r="T109" s="139"/>
      <c r="U109" s="139"/>
      <c r="V109" s="139"/>
      <c r="W109" s="139"/>
      <c r="X109" s="146"/>
      <c r="Y109" s="148"/>
      <c r="Z109" s="145"/>
      <c r="AA109" s="139"/>
      <c r="AB109" s="149"/>
      <c r="AC109" s="119"/>
      <c r="AD109" s="139"/>
      <c r="AE109" s="139"/>
      <c r="AF109" s="139"/>
      <c r="AG109" s="139"/>
      <c r="AH109" s="139"/>
      <c r="AI109" s="139"/>
      <c r="AJ109" s="139"/>
      <c r="AK109" s="139"/>
      <c r="AL109" s="139"/>
      <c r="AM109" s="139"/>
      <c r="AN109" s="139"/>
      <c r="AO109" s="139"/>
      <c r="AP109" s="139"/>
      <c r="AQ109" s="174"/>
      <c r="AR109" s="222"/>
    </row>
    <row r="110" spans="2:44" s="22" customFormat="1" ht="18" customHeight="1" x14ac:dyDescent="0.25">
      <c r="B110" s="145"/>
      <c r="C110" s="139"/>
      <c r="D110" s="146"/>
      <c r="E110" s="139"/>
      <c r="F110" s="139"/>
      <c r="G110" s="139"/>
      <c r="H110" s="139"/>
      <c r="I110" s="139"/>
      <c r="J110" s="139"/>
      <c r="K110" s="139"/>
      <c r="L110" s="243"/>
      <c r="M110" s="243"/>
      <c r="N110" s="139"/>
      <c r="O110" s="139"/>
      <c r="P110" s="139"/>
      <c r="Q110" s="147"/>
      <c r="R110" s="139"/>
      <c r="S110" s="139"/>
      <c r="T110" s="139"/>
      <c r="U110" s="139"/>
      <c r="V110" s="139"/>
      <c r="W110" s="139"/>
      <c r="X110" s="146"/>
      <c r="Y110" s="148"/>
      <c r="Z110" s="145"/>
      <c r="AA110" s="139"/>
      <c r="AB110" s="149"/>
      <c r="AC110" s="119"/>
      <c r="AD110" s="139"/>
      <c r="AE110" s="139"/>
      <c r="AF110" s="139"/>
      <c r="AG110" s="139"/>
      <c r="AH110" s="139"/>
      <c r="AI110" s="139"/>
      <c r="AJ110" s="139"/>
      <c r="AK110" s="139"/>
      <c r="AL110" s="139"/>
      <c r="AM110" s="139"/>
      <c r="AN110" s="139"/>
      <c r="AO110" s="139"/>
      <c r="AP110" s="139"/>
      <c r="AQ110" s="174"/>
      <c r="AR110" s="222"/>
    </row>
    <row r="111" spans="2:44" s="142" customFormat="1" ht="18" customHeight="1" x14ac:dyDescent="0.25">
      <c r="B111" s="145"/>
      <c r="C111" s="139"/>
      <c r="D111" s="146"/>
      <c r="E111" s="139"/>
      <c r="F111" s="139"/>
      <c r="G111" s="139"/>
      <c r="H111" s="139"/>
      <c r="I111" s="139"/>
      <c r="J111" s="139"/>
      <c r="K111" s="139"/>
      <c r="L111" s="243"/>
      <c r="M111" s="243"/>
      <c r="N111" s="139"/>
      <c r="O111" s="139"/>
      <c r="P111" s="139"/>
      <c r="Q111" s="147"/>
      <c r="R111" s="139"/>
      <c r="S111" s="139"/>
      <c r="T111" s="139"/>
      <c r="U111" s="139"/>
      <c r="V111" s="139"/>
      <c r="W111" s="139"/>
      <c r="X111" s="146"/>
      <c r="Y111" s="148"/>
      <c r="Z111" s="145"/>
      <c r="AA111" s="139"/>
      <c r="AB111" s="149"/>
      <c r="AC111" s="119"/>
      <c r="AD111" s="139"/>
      <c r="AE111" s="139"/>
      <c r="AF111" s="139"/>
      <c r="AG111" s="139"/>
      <c r="AH111" s="139"/>
      <c r="AI111" s="139"/>
      <c r="AJ111" s="139"/>
      <c r="AK111" s="139"/>
      <c r="AL111" s="139"/>
      <c r="AM111" s="139"/>
      <c r="AN111" s="139"/>
      <c r="AO111" s="139"/>
      <c r="AP111" s="139"/>
      <c r="AQ111" s="174"/>
      <c r="AR111" s="222"/>
    </row>
    <row r="112" spans="2:44" s="22" customFormat="1" ht="18" customHeight="1" x14ac:dyDescent="0.25">
      <c r="B112" s="145"/>
      <c r="C112" s="139"/>
      <c r="D112" s="146"/>
      <c r="E112" s="139"/>
      <c r="F112" s="139"/>
      <c r="G112" s="139"/>
      <c r="H112" s="139"/>
      <c r="I112" s="139"/>
      <c r="J112" s="139"/>
      <c r="K112" s="139"/>
      <c r="L112" s="243"/>
      <c r="M112" s="243"/>
      <c r="N112" s="139"/>
      <c r="O112" s="139"/>
      <c r="P112" s="139"/>
      <c r="Q112" s="147"/>
      <c r="R112" s="139"/>
      <c r="S112" s="139"/>
      <c r="T112" s="139"/>
      <c r="U112" s="139"/>
      <c r="V112" s="139"/>
      <c r="W112" s="139"/>
      <c r="X112" s="146"/>
      <c r="Y112" s="148"/>
      <c r="Z112" s="145"/>
      <c r="AA112" s="139"/>
      <c r="AB112" s="149"/>
      <c r="AC112" s="119"/>
      <c r="AD112" s="139"/>
      <c r="AE112" s="139"/>
      <c r="AF112" s="139"/>
      <c r="AG112" s="139"/>
      <c r="AH112" s="139"/>
      <c r="AI112" s="139"/>
      <c r="AJ112" s="139"/>
      <c r="AK112" s="139"/>
      <c r="AL112" s="139"/>
      <c r="AM112" s="139"/>
      <c r="AN112" s="139"/>
      <c r="AO112" s="139"/>
      <c r="AP112" s="139"/>
      <c r="AQ112" s="174"/>
      <c r="AR112" s="222"/>
    </row>
    <row r="113" spans="2:44" s="22" customFormat="1" ht="18" customHeight="1" x14ac:dyDescent="0.25">
      <c r="B113" s="145"/>
      <c r="C113" s="139"/>
      <c r="D113" s="146"/>
      <c r="E113" s="139"/>
      <c r="F113" s="139"/>
      <c r="G113" s="139"/>
      <c r="H113" s="139"/>
      <c r="I113" s="139"/>
      <c r="J113" s="139"/>
      <c r="K113" s="139"/>
      <c r="L113" s="243"/>
      <c r="M113" s="243"/>
      <c r="N113" s="139"/>
      <c r="O113" s="139"/>
      <c r="P113" s="139"/>
      <c r="Q113" s="147"/>
      <c r="R113" s="139"/>
      <c r="S113" s="139"/>
      <c r="T113" s="139"/>
      <c r="U113" s="139"/>
      <c r="V113" s="139"/>
      <c r="W113" s="139"/>
      <c r="X113" s="146"/>
      <c r="Y113" s="148"/>
      <c r="Z113" s="145"/>
      <c r="AA113" s="139"/>
      <c r="AB113" s="149"/>
      <c r="AC113" s="119"/>
      <c r="AD113" s="139"/>
      <c r="AE113" s="139"/>
      <c r="AF113" s="139"/>
      <c r="AG113" s="139"/>
      <c r="AH113" s="139"/>
      <c r="AI113" s="139"/>
      <c r="AJ113" s="139"/>
      <c r="AK113" s="139"/>
      <c r="AL113" s="139"/>
      <c r="AM113" s="139"/>
      <c r="AN113" s="139"/>
      <c r="AO113" s="139"/>
      <c r="AP113" s="139"/>
      <c r="AQ113" s="174"/>
      <c r="AR113" s="222"/>
    </row>
    <row r="114" spans="2:44" s="22" customFormat="1" ht="18" customHeight="1" x14ac:dyDescent="0.25">
      <c r="B114" s="145"/>
      <c r="C114" s="139"/>
      <c r="D114" s="146"/>
      <c r="E114" s="139"/>
      <c r="F114" s="139"/>
      <c r="G114" s="139"/>
      <c r="H114" s="139"/>
      <c r="I114" s="139"/>
      <c r="J114" s="139"/>
      <c r="K114" s="139"/>
      <c r="L114" s="243"/>
      <c r="M114" s="243"/>
      <c r="N114" s="139"/>
      <c r="O114" s="139"/>
      <c r="P114" s="139"/>
      <c r="Q114" s="147"/>
      <c r="R114" s="139"/>
      <c r="S114" s="139"/>
      <c r="T114" s="139"/>
      <c r="U114" s="139"/>
      <c r="V114" s="139"/>
      <c r="W114" s="139"/>
      <c r="X114" s="146"/>
      <c r="Y114" s="148"/>
      <c r="Z114" s="145"/>
      <c r="AA114" s="139"/>
      <c r="AB114" s="149"/>
      <c r="AC114" s="119"/>
      <c r="AD114" s="139"/>
      <c r="AE114" s="139"/>
      <c r="AF114" s="139"/>
      <c r="AG114" s="139"/>
      <c r="AH114" s="139"/>
      <c r="AI114" s="139"/>
      <c r="AJ114" s="139"/>
      <c r="AK114" s="139"/>
      <c r="AL114" s="139"/>
      <c r="AM114" s="139"/>
      <c r="AN114" s="139"/>
      <c r="AO114" s="139"/>
      <c r="AP114" s="139"/>
      <c r="AQ114" s="174"/>
      <c r="AR114" s="222"/>
    </row>
    <row r="115" spans="2:44" s="22" customFormat="1" ht="18" customHeight="1" x14ac:dyDescent="0.25">
      <c r="B115" s="145"/>
      <c r="C115" s="139"/>
      <c r="D115" s="146"/>
      <c r="E115" s="139"/>
      <c r="F115" s="139"/>
      <c r="G115" s="139"/>
      <c r="H115" s="139"/>
      <c r="I115" s="139"/>
      <c r="J115" s="139"/>
      <c r="K115" s="139"/>
      <c r="L115" s="243"/>
      <c r="M115" s="243"/>
      <c r="N115" s="139"/>
      <c r="O115" s="139"/>
      <c r="P115" s="139"/>
      <c r="Q115" s="147"/>
      <c r="R115" s="139"/>
      <c r="S115" s="139"/>
      <c r="T115" s="139"/>
      <c r="U115" s="139"/>
      <c r="V115" s="139"/>
      <c r="W115" s="139"/>
      <c r="X115" s="146"/>
      <c r="Y115" s="148"/>
      <c r="Z115" s="145"/>
      <c r="AA115" s="139"/>
      <c r="AB115" s="149"/>
      <c r="AC115" s="119"/>
      <c r="AD115" s="139"/>
      <c r="AE115" s="139"/>
      <c r="AF115" s="139"/>
      <c r="AG115" s="139"/>
      <c r="AH115" s="139"/>
      <c r="AI115" s="139"/>
      <c r="AJ115" s="139"/>
      <c r="AK115" s="139"/>
      <c r="AL115" s="139"/>
      <c r="AM115" s="139"/>
      <c r="AN115" s="139"/>
      <c r="AO115" s="139"/>
      <c r="AP115" s="139"/>
      <c r="AQ115" s="174"/>
      <c r="AR115" s="222"/>
    </row>
    <row r="116" spans="2:44" s="22" customFormat="1" ht="18" customHeight="1" x14ac:dyDescent="0.25">
      <c r="B116" s="145"/>
      <c r="C116" s="139"/>
      <c r="D116" s="146"/>
      <c r="E116" s="139"/>
      <c r="F116" s="139"/>
      <c r="G116" s="139"/>
      <c r="H116" s="139"/>
      <c r="I116" s="139"/>
      <c r="J116" s="139"/>
      <c r="K116" s="139"/>
      <c r="L116" s="243"/>
      <c r="M116" s="243"/>
      <c r="N116" s="139"/>
      <c r="O116" s="139"/>
      <c r="P116" s="139"/>
      <c r="Q116" s="147"/>
      <c r="R116" s="139"/>
      <c r="S116" s="139"/>
      <c r="T116" s="139"/>
      <c r="U116" s="139"/>
      <c r="V116" s="139"/>
      <c r="W116" s="139"/>
      <c r="X116" s="146"/>
      <c r="Y116" s="148"/>
      <c r="Z116" s="145"/>
      <c r="AA116" s="139"/>
      <c r="AB116" s="149"/>
      <c r="AC116" s="11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74"/>
      <c r="AR116" s="222"/>
    </row>
    <row r="117" spans="2:44" s="22" customFormat="1" ht="18" customHeight="1" x14ac:dyDescent="0.25">
      <c r="B117" s="145"/>
      <c r="C117" s="139"/>
      <c r="D117" s="146"/>
      <c r="E117" s="139"/>
      <c r="F117" s="139"/>
      <c r="G117" s="139"/>
      <c r="H117" s="139"/>
      <c r="I117" s="139"/>
      <c r="J117" s="139"/>
      <c r="K117" s="139"/>
      <c r="L117" s="243"/>
      <c r="M117" s="243"/>
      <c r="N117" s="139"/>
      <c r="O117" s="139"/>
      <c r="P117" s="139"/>
      <c r="Q117" s="147"/>
      <c r="R117" s="139"/>
      <c r="S117" s="139"/>
      <c r="T117" s="139"/>
      <c r="U117" s="139"/>
      <c r="V117" s="139"/>
      <c r="W117" s="139"/>
      <c r="X117" s="146"/>
      <c r="Y117" s="148"/>
      <c r="Z117" s="145"/>
      <c r="AA117" s="139"/>
      <c r="AB117" s="149"/>
      <c r="AC117" s="11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74"/>
      <c r="AR117" s="222"/>
    </row>
    <row r="118" spans="2:44" s="141" customFormat="1" ht="18" customHeight="1" x14ac:dyDescent="0.25">
      <c r="B118" s="145"/>
      <c r="C118" s="139"/>
      <c r="D118" s="146"/>
      <c r="E118" s="139"/>
      <c r="F118" s="139"/>
      <c r="G118" s="139"/>
      <c r="H118" s="139"/>
      <c r="I118" s="139"/>
      <c r="J118" s="139"/>
      <c r="K118" s="139"/>
      <c r="L118" s="243"/>
      <c r="M118" s="243"/>
      <c r="N118" s="139"/>
      <c r="O118" s="139"/>
      <c r="P118" s="139"/>
      <c r="Q118" s="147"/>
      <c r="R118" s="139"/>
      <c r="S118" s="139"/>
      <c r="T118" s="139"/>
      <c r="U118" s="139"/>
      <c r="V118" s="139"/>
      <c r="W118" s="139"/>
      <c r="X118" s="146"/>
      <c r="Y118" s="148"/>
      <c r="Z118" s="145"/>
      <c r="AA118" s="139"/>
      <c r="AB118" s="149"/>
      <c r="AC118" s="11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74"/>
      <c r="AR118" s="222"/>
    </row>
    <row r="119" spans="2:44" s="141" customFormat="1" ht="18" customHeight="1" x14ac:dyDescent="0.25">
      <c r="B119" s="145"/>
      <c r="C119" s="139"/>
      <c r="D119" s="146"/>
      <c r="E119" s="139"/>
      <c r="F119" s="139"/>
      <c r="G119" s="139"/>
      <c r="H119" s="139"/>
      <c r="I119" s="139"/>
      <c r="J119" s="139"/>
      <c r="K119" s="139"/>
      <c r="L119" s="243"/>
      <c r="M119" s="243"/>
      <c r="N119" s="139"/>
      <c r="O119" s="139"/>
      <c r="P119" s="139"/>
      <c r="Q119" s="147"/>
      <c r="R119" s="139"/>
      <c r="S119" s="139"/>
      <c r="T119" s="139"/>
      <c r="U119" s="139"/>
      <c r="V119" s="139"/>
      <c r="W119" s="139"/>
      <c r="X119" s="146"/>
      <c r="Y119" s="148"/>
      <c r="Z119" s="145"/>
      <c r="AA119" s="139"/>
      <c r="AB119" s="149"/>
      <c r="AC119" s="11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74"/>
      <c r="AR119" s="222"/>
    </row>
    <row r="120" spans="2:44" s="22" customFormat="1" ht="18" customHeight="1" x14ac:dyDescent="0.25">
      <c r="B120" s="145"/>
      <c r="C120" s="139"/>
      <c r="D120" s="146"/>
      <c r="E120" s="139"/>
      <c r="F120" s="139"/>
      <c r="G120" s="139"/>
      <c r="H120" s="139"/>
      <c r="I120" s="139"/>
      <c r="J120" s="139"/>
      <c r="K120" s="139"/>
      <c r="L120" s="243"/>
      <c r="M120" s="243"/>
      <c r="N120" s="139"/>
      <c r="O120" s="139"/>
      <c r="P120" s="139"/>
      <c r="Q120" s="147"/>
      <c r="R120" s="139"/>
      <c r="S120" s="139"/>
      <c r="T120" s="139"/>
      <c r="U120" s="139"/>
      <c r="V120" s="139"/>
      <c r="W120" s="139"/>
      <c r="X120" s="146"/>
      <c r="Y120" s="148"/>
      <c r="Z120" s="145"/>
      <c r="AA120" s="139"/>
      <c r="AB120" s="149"/>
      <c r="AC120" s="11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74"/>
      <c r="AR120" s="222"/>
    </row>
    <row r="121" spans="2:44" s="141" customFormat="1" ht="18" customHeight="1" x14ac:dyDescent="0.25">
      <c r="B121" s="145"/>
      <c r="C121" s="139"/>
      <c r="D121" s="146"/>
      <c r="E121" s="139"/>
      <c r="F121" s="139"/>
      <c r="G121" s="139"/>
      <c r="H121" s="139"/>
      <c r="I121" s="139"/>
      <c r="J121" s="139"/>
      <c r="K121" s="139"/>
      <c r="L121" s="243"/>
      <c r="M121" s="243"/>
      <c r="N121" s="139"/>
      <c r="O121" s="139"/>
      <c r="P121" s="139"/>
      <c r="Q121" s="147"/>
      <c r="R121" s="139"/>
      <c r="S121" s="139"/>
      <c r="T121" s="139"/>
      <c r="U121" s="139"/>
      <c r="V121" s="139"/>
      <c r="W121" s="139"/>
      <c r="X121" s="146"/>
      <c r="Y121" s="148"/>
      <c r="Z121" s="145"/>
      <c r="AA121" s="139"/>
      <c r="AB121" s="149"/>
      <c r="AC121" s="11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74"/>
      <c r="AR121" s="222"/>
    </row>
    <row r="122" spans="2:44" s="22" customFormat="1" ht="18" customHeight="1" x14ac:dyDescent="0.25">
      <c r="B122" s="145"/>
      <c r="C122" s="139"/>
      <c r="D122" s="146"/>
      <c r="E122" s="139"/>
      <c r="F122" s="139"/>
      <c r="G122" s="139"/>
      <c r="H122" s="139"/>
      <c r="I122" s="139"/>
      <c r="J122" s="139"/>
      <c r="K122" s="139"/>
      <c r="L122" s="243"/>
      <c r="M122" s="243"/>
      <c r="N122" s="139"/>
      <c r="O122" s="139"/>
      <c r="P122" s="139"/>
      <c r="Q122" s="147"/>
      <c r="R122" s="139"/>
      <c r="S122" s="139"/>
      <c r="T122" s="139"/>
      <c r="U122" s="139"/>
      <c r="V122" s="139"/>
      <c r="W122" s="139"/>
      <c r="X122" s="146"/>
      <c r="Y122" s="148"/>
      <c r="Z122" s="145"/>
      <c r="AA122" s="139"/>
      <c r="AB122" s="149"/>
      <c r="AC122" s="11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74"/>
      <c r="AR122" s="222"/>
    </row>
    <row r="123" spans="2:44" s="22" customFormat="1" ht="18" customHeight="1" x14ac:dyDescent="0.25">
      <c r="B123" s="145"/>
      <c r="C123" s="139"/>
      <c r="D123" s="146"/>
      <c r="E123" s="139"/>
      <c r="F123" s="139"/>
      <c r="G123" s="139"/>
      <c r="H123" s="139"/>
      <c r="I123" s="139"/>
      <c r="J123" s="139"/>
      <c r="K123" s="139"/>
      <c r="L123" s="243"/>
      <c r="M123" s="243"/>
      <c r="N123" s="139"/>
      <c r="O123" s="139"/>
      <c r="P123" s="139"/>
      <c r="Q123" s="147"/>
      <c r="R123" s="139"/>
      <c r="S123" s="139"/>
      <c r="T123" s="139"/>
      <c r="U123" s="139"/>
      <c r="V123" s="139"/>
      <c r="W123" s="139"/>
      <c r="X123" s="146"/>
      <c r="Y123" s="148"/>
      <c r="Z123" s="145"/>
      <c r="AA123" s="139"/>
      <c r="AB123" s="149"/>
      <c r="AC123" s="11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74"/>
      <c r="AR123" s="222"/>
    </row>
    <row r="124" spans="2:44" s="22" customFormat="1" ht="18" customHeight="1" x14ac:dyDescent="0.25">
      <c r="B124" s="145"/>
      <c r="C124" s="139"/>
      <c r="D124" s="146"/>
      <c r="E124" s="139"/>
      <c r="F124" s="139"/>
      <c r="G124" s="139"/>
      <c r="H124" s="139"/>
      <c r="I124" s="139"/>
      <c r="J124" s="139"/>
      <c r="K124" s="139"/>
      <c r="L124" s="243"/>
      <c r="M124" s="243"/>
      <c r="N124" s="139"/>
      <c r="O124" s="139"/>
      <c r="P124" s="139"/>
      <c r="Q124" s="147"/>
      <c r="R124" s="139"/>
      <c r="S124" s="139"/>
      <c r="T124" s="139"/>
      <c r="U124" s="139"/>
      <c r="V124" s="139"/>
      <c r="W124" s="139"/>
      <c r="X124" s="146"/>
      <c r="Y124" s="148"/>
      <c r="Z124" s="145"/>
      <c r="AA124" s="139"/>
      <c r="AB124" s="149"/>
      <c r="AC124" s="11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74"/>
      <c r="AR124" s="222"/>
    </row>
    <row r="125" spans="2:44" s="22" customFormat="1" ht="18" customHeight="1" x14ac:dyDescent="0.25">
      <c r="B125" s="145"/>
      <c r="C125" s="139"/>
      <c r="D125" s="146"/>
      <c r="E125" s="139"/>
      <c r="F125" s="139"/>
      <c r="G125" s="139"/>
      <c r="H125" s="139"/>
      <c r="I125" s="139"/>
      <c r="J125" s="139"/>
      <c r="K125" s="139"/>
      <c r="L125" s="243"/>
      <c r="M125" s="243"/>
      <c r="N125" s="139"/>
      <c r="O125" s="139"/>
      <c r="P125" s="139"/>
      <c r="Q125" s="147"/>
      <c r="R125" s="139"/>
      <c r="S125" s="139"/>
      <c r="T125" s="139"/>
      <c r="U125" s="139"/>
      <c r="V125" s="139"/>
      <c r="W125" s="139"/>
      <c r="X125" s="146"/>
      <c r="Y125" s="148"/>
      <c r="Z125" s="145"/>
      <c r="AA125" s="139"/>
      <c r="AB125" s="149"/>
      <c r="AC125" s="11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74"/>
      <c r="AR125" s="222"/>
    </row>
    <row r="126" spans="2:44" s="140" customFormat="1" ht="18" customHeight="1" x14ac:dyDescent="0.25">
      <c r="B126" s="145"/>
      <c r="C126" s="139"/>
      <c r="D126" s="146"/>
      <c r="E126" s="139"/>
      <c r="F126" s="139"/>
      <c r="G126" s="139"/>
      <c r="H126" s="139"/>
      <c r="I126" s="139"/>
      <c r="J126" s="139"/>
      <c r="K126" s="139"/>
      <c r="L126" s="243"/>
      <c r="M126" s="243"/>
      <c r="N126" s="139"/>
      <c r="O126" s="139"/>
      <c r="P126" s="139"/>
      <c r="Q126" s="147"/>
      <c r="R126" s="139"/>
      <c r="S126" s="139"/>
      <c r="T126" s="139"/>
      <c r="U126" s="139"/>
      <c r="V126" s="139"/>
      <c r="W126" s="139"/>
      <c r="X126" s="146"/>
      <c r="Y126" s="148"/>
      <c r="Z126" s="145"/>
      <c r="AA126" s="139"/>
      <c r="AB126" s="149"/>
      <c r="AC126" s="11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74"/>
      <c r="AR126" s="222"/>
    </row>
    <row r="127" spans="2:44" s="141" customFormat="1" ht="18" customHeight="1" x14ac:dyDescent="0.25">
      <c r="B127" s="145"/>
      <c r="C127" s="139"/>
      <c r="D127" s="146"/>
      <c r="E127" s="139"/>
      <c r="F127" s="139"/>
      <c r="G127" s="139"/>
      <c r="H127" s="139"/>
      <c r="I127" s="139"/>
      <c r="J127" s="139"/>
      <c r="K127" s="139"/>
      <c r="L127" s="243"/>
      <c r="M127" s="243"/>
      <c r="N127" s="139"/>
      <c r="O127" s="139"/>
      <c r="P127" s="139"/>
      <c r="Q127" s="147"/>
      <c r="R127" s="139"/>
      <c r="S127" s="139"/>
      <c r="T127" s="139"/>
      <c r="U127" s="139"/>
      <c r="V127" s="139"/>
      <c r="W127" s="139"/>
      <c r="X127" s="146"/>
      <c r="Y127" s="148"/>
      <c r="Z127" s="145"/>
      <c r="AA127" s="139"/>
      <c r="AB127" s="149"/>
      <c r="AC127" s="11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74"/>
      <c r="AR127" s="222"/>
    </row>
    <row r="128" spans="2:44" s="140" customFormat="1" ht="18" customHeight="1" x14ac:dyDescent="0.25">
      <c r="B128" s="145"/>
      <c r="C128" s="139"/>
      <c r="D128" s="146"/>
      <c r="E128" s="139"/>
      <c r="F128" s="139"/>
      <c r="G128" s="139"/>
      <c r="H128" s="139"/>
      <c r="I128" s="139"/>
      <c r="J128" s="139"/>
      <c r="K128" s="139"/>
      <c r="L128" s="243"/>
      <c r="M128" s="243"/>
      <c r="N128" s="139"/>
      <c r="O128" s="139"/>
      <c r="P128" s="139"/>
      <c r="Q128" s="147"/>
      <c r="R128" s="139"/>
      <c r="S128" s="139"/>
      <c r="T128" s="139"/>
      <c r="U128" s="139"/>
      <c r="V128" s="139"/>
      <c r="W128" s="139"/>
      <c r="X128" s="146"/>
      <c r="Y128" s="148"/>
      <c r="Z128" s="145"/>
      <c r="AA128" s="139"/>
      <c r="AB128" s="149"/>
      <c r="AC128" s="11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74"/>
      <c r="AR128" s="222"/>
    </row>
    <row r="129" spans="2:44" s="140" customFormat="1" ht="18" customHeight="1" x14ac:dyDescent="0.25">
      <c r="B129" s="145"/>
      <c r="C129" s="139"/>
      <c r="D129" s="146"/>
      <c r="E129" s="139"/>
      <c r="F129" s="139"/>
      <c r="G129" s="139"/>
      <c r="H129" s="139"/>
      <c r="I129" s="139"/>
      <c r="J129" s="139"/>
      <c r="K129" s="139"/>
      <c r="L129" s="243"/>
      <c r="M129" s="243"/>
      <c r="N129" s="139"/>
      <c r="O129" s="139"/>
      <c r="P129" s="139"/>
      <c r="Q129" s="147"/>
      <c r="R129" s="139"/>
      <c r="S129" s="139"/>
      <c r="T129" s="139"/>
      <c r="U129" s="139"/>
      <c r="V129" s="139"/>
      <c r="W129" s="139"/>
      <c r="X129" s="146"/>
      <c r="Y129" s="148"/>
      <c r="Z129" s="145"/>
      <c r="AA129" s="139"/>
      <c r="AB129" s="149"/>
      <c r="AC129" s="11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74"/>
      <c r="AR129" s="222"/>
    </row>
    <row r="130" spans="2:44" s="22" customFormat="1" ht="18" customHeight="1" x14ac:dyDescent="0.25">
      <c r="B130" s="145"/>
      <c r="C130" s="139"/>
      <c r="D130" s="146"/>
      <c r="E130" s="139"/>
      <c r="F130" s="139"/>
      <c r="G130" s="139"/>
      <c r="H130" s="139"/>
      <c r="I130" s="139"/>
      <c r="J130" s="139"/>
      <c r="K130" s="139"/>
      <c r="L130" s="243"/>
      <c r="M130" s="243"/>
      <c r="N130" s="139"/>
      <c r="O130" s="139"/>
      <c r="P130" s="139"/>
      <c r="Q130" s="147"/>
      <c r="R130" s="139"/>
      <c r="S130" s="139"/>
      <c r="T130" s="139"/>
      <c r="U130" s="139"/>
      <c r="V130" s="139"/>
      <c r="W130" s="139"/>
      <c r="X130" s="146"/>
      <c r="Y130" s="148"/>
      <c r="Z130" s="145"/>
      <c r="AA130" s="139"/>
      <c r="AB130" s="149"/>
      <c r="AC130" s="11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74"/>
      <c r="AR130" s="222"/>
    </row>
    <row r="131" spans="2:44" s="22" customFormat="1" ht="18" customHeight="1" x14ac:dyDescent="0.25">
      <c r="B131" s="145"/>
      <c r="C131" s="139"/>
      <c r="D131" s="146"/>
      <c r="E131" s="139"/>
      <c r="F131" s="139"/>
      <c r="G131" s="139"/>
      <c r="H131" s="139"/>
      <c r="I131" s="139"/>
      <c r="J131" s="139"/>
      <c r="K131" s="139"/>
      <c r="L131" s="243"/>
      <c r="M131" s="243"/>
      <c r="N131" s="139"/>
      <c r="O131" s="139"/>
      <c r="P131" s="139"/>
      <c r="Q131" s="147"/>
      <c r="R131" s="139"/>
      <c r="S131" s="139"/>
      <c r="T131" s="139"/>
      <c r="U131" s="139"/>
      <c r="V131" s="139"/>
      <c r="W131" s="139"/>
      <c r="X131" s="146"/>
      <c r="Y131" s="148"/>
      <c r="Z131" s="145"/>
      <c r="AA131" s="139"/>
      <c r="AB131" s="149"/>
      <c r="AC131" s="11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74"/>
      <c r="AR131" s="222"/>
    </row>
    <row r="132" spans="2:44" s="22" customFormat="1" ht="18" customHeight="1" x14ac:dyDescent="0.25">
      <c r="B132" s="145"/>
      <c r="C132" s="139"/>
      <c r="D132" s="146"/>
      <c r="E132" s="139"/>
      <c r="F132" s="139"/>
      <c r="G132" s="139"/>
      <c r="H132" s="139"/>
      <c r="I132" s="139"/>
      <c r="J132" s="139"/>
      <c r="K132" s="139"/>
      <c r="L132" s="243"/>
      <c r="M132" s="243"/>
      <c r="N132" s="139"/>
      <c r="O132" s="139"/>
      <c r="P132" s="139"/>
      <c r="Q132" s="147"/>
      <c r="R132" s="139"/>
      <c r="S132" s="139"/>
      <c r="T132" s="139"/>
      <c r="U132" s="139"/>
      <c r="V132" s="139"/>
      <c r="W132" s="139"/>
      <c r="X132" s="146"/>
      <c r="Y132" s="148"/>
      <c r="Z132" s="145"/>
      <c r="AA132" s="139"/>
      <c r="AB132" s="149"/>
      <c r="AC132" s="11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74"/>
      <c r="AR132" s="222"/>
    </row>
    <row r="133" spans="2:44" s="22" customFormat="1" ht="18" customHeight="1" x14ac:dyDescent="0.25">
      <c r="B133" s="145"/>
      <c r="C133" s="139"/>
      <c r="D133" s="146"/>
      <c r="E133" s="139"/>
      <c r="F133" s="139"/>
      <c r="G133" s="139"/>
      <c r="H133" s="139"/>
      <c r="I133" s="139"/>
      <c r="J133" s="139"/>
      <c r="K133" s="139"/>
      <c r="L133" s="243"/>
      <c r="M133" s="243"/>
      <c r="N133" s="139"/>
      <c r="O133" s="139"/>
      <c r="P133" s="139"/>
      <c r="Q133" s="147"/>
      <c r="R133" s="139"/>
      <c r="S133" s="139"/>
      <c r="T133" s="139"/>
      <c r="U133" s="139"/>
      <c r="V133" s="139"/>
      <c r="W133" s="139"/>
      <c r="X133" s="146"/>
      <c r="Y133" s="148"/>
      <c r="Z133" s="145"/>
      <c r="AA133" s="139"/>
      <c r="AB133" s="149"/>
      <c r="AC133" s="11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74"/>
      <c r="AR133" s="222"/>
    </row>
    <row r="134" spans="2:44" s="22" customFormat="1" ht="18" customHeight="1" x14ac:dyDescent="0.25">
      <c r="B134" s="145"/>
      <c r="C134" s="139"/>
      <c r="D134" s="146"/>
      <c r="E134" s="139"/>
      <c r="F134" s="139"/>
      <c r="G134" s="139"/>
      <c r="H134" s="139"/>
      <c r="I134" s="139"/>
      <c r="J134" s="139"/>
      <c r="K134" s="139"/>
      <c r="L134" s="243"/>
      <c r="M134" s="243"/>
      <c r="N134" s="139"/>
      <c r="O134" s="139"/>
      <c r="P134" s="139"/>
      <c r="Q134" s="147"/>
      <c r="R134" s="139"/>
      <c r="S134" s="139"/>
      <c r="T134" s="139"/>
      <c r="U134" s="139"/>
      <c r="V134" s="139"/>
      <c r="W134" s="139"/>
      <c r="X134" s="146"/>
      <c r="Y134" s="148"/>
      <c r="Z134" s="145"/>
      <c r="AA134" s="139"/>
      <c r="AB134" s="149"/>
      <c r="AC134" s="11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74"/>
      <c r="AR134" s="222"/>
    </row>
    <row r="135" spans="2:44" s="22" customFormat="1" ht="18" customHeight="1" x14ac:dyDescent="0.25">
      <c r="B135" s="145"/>
      <c r="C135" s="139"/>
      <c r="D135" s="146"/>
      <c r="E135" s="139"/>
      <c r="F135" s="139"/>
      <c r="G135" s="139"/>
      <c r="H135" s="139"/>
      <c r="I135" s="139"/>
      <c r="J135" s="139"/>
      <c r="K135" s="139"/>
      <c r="L135" s="243"/>
      <c r="M135" s="243"/>
      <c r="N135" s="139"/>
      <c r="O135" s="139"/>
      <c r="P135" s="139"/>
      <c r="Q135" s="147"/>
      <c r="R135" s="139"/>
      <c r="S135" s="139"/>
      <c r="T135" s="139"/>
      <c r="U135" s="139"/>
      <c r="V135" s="139"/>
      <c r="W135" s="139"/>
      <c r="X135" s="146"/>
      <c r="Y135" s="148"/>
      <c r="Z135" s="145"/>
      <c r="AA135" s="139"/>
      <c r="AB135" s="149"/>
      <c r="AC135" s="11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74"/>
      <c r="AR135" s="222"/>
    </row>
    <row r="136" spans="2:44" s="141" customFormat="1" ht="18" customHeight="1" x14ac:dyDescent="0.25">
      <c r="B136" s="145"/>
      <c r="C136" s="139"/>
      <c r="D136" s="146"/>
      <c r="E136" s="139"/>
      <c r="F136" s="139"/>
      <c r="G136" s="139"/>
      <c r="H136" s="139"/>
      <c r="I136" s="139"/>
      <c r="J136" s="139"/>
      <c r="K136" s="139"/>
      <c r="L136" s="243"/>
      <c r="M136" s="243"/>
      <c r="N136" s="139"/>
      <c r="O136" s="139"/>
      <c r="P136" s="139"/>
      <c r="Q136" s="147"/>
      <c r="R136" s="139"/>
      <c r="S136" s="139"/>
      <c r="T136" s="139"/>
      <c r="U136" s="139"/>
      <c r="V136" s="139"/>
      <c r="W136" s="139"/>
      <c r="X136" s="146"/>
      <c r="Y136" s="148"/>
      <c r="Z136" s="145"/>
      <c r="AA136" s="139"/>
      <c r="AB136" s="149"/>
      <c r="AC136" s="11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74"/>
      <c r="AR136" s="222"/>
    </row>
    <row r="137" spans="2:44" s="140" customFormat="1" ht="18" customHeight="1" x14ac:dyDescent="0.25">
      <c r="B137" s="145"/>
      <c r="C137" s="139"/>
      <c r="D137" s="146"/>
      <c r="E137" s="139"/>
      <c r="F137" s="139"/>
      <c r="G137" s="139"/>
      <c r="H137" s="139"/>
      <c r="I137" s="139"/>
      <c r="J137" s="139"/>
      <c r="K137" s="139"/>
      <c r="L137" s="243"/>
      <c r="M137" s="243"/>
      <c r="N137" s="139"/>
      <c r="O137" s="139"/>
      <c r="P137" s="139"/>
      <c r="Q137" s="147"/>
      <c r="R137" s="139"/>
      <c r="S137" s="139"/>
      <c r="T137" s="139"/>
      <c r="U137" s="139"/>
      <c r="V137" s="139"/>
      <c r="W137" s="139"/>
      <c r="X137" s="146"/>
      <c r="Y137" s="148"/>
      <c r="Z137" s="145"/>
      <c r="AA137" s="139"/>
      <c r="AB137" s="149"/>
      <c r="AC137" s="11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74"/>
      <c r="AR137" s="222"/>
    </row>
    <row r="138" spans="2:44" s="141" customFormat="1" ht="18" customHeight="1" x14ac:dyDescent="0.25">
      <c r="B138" s="145"/>
      <c r="C138" s="139"/>
      <c r="D138" s="146"/>
      <c r="E138" s="139"/>
      <c r="F138" s="139"/>
      <c r="G138" s="139"/>
      <c r="H138" s="139"/>
      <c r="I138" s="139"/>
      <c r="J138" s="139"/>
      <c r="K138" s="139"/>
      <c r="L138" s="243"/>
      <c r="M138" s="243"/>
      <c r="N138" s="139"/>
      <c r="O138" s="139"/>
      <c r="P138" s="139"/>
      <c r="Q138" s="147"/>
      <c r="R138" s="139"/>
      <c r="S138" s="139"/>
      <c r="T138" s="139"/>
      <c r="U138" s="139"/>
      <c r="V138" s="139"/>
      <c r="W138" s="139"/>
      <c r="X138" s="146"/>
      <c r="Y138" s="148"/>
      <c r="Z138" s="145"/>
      <c r="AA138" s="139"/>
      <c r="AB138" s="149"/>
      <c r="AC138" s="11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74"/>
      <c r="AR138" s="222"/>
    </row>
    <row r="139" spans="2:44" s="141" customFormat="1" ht="18" customHeight="1" x14ac:dyDescent="0.25">
      <c r="B139" s="145"/>
      <c r="C139" s="139"/>
      <c r="D139" s="146"/>
      <c r="E139" s="139"/>
      <c r="F139" s="139"/>
      <c r="G139" s="139"/>
      <c r="H139" s="139"/>
      <c r="I139" s="139"/>
      <c r="J139" s="139"/>
      <c r="K139" s="139"/>
      <c r="L139" s="243"/>
      <c r="M139" s="243"/>
      <c r="N139" s="139"/>
      <c r="O139" s="139"/>
      <c r="P139" s="139"/>
      <c r="Q139" s="147"/>
      <c r="R139" s="139"/>
      <c r="S139" s="139"/>
      <c r="T139" s="139"/>
      <c r="U139" s="139"/>
      <c r="V139" s="139"/>
      <c r="W139" s="139"/>
      <c r="X139" s="146"/>
      <c r="Y139" s="148"/>
      <c r="Z139" s="145"/>
      <c r="AA139" s="139"/>
      <c r="AB139" s="149"/>
      <c r="AC139" s="11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74"/>
      <c r="AR139" s="222"/>
    </row>
    <row r="140" spans="2:44" s="141" customFormat="1" ht="18" customHeight="1" x14ac:dyDescent="0.25">
      <c r="B140" s="145"/>
      <c r="C140" s="139"/>
      <c r="D140" s="146"/>
      <c r="E140" s="139"/>
      <c r="F140" s="139"/>
      <c r="G140" s="139"/>
      <c r="H140" s="139"/>
      <c r="I140" s="139"/>
      <c r="J140" s="139"/>
      <c r="K140" s="139"/>
      <c r="L140" s="243"/>
      <c r="M140" s="243"/>
      <c r="N140" s="139"/>
      <c r="O140" s="139"/>
      <c r="P140" s="139"/>
      <c r="Q140" s="147"/>
      <c r="R140" s="139"/>
      <c r="S140" s="139"/>
      <c r="T140" s="139"/>
      <c r="U140" s="139"/>
      <c r="V140" s="139"/>
      <c r="W140" s="139"/>
      <c r="X140" s="146"/>
      <c r="Y140" s="148"/>
      <c r="Z140" s="145"/>
      <c r="AA140" s="139"/>
      <c r="AB140" s="149"/>
      <c r="AC140" s="11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74"/>
      <c r="AR140" s="222"/>
    </row>
    <row r="141" spans="2:44" s="141" customFormat="1" ht="18" customHeight="1" x14ac:dyDescent="0.25">
      <c r="B141" s="145"/>
      <c r="C141" s="139"/>
      <c r="D141" s="146"/>
      <c r="E141" s="139"/>
      <c r="F141" s="139"/>
      <c r="G141" s="139"/>
      <c r="H141" s="139"/>
      <c r="I141" s="139"/>
      <c r="J141" s="139"/>
      <c r="K141" s="139"/>
      <c r="L141" s="243"/>
      <c r="M141" s="243"/>
      <c r="N141" s="139"/>
      <c r="O141" s="139"/>
      <c r="P141" s="139"/>
      <c r="Q141" s="147"/>
      <c r="R141" s="139"/>
      <c r="S141" s="139"/>
      <c r="T141" s="139"/>
      <c r="U141" s="139"/>
      <c r="V141" s="139"/>
      <c r="W141" s="139"/>
      <c r="X141" s="146"/>
      <c r="Y141" s="148"/>
      <c r="Z141" s="145"/>
      <c r="AA141" s="139"/>
      <c r="AB141" s="149"/>
      <c r="AC141" s="11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74"/>
      <c r="AR141" s="222"/>
    </row>
    <row r="142" spans="2:44" s="141" customFormat="1" ht="18" customHeight="1" x14ac:dyDescent="0.25">
      <c r="B142" s="145"/>
      <c r="C142" s="139"/>
      <c r="D142" s="146"/>
      <c r="E142" s="139"/>
      <c r="F142" s="139"/>
      <c r="G142" s="139"/>
      <c r="H142" s="139"/>
      <c r="I142" s="139"/>
      <c r="J142" s="139"/>
      <c r="K142" s="139"/>
      <c r="L142" s="243"/>
      <c r="M142" s="243"/>
      <c r="N142" s="139"/>
      <c r="O142" s="139"/>
      <c r="P142" s="139"/>
      <c r="Q142" s="147"/>
      <c r="R142" s="139"/>
      <c r="S142" s="139"/>
      <c r="T142" s="139"/>
      <c r="U142" s="139"/>
      <c r="V142" s="139"/>
      <c r="W142" s="139"/>
      <c r="X142" s="146"/>
      <c r="Y142" s="148"/>
      <c r="Z142" s="145"/>
      <c r="AA142" s="139"/>
      <c r="AB142" s="149"/>
      <c r="AC142" s="11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74"/>
      <c r="AR142" s="222"/>
    </row>
    <row r="143" spans="2:44" s="22" customFormat="1" ht="18" customHeight="1" x14ac:dyDescent="0.25">
      <c r="B143" s="145"/>
      <c r="C143" s="139"/>
      <c r="D143" s="146"/>
      <c r="E143" s="139"/>
      <c r="F143" s="139"/>
      <c r="G143" s="139"/>
      <c r="H143" s="139"/>
      <c r="I143" s="139"/>
      <c r="J143" s="139"/>
      <c r="K143" s="139"/>
      <c r="L143" s="243"/>
      <c r="M143" s="243"/>
      <c r="N143" s="139"/>
      <c r="O143" s="139"/>
      <c r="P143" s="139"/>
      <c r="Q143" s="147"/>
      <c r="R143" s="139"/>
      <c r="S143" s="139"/>
      <c r="T143" s="139"/>
      <c r="U143" s="139"/>
      <c r="V143" s="139"/>
      <c r="W143" s="139"/>
      <c r="X143" s="146"/>
      <c r="Y143" s="148"/>
      <c r="Z143" s="145"/>
      <c r="AA143" s="139"/>
      <c r="AB143" s="149"/>
      <c r="AC143" s="11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74"/>
      <c r="AR143" s="222"/>
    </row>
    <row r="144" spans="2:44" s="22" customFormat="1" ht="18" customHeight="1" x14ac:dyDescent="0.25">
      <c r="B144" s="145"/>
      <c r="C144" s="139"/>
      <c r="D144" s="146"/>
      <c r="E144" s="139"/>
      <c r="F144" s="139"/>
      <c r="G144" s="139"/>
      <c r="H144" s="139"/>
      <c r="I144" s="139"/>
      <c r="J144" s="139"/>
      <c r="K144" s="139"/>
      <c r="L144" s="243"/>
      <c r="M144" s="243"/>
      <c r="N144" s="139"/>
      <c r="O144" s="139"/>
      <c r="P144" s="139"/>
      <c r="Q144" s="147"/>
      <c r="R144" s="139"/>
      <c r="S144" s="139"/>
      <c r="T144" s="139"/>
      <c r="U144" s="139"/>
      <c r="V144" s="139"/>
      <c r="W144" s="139"/>
      <c r="X144" s="146"/>
      <c r="Y144" s="148"/>
      <c r="Z144" s="145"/>
      <c r="AA144" s="139"/>
      <c r="AB144" s="149"/>
      <c r="AC144" s="11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74"/>
      <c r="AR144" s="222"/>
    </row>
    <row r="145" spans="2:44" s="22" customFormat="1" ht="18" customHeight="1" x14ac:dyDescent="0.25">
      <c r="B145" s="145"/>
      <c r="C145" s="139"/>
      <c r="D145" s="146"/>
      <c r="E145" s="139"/>
      <c r="F145" s="139"/>
      <c r="G145" s="139"/>
      <c r="H145" s="139"/>
      <c r="I145" s="139"/>
      <c r="J145" s="139"/>
      <c r="K145" s="139"/>
      <c r="L145" s="243"/>
      <c r="M145" s="243"/>
      <c r="N145" s="139"/>
      <c r="O145" s="139"/>
      <c r="P145" s="139"/>
      <c r="Q145" s="147"/>
      <c r="R145" s="139"/>
      <c r="S145" s="139"/>
      <c r="T145" s="139"/>
      <c r="U145" s="139"/>
      <c r="V145" s="139"/>
      <c r="W145" s="139"/>
      <c r="X145" s="146"/>
      <c r="Y145" s="148"/>
      <c r="Z145" s="145"/>
      <c r="AA145" s="139"/>
      <c r="AB145" s="149"/>
      <c r="AC145" s="11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74"/>
      <c r="AR145" s="222"/>
    </row>
    <row r="146" spans="2:44" s="22" customFormat="1" ht="18" customHeight="1" x14ac:dyDescent="0.25">
      <c r="B146" s="145"/>
      <c r="C146" s="139"/>
      <c r="D146" s="146"/>
      <c r="E146" s="139"/>
      <c r="F146" s="139"/>
      <c r="G146" s="139"/>
      <c r="H146" s="139"/>
      <c r="I146" s="139"/>
      <c r="J146" s="139"/>
      <c r="K146" s="139"/>
      <c r="L146" s="243"/>
      <c r="M146" s="243"/>
      <c r="N146" s="139"/>
      <c r="O146" s="139"/>
      <c r="P146" s="139"/>
      <c r="Q146" s="147"/>
      <c r="R146" s="139"/>
      <c r="S146" s="139"/>
      <c r="T146" s="139"/>
      <c r="U146" s="139"/>
      <c r="V146" s="139"/>
      <c r="W146" s="139"/>
      <c r="X146" s="146"/>
      <c r="Y146" s="148"/>
      <c r="Z146" s="145"/>
      <c r="AA146" s="139"/>
      <c r="AB146" s="149"/>
      <c r="AC146" s="11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74"/>
      <c r="AR146" s="222"/>
    </row>
    <row r="147" spans="2:44" s="22" customFormat="1" ht="18" customHeight="1" x14ac:dyDescent="0.25">
      <c r="B147" s="145"/>
      <c r="C147" s="139"/>
      <c r="D147" s="146"/>
      <c r="E147" s="139"/>
      <c r="F147" s="139"/>
      <c r="G147" s="139"/>
      <c r="H147" s="139"/>
      <c r="I147" s="139"/>
      <c r="J147" s="139"/>
      <c r="K147" s="139"/>
      <c r="L147" s="243"/>
      <c r="M147" s="243"/>
      <c r="N147" s="139"/>
      <c r="O147" s="139"/>
      <c r="P147" s="139"/>
      <c r="Q147" s="147"/>
      <c r="R147" s="139"/>
      <c r="S147" s="139"/>
      <c r="T147" s="139"/>
      <c r="U147" s="139"/>
      <c r="V147" s="139"/>
      <c r="W147" s="139"/>
      <c r="X147" s="146"/>
      <c r="Y147" s="148"/>
      <c r="Z147" s="145"/>
      <c r="AA147" s="139"/>
      <c r="AB147" s="149"/>
      <c r="AC147" s="11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74"/>
      <c r="AR147" s="222"/>
    </row>
    <row r="148" spans="2:44" s="22" customFormat="1" ht="18" customHeight="1" x14ac:dyDescent="0.25">
      <c r="B148" s="145"/>
      <c r="C148" s="139"/>
      <c r="D148" s="146"/>
      <c r="E148" s="139"/>
      <c r="F148" s="139"/>
      <c r="G148" s="139"/>
      <c r="H148" s="139"/>
      <c r="I148" s="139"/>
      <c r="J148" s="139"/>
      <c r="K148" s="139"/>
      <c r="L148" s="243"/>
      <c r="M148" s="243"/>
      <c r="N148" s="139"/>
      <c r="O148" s="139"/>
      <c r="P148" s="139"/>
      <c r="Q148" s="147"/>
      <c r="R148" s="139"/>
      <c r="S148" s="139"/>
      <c r="T148" s="139"/>
      <c r="U148" s="139"/>
      <c r="V148" s="139"/>
      <c r="W148" s="139"/>
      <c r="X148" s="146"/>
      <c r="Y148" s="148"/>
      <c r="Z148" s="145"/>
      <c r="AA148" s="139"/>
      <c r="AB148" s="149"/>
      <c r="AC148" s="11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74"/>
      <c r="AR148" s="222"/>
    </row>
    <row r="149" spans="2:44" s="22" customFormat="1" ht="18" customHeight="1" x14ac:dyDescent="0.25">
      <c r="B149" s="145"/>
      <c r="C149" s="139"/>
      <c r="D149" s="146"/>
      <c r="E149" s="139"/>
      <c r="F149" s="139"/>
      <c r="G149" s="139"/>
      <c r="H149" s="139"/>
      <c r="I149" s="139"/>
      <c r="J149" s="139"/>
      <c r="K149" s="139"/>
      <c r="L149" s="243"/>
      <c r="M149" s="243"/>
      <c r="N149" s="139"/>
      <c r="O149" s="139"/>
      <c r="P149" s="139"/>
      <c r="Q149" s="147"/>
      <c r="R149" s="139"/>
      <c r="S149" s="139"/>
      <c r="T149" s="139"/>
      <c r="U149" s="139"/>
      <c r="V149" s="139"/>
      <c r="W149" s="139"/>
      <c r="X149" s="146"/>
      <c r="Y149" s="148"/>
      <c r="Z149" s="145"/>
      <c r="AA149" s="139"/>
      <c r="AB149" s="149"/>
      <c r="AC149" s="11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74"/>
      <c r="AR149" s="222"/>
    </row>
    <row r="150" spans="2:44" s="22" customFormat="1" ht="18" customHeight="1" x14ac:dyDescent="0.25">
      <c r="B150" s="145"/>
      <c r="C150" s="139"/>
      <c r="D150" s="146"/>
      <c r="E150" s="139"/>
      <c r="F150" s="139"/>
      <c r="G150" s="139"/>
      <c r="H150" s="139"/>
      <c r="I150" s="139"/>
      <c r="J150" s="139"/>
      <c r="K150" s="139"/>
      <c r="L150" s="243"/>
      <c r="M150" s="243"/>
      <c r="N150" s="139"/>
      <c r="O150" s="139"/>
      <c r="P150" s="139"/>
      <c r="Q150" s="147"/>
      <c r="R150" s="139"/>
      <c r="S150" s="139"/>
      <c r="T150" s="139"/>
      <c r="U150" s="139"/>
      <c r="V150" s="139"/>
      <c r="W150" s="139"/>
      <c r="X150" s="146"/>
      <c r="Y150" s="148"/>
      <c r="Z150" s="145"/>
      <c r="AA150" s="139"/>
      <c r="AB150" s="149"/>
      <c r="AC150" s="11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74"/>
      <c r="AR150" s="222"/>
    </row>
    <row r="151" spans="2:44" s="22" customFormat="1" ht="18" customHeight="1" x14ac:dyDescent="0.25">
      <c r="B151" s="145"/>
      <c r="C151" s="139"/>
      <c r="D151" s="146"/>
      <c r="E151" s="139"/>
      <c r="F151" s="139"/>
      <c r="G151" s="139"/>
      <c r="H151" s="139"/>
      <c r="I151" s="139"/>
      <c r="J151" s="139"/>
      <c r="K151" s="139"/>
      <c r="L151" s="243"/>
      <c r="M151" s="243"/>
      <c r="N151" s="139"/>
      <c r="O151" s="139"/>
      <c r="P151" s="139"/>
      <c r="Q151" s="147"/>
      <c r="R151" s="139"/>
      <c r="S151" s="139"/>
      <c r="T151" s="139"/>
      <c r="U151" s="139"/>
      <c r="V151" s="139"/>
      <c r="W151" s="139"/>
      <c r="X151" s="146"/>
      <c r="Y151" s="148"/>
      <c r="Z151" s="145"/>
      <c r="AA151" s="139"/>
      <c r="AB151" s="149"/>
      <c r="AC151" s="11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74"/>
      <c r="AR151" s="222"/>
    </row>
    <row r="152" spans="2:44" s="22" customFormat="1" ht="18" customHeight="1" x14ac:dyDescent="0.25">
      <c r="B152" s="145"/>
      <c r="C152" s="139"/>
      <c r="D152" s="146"/>
      <c r="E152" s="139"/>
      <c r="F152" s="139"/>
      <c r="G152" s="139"/>
      <c r="H152" s="139"/>
      <c r="I152" s="139"/>
      <c r="J152" s="139"/>
      <c r="K152" s="139"/>
      <c r="L152" s="243"/>
      <c r="M152" s="243"/>
      <c r="N152" s="139"/>
      <c r="O152" s="139"/>
      <c r="P152" s="139"/>
      <c r="Q152" s="147"/>
      <c r="R152" s="139"/>
      <c r="S152" s="139"/>
      <c r="T152" s="139"/>
      <c r="U152" s="139"/>
      <c r="V152" s="139"/>
      <c r="W152" s="139"/>
      <c r="X152" s="146"/>
      <c r="Y152" s="148"/>
      <c r="Z152" s="145"/>
      <c r="AA152" s="139"/>
      <c r="AB152" s="149"/>
      <c r="AC152" s="11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74"/>
      <c r="AR152" s="222"/>
    </row>
    <row r="153" spans="2:44" s="22" customFormat="1" ht="18" customHeight="1" x14ac:dyDescent="0.25">
      <c r="B153" s="145"/>
      <c r="C153" s="139"/>
      <c r="D153" s="146"/>
      <c r="E153" s="139"/>
      <c r="F153" s="139"/>
      <c r="G153" s="139"/>
      <c r="H153" s="139"/>
      <c r="I153" s="139"/>
      <c r="J153" s="139"/>
      <c r="K153" s="139"/>
      <c r="L153" s="243"/>
      <c r="M153" s="243"/>
      <c r="N153" s="139"/>
      <c r="O153" s="139"/>
      <c r="P153" s="139"/>
      <c r="Q153" s="147"/>
      <c r="R153" s="139"/>
      <c r="S153" s="139"/>
      <c r="T153" s="139"/>
      <c r="U153" s="139"/>
      <c r="V153" s="139"/>
      <c r="W153" s="139"/>
      <c r="X153" s="146"/>
      <c r="Y153" s="148"/>
      <c r="Z153" s="145"/>
      <c r="AA153" s="139"/>
      <c r="AB153" s="149"/>
      <c r="AC153" s="11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74"/>
      <c r="AR153" s="222"/>
    </row>
    <row r="154" spans="2:44" s="22" customFormat="1" ht="18" customHeight="1" x14ac:dyDescent="0.25">
      <c r="B154" s="145"/>
      <c r="C154" s="139"/>
      <c r="D154" s="146"/>
      <c r="E154" s="139"/>
      <c r="F154" s="139"/>
      <c r="G154" s="139"/>
      <c r="H154" s="139"/>
      <c r="I154" s="139"/>
      <c r="J154" s="139"/>
      <c r="K154" s="139"/>
      <c r="L154" s="243"/>
      <c r="M154" s="243"/>
      <c r="N154" s="139"/>
      <c r="O154" s="139"/>
      <c r="P154" s="139"/>
      <c r="Q154" s="147"/>
      <c r="R154" s="139"/>
      <c r="S154" s="139"/>
      <c r="T154" s="139"/>
      <c r="U154" s="139"/>
      <c r="V154" s="139"/>
      <c r="W154" s="139"/>
      <c r="X154" s="146"/>
      <c r="Y154" s="148"/>
      <c r="Z154" s="145"/>
      <c r="AA154" s="139"/>
      <c r="AB154" s="149"/>
      <c r="AC154" s="11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74"/>
      <c r="AR154" s="222"/>
    </row>
    <row r="155" spans="2:44" s="141" customFormat="1" ht="18" customHeight="1" x14ac:dyDescent="0.25">
      <c r="B155" s="145"/>
      <c r="C155" s="139"/>
      <c r="D155" s="146"/>
      <c r="E155" s="139"/>
      <c r="F155" s="139"/>
      <c r="G155" s="139"/>
      <c r="H155" s="139"/>
      <c r="I155" s="139"/>
      <c r="J155" s="139"/>
      <c r="K155" s="139"/>
      <c r="L155" s="243"/>
      <c r="M155" s="243"/>
      <c r="N155" s="139"/>
      <c r="O155" s="139"/>
      <c r="P155" s="139"/>
      <c r="Q155" s="147"/>
      <c r="R155" s="139"/>
      <c r="S155" s="139"/>
      <c r="T155" s="139"/>
      <c r="U155" s="139"/>
      <c r="V155" s="139"/>
      <c r="W155" s="139"/>
      <c r="X155" s="146"/>
      <c r="Y155" s="148"/>
      <c r="Z155" s="145"/>
      <c r="AA155" s="139"/>
      <c r="AB155" s="149"/>
      <c r="AC155" s="11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74"/>
      <c r="AR155" s="222"/>
    </row>
    <row r="156" spans="2:44" s="141" customFormat="1" ht="18" customHeight="1" x14ac:dyDescent="0.25">
      <c r="B156" s="145"/>
      <c r="C156" s="139"/>
      <c r="D156" s="146"/>
      <c r="E156" s="139"/>
      <c r="F156" s="139"/>
      <c r="G156" s="139"/>
      <c r="H156" s="139"/>
      <c r="I156" s="139"/>
      <c r="J156" s="139"/>
      <c r="K156" s="139"/>
      <c r="L156" s="243"/>
      <c r="M156" s="243"/>
      <c r="N156" s="139"/>
      <c r="O156" s="139"/>
      <c r="P156" s="139"/>
      <c r="Q156" s="147"/>
      <c r="R156" s="139"/>
      <c r="S156" s="139"/>
      <c r="T156" s="139"/>
      <c r="U156" s="139"/>
      <c r="V156" s="139"/>
      <c r="W156" s="139"/>
      <c r="X156" s="146"/>
      <c r="Y156" s="148"/>
      <c r="Z156" s="145"/>
      <c r="AA156" s="139"/>
      <c r="AB156" s="149"/>
      <c r="AC156" s="11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74"/>
      <c r="AR156" s="222"/>
    </row>
    <row r="157" spans="2:44" s="141" customFormat="1" ht="18" customHeight="1" x14ac:dyDescent="0.25">
      <c r="B157" s="145"/>
      <c r="C157" s="139"/>
      <c r="D157" s="146"/>
      <c r="E157" s="139"/>
      <c r="F157" s="139"/>
      <c r="G157" s="139"/>
      <c r="H157" s="139"/>
      <c r="I157" s="139"/>
      <c r="J157" s="139"/>
      <c r="K157" s="139"/>
      <c r="L157" s="243"/>
      <c r="M157" s="243"/>
      <c r="N157" s="139"/>
      <c r="O157" s="139"/>
      <c r="P157" s="139"/>
      <c r="Q157" s="147"/>
      <c r="R157" s="139"/>
      <c r="S157" s="139"/>
      <c r="T157" s="139"/>
      <c r="U157" s="139"/>
      <c r="V157" s="139"/>
      <c r="W157" s="139"/>
      <c r="X157" s="146"/>
      <c r="Y157" s="148"/>
      <c r="Z157" s="145"/>
      <c r="AA157" s="139"/>
      <c r="AB157" s="149"/>
      <c r="AC157" s="11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74"/>
      <c r="AR157" s="222"/>
    </row>
    <row r="158" spans="2:44" s="141" customFormat="1" ht="18" customHeight="1" x14ac:dyDescent="0.25">
      <c r="B158" s="145"/>
      <c r="C158" s="139"/>
      <c r="D158" s="146"/>
      <c r="E158" s="139"/>
      <c r="F158" s="139"/>
      <c r="G158" s="139"/>
      <c r="H158" s="139"/>
      <c r="I158" s="139"/>
      <c r="J158" s="139"/>
      <c r="K158" s="139"/>
      <c r="L158" s="243"/>
      <c r="M158" s="243"/>
      <c r="N158" s="139"/>
      <c r="O158" s="139"/>
      <c r="P158" s="139"/>
      <c r="Q158" s="147"/>
      <c r="R158" s="139"/>
      <c r="S158" s="139"/>
      <c r="T158" s="139"/>
      <c r="U158" s="139"/>
      <c r="V158" s="139"/>
      <c r="W158" s="139"/>
      <c r="X158" s="146"/>
      <c r="Y158" s="148"/>
      <c r="Z158" s="145"/>
      <c r="AA158" s="139"/>
      <c r="AB158" s="149"/>
      <c r="AC158" s="11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74"/>
      <c r="AR158" s="222"/>
    </row>
    <row r="159" spans="2:44" s="22" customFormat="1" ht="18" customHeight="1" x14ac:dyDescent="0.25">
      <c r="B159" s="145"/>
      <c r="C159" s="139"/>
      <c r="D159" s="146"/>
      <c r="E159" s="139"/>
      <c r="F159" s="139"/>
      <c r="G159" s="139"/>
      <c r="H159" s="139"/>
      <c r="I159" s="139"/>
      <c r="J159" s="139"/>
      <c r="K159" s="139"/>
      <c r="L159" s="243"/>
      <c r="M159" s="243"/>
      <c r="N159" s="139"/>
      <c r="O159" s="139"/>
      <c r="P159" s="139"/>
      <c r="Q159" s="147"/>
      <c r="R159" s="139"/>
      <c r="S159" s="139"/>
      <c r="T159" s="139"/>
      <c r="U159" s="139"/>
      <c r="V159" s="139"/>
      <c r="W159" s="139"/>
      <c r="X159" s="146"/>
      <c r="Y159" s="148"/>
      <c r="Z159" s="145"/>
      <c r="AA159" s="139"/>
      <c r="AB159" s="149"/>
      <c r="AC159" s="11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74"/>
      <c r="AR159" s="222"/>
    </row>
    <row r="160" spans="2:44" s="22" customFormat="1" ht="18" customHeight="1" x14ac:dyDescent="0.25">
      <c r="B160" s="145"/>
      <c r="C160" s="139"/>
      <c r="D160" s="146"/>
      <c r="E160" s="139"/>
      <c r="F160" s="139"/>
      <c r="G160" s="139"/>
      <c r="H160" s="139"/>
      <c r="I160" s="139"/>
      <c r="J160" s="139"/>
      <c r="K160" s="139"/>
      <c r="L160" s="243"/>
      <c r="M160" s="243"/>
      <c r="N160" s="139"/>
      <c r="O160" s="139"/>
      <c r="P160" s="139"/>
      <c r="Q160" s="147"/>
      <c r="R160" s="139"/>
      <c r="S160" s="139"/>
      <c r="T160" s="139"/>
      <c r="U160" s="139"/>
      <c r="V160" s="139"/>
      <c r="W160" s="139"/>
      <c r="X160" s="146"/>
      <c r="Y160" s="148"/>
      <c r="Z160" s="145"/>
      <c r="AA160" s="139"/>
      <c r="AB160" s="149"/>
      <c r="AC160" s="11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74"/>
      <c r="AR160" s="222"/>
    </row>
    <row r="161" spans="2:44" s="22" customFormat="1" ht="18" customHeight="1" x14ac:dyDescent="0.25">
      <c r="B161" s="145"/>
      <c r="C161" s="139"/>
      <c r="D161" s="146"/>
      <c r="E161" s="139"/>
      <c r="F161" s="139"/>
      <c r="G161" s="139"/>
      <c r="H161" s="139"/>
      <c r="I161" s="139"/>
      <c r="J161" s="139"/>
      <c r="K161" s="139"/>
      <c r="L161" s="243"/>
      <c r="M161" s="243"/>
      <c r="N161" s="139"/>
      <c r="O161" s="139"/>
      <c r="P161" s="139"/>
      <c r="Q161" s="147"/>
      <c r="R161" s="139"/>
      <c r="S161" s="139"/>
      <c r="T161" s="139"/>
      <c r="U161" s="139"/>
      <c r="V161" s="139"/>
      <c r="W161" s="139"/>
      <c r="X161" s="146"/>
      <c r="Y161" s="148"/>
      <c r="Z161" s="145"/>
      <c r="AA161" s="139"/>
      <c r="AB161" s="149"/>
      <c r="AC161" s="11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74"/>
      <c r="AR161" s="222"/>
    </row>
    <row r="162" spans="2:44" s="22" customFormat="1" ht="18" customHeight="1" x14ac:dyDescent="0.25">
      <c r="B162" s="145"/>
      <c r="C162" s="139"/>
      <c r="D162" s="146"/>
      <c r="E162" s="139"/>
      <c r="F162" s="139"/>
      <c r="G162" s="139"/>
      <c r="H162" s="139"/>
      <c r="I162" s="139"/>
      <c r="J162" s="139"/>
      <c r="K162" s="139"/>
      <c r="L162" s="243"/>
      <c r="M162" s="243"/>
      <c r="N162" s="139"/>
      <c r="O162" s="139"/>
      <c r="P162" s="139"/>
      <c r="Q162" s="147"/>
      <c r="R162" s="139"/>
      <c r="S162" s="139"/>
      <c r="T162" s="139"/>
      <c r="U162" s="139"/>
      <c r="V162" s="139"/>
      <c r="W162" s="139"/>
      <c r="X162" s="146"/>
      <c r="Y162" s="148"/>
      <c r="Z162" s="145"/>
      <c r="AA162" s="139"/>
      <c r="AB162" s="149"/>
      <c r="AC162" s="11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74"/>
      <c r="AR162" s="222"/>
    </row>
    <row r="163" spans="2:44" s="140" customFormat="1" ht="18" customHeight="1" x14ac:dyDescent="0.25">
      <c r="B163" s="145"/>
      <c r="C163" s="139"/>
      <c r="D163" s="146"/>
      <c r="E163" s="139"/>
      <c r="F163" s="139"/>
      <c r="G163" s="139"/>
      <c r="H163" s="139"/>
      <c r="I163" s="139"/>
      <c r="J163" s="139"/>
      <c r="K163" s="139"/>
      <c r="L163" s="243"/>
      <c r="M163" s="243"/>
      <c r="N163" s="139"/>
      <c r="O163" s="139"/>
      <c r="P163" s="139"/>
      <c r="Q163" s="147"/>
      <c r="R163" s="139"/>
      <c r="S163" s="139"/>
      <c r="T163" s="139"/>
      <c r="U163" s="139"/>
      <c r="V163" s="139"/>
      <c r="W163" s="139"/>
      <c r="X163" s="146"/>
      <c r="Y163" s="148"/>
      <c r="Z163" s="145"/>
      <c r="AA163" s="139"/>
      <c r="AB163" s="149"/>
      <c r="AC163" s="11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74"/>
      <c r="AR163" s="222"/>
    </row>
    <row r="164" spans="2:44" s="140" customFormat="1" ht="18" customHeight="1" x14ac:dyDescent="0.25">
      <c r="B164" s="145"/>
      <c r="C164" s="139"/>
      <c r="D164" s="146"/>
      <c r="E164" s="139"/>
      <c r="F164" s="139"/>
      <c r="G164" s="139"/>
      <c r="H164" s="139"/>
      <c r="I164" s="139"/>
      <c r="J164" s="139"/>
      <c r="K164" s="139"/>
      <c r="L164" s="243"/>
      <c r="M164" s="243"/>
      <c r="N164" s="139"/>
      <c r="O164" s="139"/>
      <c r="P164" s="139"/>
      <c r="Q164" s="147"/>
      <c r="R164" s="139"/>
      <c r="S164" s="139"/>
      <c r="T164" s="139"/>
      <c r="U164" s="139"/>
      <c r="V164" s="139"/>
      <c r="W164" s="139"/>
      <c r="X164" s="146"/>
      <c r="Y164" s="148"/>
      <c r="Z164" s="145"/>
      <c r="AA164" s="139"/>
      <c r="AB164" s="149"/>
      <c r="AC164" s="11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74"/>
      <c r="AR164" s="222"/>
    </row>
    <row r="165" spans="2:44" s="22" customFormat="1" ht="18" customHeight="1" x14ac:dyDescent="0.25">
      <c r="B165" s="145"/>
      <c r="C165" s="139"/>
      <c r="D165" s="146"/>
      <c r="E165" s="139"/>
      <c r="F165" s="139"/>
      <c r="G165" s="139"/>
      <c r="H165" s="139"/>
      <c r="I165" s="139"/>
      <c r="J165" s="139"/>
      <c r="K165" s="139"/>
      <c r="L165" s="243"/>
      <c r="M165" s="243"/>
      <c r="N165" s="139"/>
      <c r="O165" s="139"/>
      <c r="P165" s="139"/>
      <c r="Q165" s="147"/>
      <c r="R165" s="139"/>
      <c r="S165" s="139"/>
      <c r="T165" s="139"/>
      <c r="U165" s="139"/>
      <c r="V165" s="139"/>
      <c r="W165" s="139"/>
      <c r="X165" s="146"/>
      <c r="Y165" s="148"/>
      <c r="Z165" s="145"/>
      <c r="AA165" s="139"/>
      <c r="AB165" s="149"/>
      <c r="AC165" s="11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74"/>
      <c r="AR165" s="222"/>
    </row>
    <row r="166" spans="2:44" s="141" customFormat="1" ht="18" customHeight="1" x14ac:dyDescent="0.25">
      <c r="B166" s="145"/>
      <c r="C166" s="139"/>
      <c r="D166" s="146"/>
      <c r="E166" s="139"/>
      <c r="F166" s="139"/>
      <c r="G166" s="139"/>
      <c r="H166" s="139"/>
      <c r="I166" s="139"/>
      <c r="J166" s="139"/>
      <c r="K166" s="139"/>
      <c r="L166" s="243"/>
      <c r="M166" s="243"/>
      <c r="N166" s="139"/>
      <c r="O166" s="139"/>
      <c r="P166" s="139"/>
      <c r="Q166" s="147"/>
      <c r="R166" s="139"/>
      <c r="S166" s="139"/>
      <c r="T166" s="139"/>
      <c r="U166" s="139"/>
      <c r="V166" s="139"/>
      <c r="W166" s="139"/>
      <c r="X166" s="146"/>
      <c r="Y166" s="148"/>
      <c r="Z166" s="145"/>
      <c r="AA166" s="139"/>
      <c r="AB166" s="149"/>
      <c r="AC166" s="11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74"/>
      <c r="AR166" s="222"/>
    </row>
    <row r="167" spans="2:44" s="141" customFormat="1" ht="18" customHeight="1" x14ac:dyDescent="0.25">
      <c r="B167" s="145"/>
      <c r="C167" s="139"/>
      <c r="D167" s="146"/>
      <c r="E167" s="139"/>
      <c r="F167" s="139"/>
      <c r="G167" s="139"/>
      <c r="H167" s="139"/>
      <c r="I167" s="139"/>
      <c r="J167" s="139"/>
      <c r="K167" s="139"/>
      <c r="L167" s="243"/>
      <c r="M167" s="243"/>
      <c r="N167" s="139"/>
      <c r="O167" s="139"/>
      <c r="P167" s="139"/>
      <c r="Q167" s="147"/>
      <c r="R167" s="139"/>
      <c r="S167" s="139"/>
      <c r="T167" s="139"/>
      <c r="U167" s="139"/>
      <c r="V167" s="139"/>
      <c r="W167" s="139"/>
      <c r="X167" s="146"/>
      <c r="Y167" s="148"/>
      <c r="Z167" s="145"/>
      <c r="AA167" s="139"/>
      <c r="AB167" s="149"/>
      <c r="AC167" s="11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74"/>
      <c r="AR167" s="222"/>
    </row>
    <row r="168" spans="2:44" s="140" customFormat="1" ht="18" customHeight="1" x14ac:dyDescent="0.25">
      <c r="B168" s="145"/>
      <c r="C168" s="139"/>
      <c r="D168" s="146"/>
      <c r="E168" s="139"/>
      <c r="F168" s="139"/>
      <c r="G168" s="139"/>
      <c r="H168" s="139"/>
      <c r="I168" s="139"/>
      <c r="J168" s="139"/>
      <c r="K168" s="139"/>
      <c r="L168" s="243"/>
      <c r="M168" s="243"/>
      <c r="N168" s="139"/>
      <c r="O168" s="139"/>
      <c r="P168" s="139"/>
      <c r="Q168" s="147"/>
      <c r="R168" s="139"/>
      <c r="S168" s="139"/>
      <c r="T168" s="139"/>
      <c r="U168" s="139"/>
      <c r="V168" s="139"/>
      <c r="W168" s="139"/>
      <c r="X168" s="146"/>
      <c r="Y168" s="148"/>
      <c r="Z168" s="145"/>
      <c r="AA168" s="139"/>
      <c r="AB168" s="149"/>
      <c r="AC168" s="11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74"/>
      <c r="AR168" s="222"/>
    </row>
    <row r="169" spans="2:44" s="141" customFormat="1" ht="18" customHeight="1" x14ac:dyDescent="0.25">
      <c r="B169" s="145"/>
      <c r="C169" s="139"/>
      <c r="D169" s="146"/>
      <c r="E169" s="139"/>
      <c r="F169" s="139"/>
      <c r="G169" s="139"/>
      <c r="H169" s="139"/>
      <c r="I169" s="139"/>
      <c r="J169" s="139"/>
      <c r="K169" s="139"/>
      <c r="L169" s="243"/>
      <c r="M169" s="243"/>
      <c r="N169" s="139"/>
      <c r="O169" s="139"/>
      <c r="P169" s="139"/>
      <c r="Q169" s="147"/>
      <c r="R169" s="139"/>
      <c r="S169" s="139"/>
      <c r="T169" s="139"/>
      <c r="U169" s="139"/>
      <c r="V169" s="139"/>
      <c r="W169" s="139"/>
      <c r="X169" s="146"/>
      <c r="Y169" s="148"/>
      <c r="Z169" s="145"/>
      <c r="AA169" s="139"/>
      <c r="AB169" s="149"/>
      <c r="AC169" s="11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74"/>
      <c r="AR169" s="222"/>
    </row>
    <row r="170" spans="2:44" s="22" customFormat="1" ht="18" customHeight="1" x14ac:dyDescent="0.25">
      <c r="B170" s="145"/>
      <c r="C170" s="139"/>
      <c r="D170" s="146"/>
      <c r="E170" s="139"/>
      <c r="F170" s="139"/>
      <c r="G170" s="139"/>
      <c r="H170" s="139"/>
      <c r="I170" s="139"/>
      <c r="J170" s="139"/>
      <c r="K170" s="139"/>
      <c r="L170" s="243"/>
      <c r="M170" s="243"/>
      <c r="N170" s="139"/>
      <c r="O170" s="139"/>
      <c r="P170" s="139"/>
      <c r="Q170" s="147"/>
      <c r="R170" s="139"/>
      <c r="S170" s="139"/>
      <c r="T170" s="139"/>
      <c r="U170" s="139"/>
      <c r="V170" s="139"/>
      <c r="W170" s="139"/>
      <c r="X170" s="146"/>
      <c r="Y170" s="148"/>
      <c r="Z170" s="145"/>
      <c r="AA170" s="139"/>
      <c r="AB170" s="149"/>
      <c r="AC170" s="11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74"/>
      <c r="AR170" s="222"/>
    </row>
    <row r="171" spans="2:44" s="140" customFormat="1" ht="18" customHeight="1" x14ac:dyDescent="0.25">
      <c r="B171" s="145"/>
      <c r="C171" s="139"/>
      <c r="D171" s="146"/>
      <c r="E171" s="139"/>
      <c r="F171" s="139"/>
      <c r="G171" s="139"/>
      <c r="H171" s="139"/>
      <c r="I171" s="139"/>
      <c r="J171" s="139"/>
      <c r="K171" s="139"/>
      <c r="L171" s="243"/>
      <c r="M171" s="243"/>
      <c r="N171" s="139"/>
      <c r="O171" s="139"/>
      <c r="P171" s="139"/>
      <c r="Q171" s="147"/>
      <c r="R171" s="139"/>
      <c r="S171" s="139"/>
      <c r="T171" s="139"/>
      <c r="U171" s="139"/>
      <c r="V171" s="139"/>
      <c r="W171" s="139"/>
      <c r="X171" s="146"/>
      <c r="Y171" s="148"/>
      <c r="Z171" s="145"/>
      <c r="AA171" s="139"/>
      <c r="AB171" s="149"/>
      <c r="AC171" s="11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74"/>
      <c r="AR171" s="222"/>
    </row>
    <row r="172" spans="2:44" s="22" customFormat="1" ht="18" customHeight="1" x14ac:dyDescent="0.25">
      <c r="B172" s="145"/>
      <c r="C172" s="139"/>
      <c r="D172" s="146"/>
      <c r="E172" s="139"/>
      <c r="F172" s="139"/>
      <c r="G172" s="139"/>
      <c r="H172" s="139"/>
      <c r="I172" s="139"/>
      <c r="J172" s="139"/>
      <c r="K172" s="139"/>
      <c r="L172" s="243"/>
      <c r="M172" s="243"/>
      <c r="N172" s="139"/>
      <c r="O172" s="139"/>
      <c r="P172" s="139"/>
      <c r="Q172" s="147"/>
      <c r="R172" s="139"/>
      <c r="S172" s="139"/>
      <c r="T172" s="139"/>
      <c r="U172" s="139"/>
      <c r="V172" s="139"/>
      <c r="W172" s="139"/>
      <c r="X172" s="146"/>
      <c r="Y172" s="148"/>
      <c r="Z172" s="145"/>
      <c r="AA172" s="139"/>
      <c r="AB172" s="149"/>
      <c r="AC172" s="11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74"/>
      <c r="AR172" s="222"/>
    </row>
    <row r="173" spans="2:44" s="140" customFormat="1" ht="18" customHeight="1" x14ac:dyDescent="0.25">
      <c r="B173" s="145"/>
      <c r="C173" s="139"/>
      <c r="D173" s="146"/>
      <c r="E173" s="139"/>
      <c r="F173" s="139"/>
      <c r="G173" s="139"/>
      <c r="H173" s="139"/>
      <c r="I173" s="139"/>
      <c r="J173" s="139"/>
      <c r="K173" s="139"/>
      <c r="L173" s="243"/>
      <c r="M173" s="243"/>
      <c r="N173" s="139"/>
      <c r="O173" s="139"/>
      <c r="P173" s="139"/>
      <c r="Q173" s="147"/>
      <c r="R173" s="139"/>
      <c r="S173" s="139"/>
      <c r="T173" s="139"/>
      <c r="U173" s="139"/>
      <c r="V173" s="139"/>
      <c r="W173" s="139"/>
      <c r="X173" s="146"/>
      <c r="Y173" s="148"/>
      <c r="Z173" s="145"/>
      <c r="AA173" s="139"/>
      <c r="AB173" s="149"/>
      <c r="AC173" s="11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74"/>
      <c r="AR173" s="222"/>
    </row>
    <row r="174" spans="2:44" s="140" customFormat="1" ht="18" customHeight="1" x14ac:dyDescent="0.25">
      <c r="B174" s="145"/>
      <c r="C174" s="139"/>
      <c r="D174" s="146"/>
      <c r="E174" s="139"/>
      <c r="F174" s="139"/>
      <c r="G174" s="139"/>
      <c r="H174" s="139"/>
      <c r="I174" s="139"/>
      <c r="J174" s="139"/>
      <c r="K174" s="139"/>
      <c r="L174" s="243"/>
      <c r="M174" s="243"/>
      <c r="N174" s="139"/>
      <c r="O174" s="139"/>
      <c r="P174" s="139"/>
      <c r="Q174" s="147"/>
      <c r="R174" s="139"/>
      <c r="S174" s="139"/>
      <c r="T174" s="139"/>
      <c r="U174" s="139"/>
      <c r="V174" s="139"/>
      <c r="W174" s="139"/>
      <c r="X174" s="146"/>
      <c r="Y174" s="148"/>
      <c r="Z174" s="145"/>
      <c r="AA174" s="139"/>
      <c r="AB174" s="149"/>
      <c r="AC174" s="11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74"/>
      <c r="AR174" s="222"/>
    </row>
    <row r="175" spans="2:44" s="22" customFormat="1" ht="18" customHeight="1" x14ac:dyDescent="0.25">
      <c r="B175" s="145"/>
      <c r="C175" s="139"/>
      <c r="D175" s="146"/>
      <c r="E175" s="139"/>
      <c r="F175" s="139"/>
      <c r="G175" s="139"/>
      <c r="H175" s="139"/>
      <c r="I175" s="139"/>
      <c r="J175" s="139"/>
      <c r="K175" s="139"/>
      <c r="L175" s="243"/>
      <c r="M175" s="243"/>
      <c r="N175" s="139"/>
      <c r="O175" s="139"/>
      <c r="P175" s="139"/>
      <c r="Q175" s="147"/>
      <c r="R175" s="139"/>
      <c r="S175" s="139"/>
      <c r="T175" s="139"/>
      <c r="U175" s="139"/>
      <c r="V175" s="139"/>
      <c r="W175" s="139"/>
      <c r="X175" s="146"/>
      <c r="Y175" s="148"/>
      <c r="Z175" s="145"/>
      <c r="AA175" s="139"/>
      <c r="AB175" s="149"/>
      <c r="AC175" s="11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74"/>
      <c r="AR175" s="222"/>
    </row>
    <row r="176" spans="2:44" s="140" customFormat="1" ht="18" customHeight="1" x14ac:dyDescent="0.25">
      <c r="B176" s="145"/>
      <c r="C176" s="139"/>
      <c r="D176" s="146"/>
      <c r="E176" s="139"/>
      <c r="F176" s="139"/>
      <c r="G176" s="139"/>
      <c r="H176" s="139"/>
      <c r="I176" s="139"/>
      <c r="J176" s="139"/>
      <c r="K176" s="139"/>
      <c r="L176" s="243"/>
      <c r="M176" s="243"/>
      <c r="N176" s="139"/>
      <c r="O176" s="139"/>
      <c r="P176" s="139"/>
      <c r="Q176" s="147"/>
      <c r="R176" s="139"/>
      <c r="S176" s="139"/>
      <c r="T176" s="139"/>
      <c r="U176" s="139"/>
      <c r="V176" s="139"/>
      <c r="W176" s="139"/>
      <c r="X176" s="146"/>
      <c r="Y176" s="148"/>
      <c r="Z176" s="145"/>
      <c r="AA176" s="139"/>
      <c r="AB176" s="149"/>
      <c r="AC176" s="11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74"/>
      <c r="AR176" s="222"/>
    </row>
    <row r="177" spans="2:44" s="22" customFormat="1" ht="18" customHeight="1" x14ac:dyDescent="0.25">
      <c r="B177" s="145"/>
      <c r="C177" s="139"/>
      <c r="D177" s="146"/>
      <c r="E177" s="139"/>
      <c r="F177" s="139"/>
      <c r="G177" s="139"/>
      <c r="H177" s="139"/>
      <c r="I177" s="139"/>
      <c r="J177" s="139"/>
      <c r="K177" s="139"/>
      <c r="L177" s="243"/>
      <c r="M177" s="243"/>
      <c r="N177" s="139"/>
      <c r="O177" s="139"/>
      <c r="P177" s="139"/>
      <c r="Q177" s="147"/>
      <c r="R177" s="139"/>
      <c r="S177" s="139"/>
      <c r="T177" s="139"/>
      <c r="U177" s="139"/>
      <c r="V177" s="139"/>
      <c r="W177" s="139"/>
      <c r="X177" s="146"/>
      <c r="Y177" s="148"/>
      <c r="Z177" s="145"/>
      <c r="AA177" s="139"/>
      <c r="AB177" s="149"/>
      <c r="AC177" s="11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74"/>
      <c r="AR177" s="222"/>
    </row>
    <row r="178" spans="2:44" s="22" customFormat="1" ht="18" customHeight="1" x14ac:dyDescent="0.25">
      <c r="B178" s="145"/>
      <c r="C178" s="139"/>
      <c r="D178" s="146"/>
      <c r="E178" s="139"/>
      <c r="F178" s="139"/>
      <c r="G178" s="139"/>
      <c r="H178" s="139"/>
      <c r="I178" s="139"/>
      <c r="J178" s="139"/>
      <c r="K178" s="139"/>
      <c r="L178" s="243"/>
      <c r="M178" s="243"/>
      <c r="N178" s="139"/>
      <c r="O178" s="139"/>
      <c r="P178" s="139"/>
      <c r="Q178" s="147"/>
      <c r="R178" s="139"/>
      <c r="S178" s="139"/>
      <c r="T178" s="139"/>
      <c r="U178" s="139"/>
      <c r="V178" s="139"/>
      <c r="W178" s="139"/>
      <c r="X178" s="146"/>
      <c r="Y178" s="148"/>
      <c r="Z178" s="145"/>
      <c r="AA178" s="139"/>
      <c r="AB178" s="149"/>
      <c r="AC178" s="11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74"/>
      <c r="AR178" s="222"/>
    </row>
    <row r="179" spans="2:44" s="22" customFormat="1" ht="18" customHeight="1" x14ac:dyDescent="0.25">
      <c r="B179" s="145"/>
      <c r="C179" s="139"/>
      <c r="D179" s="146"/>
      <c r="E179" s="139"/>
      <c r="F179" s="139"/>
      <c r="G179" s="139"/>
      <c r="H179" s="139"/>
      <c r="I179" s="139"/>
      <c r="J179" s="139"/>
      <c r="K179" s="139"/>
      <c r="L179" s="243"/>
      <c r="M179" s="243"/>
      <c r="N179" s="139"/>
      <c r="O179" s="139"/>
      <c r="P179" s="139"/>
      <c r="Q179" s="147"/>
      <c r="R179" s="139"/>
      <c r="S179" s="139"/>
      <c r="T179" s="139"/>
      <c r="U179" s="139"/>
      <c r="V179" s="139"/>
      <c r="W179" s="139"/>
      <c r="X179" s="146"/>
      <c r="Y179" s="148"/>
      <c r="Z179" s="145"/>
      <c r="AA179" s="139"/>
      <c r="AB179" s="149"/>
      <c r="AC179" s="11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74"/>
      <c r="AR179" s="222"/>
    </row>
    <row r="180" spans="2:44" s="22" customFormat="1" ht="18" customHeight="1" x14ac:dyDescent="0.25">
      <c r="B180" s="145"/>
      <c r="C180" s="139"/>
      <c r="D180" s="146"/>
      <c r="E180" s="139"/>
      <c r="F180" s="139"/>
      <c r="G180" s="139"/>
      <c r="H180" s="139"/>
      <c r="I180" s="139"/>
      <c r="J180" s="139"/>
      <c r="K180" s="139"/>
      <c r="L180" s="243"/>
      <c r="M180" s="243"/>
      <c r="N180" s="139"/>
      <c r="O180" s="139"/>
      <c r="P180" s="139"/>
      <c r="Q180" s="147"/>
      <c r="R180" s="139"/>
      <c r="S180" s="139"/>
      <c r="T180" s="139"/>
      <c r="U180" s="139"/>
      <c r="V180" s="139"/>
      <c r="W180" s="139"/>
      <c r="X180" s="146"/>
      <c r="Y180" s="148"/>
      <c r="Z180" s="145"/>
      <c r="AA180" s="139"/>
      <c r="AB180" s="149"/>
      <c r="AC180" s="11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74"/>
      <c r="AR180" s="222"/>
    </row>
    <row r="181" spans="2:44" s="140" customFormat="1" ht="18" customHeight="1" x14ac:dyDescent="0.25">
      <c r="B181" s="145"/>
      <c r="C181" s="139"/>
      <c r="D181" s="146"/>
      <c r="E181" s="139"/>
      <c r="F181" s="139"/>
      <c r="G181" s="139"/>
      <c r="H181" s="139"/>
      <c r="I181" s="139"/>
      <c r="J181" s="139"/>
      <c r="K181" s="139"/>
      <c r="L181" s="243"/>
      <c r="M181" s="243"/>
      <c r="N181" s="139"/>
      <c r="O181" s="139"/>
      <c r="P181" s="139"/>
      <c r="Q181" s="147"/>
      <c r="R181" s="139"/>
      <c r="S181" s="139"/>
      <c r="T181" s="139"/>
      <c r="U181" s="139"/>
      <c r="V181" s="139"/>
      <c r="W181" s="139"/>
      <c r="X181" s="146"/>
      <c r="Y181" s="148"/>
      <c r="Z181" s="145"/>
      <c r="AA181" s="139"/>
      <c r="AB181" s="149"/>
      <c r="AC181" s="11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74"/>
      <c r="AR181" s="222"/>
    </row>
    <row r="182" spans="2:44" s="22" customFormat="1" ht="18" customHeight="1" x14ac:dyDescent="0.25">
      <c r="B182" s="145"/>
      <c r="C182" s="139"/>
      <c r="D182" s="146"/>
      <c r="E182" s="139"/>
      <c r="F182" s="139"/>
      <c r="G182" s="139"/>
      <c r="H182" s="139"/>
      <c r="I182" s="139"/>
      <c r="J182" s="139"/>
      <c r="K182" s="139"/>
      <c r="L182" s="243"/>
      <c r="M182" s="243"/>
      <c r="N182" s="139"/>
      <c r="O182" s="139"/>
      <c r="P182" s="139"/>
      <c r="Q182" s="147"/>
      <c r="R182" s="139"/>
      <c r="S182" s="139"/>
      <c r="T182" s="139"/>
      <c r="U182" s="139"/>
      <c r="V182" s="139"/>
      <c r="W182" s="139"/>
      <c r="X182" s="146"/>
      <c r="Y182" s="148"/>
      <c r="Z182" s="145"/>
      <c r="AA182" s="139"/>
      <c r="AB182" s="149"/>
      <c r="AC182" s="11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74"/>
      <c r="AR182" s="222"/>
    </row>
    <row r="183" spans="2:44" s="22" customFormat="1" ht="18" customHeight="1" x14ac:dyDescent="0.25">
      <c r="B183" s="145"/>
      <c r="C183" s="139"/>
      <c r="D183" s="146"/>
      <c r="E183" s="139"/>
      <c r="F183" s="139"/>
      <c r="G183" s="139"/>
      <c r="H183" s="139"/>
      <c r="I183" s="139"/>
      <c r="J183" s="139"/>
      <c r="K183" s="139"/>
      <c r="L183" s="243"/>
      <c r="M183" s="243"/>
      <c r="N183" s="139"/>
      <c r="O183" s="139"/>
      <c r="P183" s="139"/>
      <c r="Q183" s="147"/>
      <c r="R183" s="139"/>
      <c r="S183" s="139"/>
      <c r="T183" s="139"/>
      <c r="U183" s="139"/>
      <c r="V183" s="139"/>
      <c r="W183" s="139"/>
      <c r="X183" s="146"/>
      <c r="Y183" s="148"/>
      <c r="Z183" s="145"/>
      <c r="AA183" s="139"/>
      <c r="AB183" s="149"/>
      <c r="AC183" s="11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74"/>
      <c r="AR183" s="222"/>
    </row>
    <row r="184" spans="2:44" s="22" customFormat="1" ht="18" customHeight="1" x14ac:dyDescent="0.25">
      <c r="B184" s="145"/>
      <c r="C184" s="139"/>
      <c r="D184" s="146"/>
      <c r="E184" s="139"/>
      <c r="F184" s="139"/>
      <c r="G184" s="139"/>
      <c r="H184" s="139"/>
      <c r="I184" s="139"/>
      <c r="J184" s="139"/>
      <c r="K184" s="139"/>
      <c r="L184" s="243"/>
      <c r="M184" s="243"/>
      <c r="N184" s="139"/>
      <c r="O184" s="139"/>
      <c r="P184" s="139"/>
      <c r="Q184" s="147"/>
      <c r="R184" s="139"/>
      <c r="S184" s="139"/>
      <c r="T184" s="139"/>
      <c r="U184" s="139"/>
      <c r="V184" s="139"/>
      <c r="W184" s="139"/>
      <c r="X184" s="146"/>
      <c r="Y184" s="148"/>
      <c r="Z184" s="145"/>
      <c r="AA184" s="139"/>
      <c r="AB184" s="149"/>
      <c r="AC184" s="11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74"/>
      <c r="AR184" s="222"/>
    </row>
    <row r="185" spans="2:44" s="22" customFormat="1" ht="18" customHeight="1" x14ac:dyDescent="0.25">
      <c r="B185" s="145"/>
      <c r="C185" s="139"/>
      <c r="D185" s="146"/>
      <c r="E185" s="139"/>
      <c r="F185" s="139"/>
      <c r="G185" s="139"/>
      <c r="H185" s="139"/>
      <c r="I185" s="139"/>
      <c r="J185" s="139"/>
      <c r="K185" s="139"/>
      <c r="L185" s="243"/>
      <c r="M185" s="243"/>
      <c r="N185" s="139"/>
      <c r="O185" s="139"/>
      <c r="P185" s="139"/>
      <c r="Q185" s="147"/>
      <c r="R185" s="139"/>
      <c r="S185" s="139"/>
      <c r="T185" s="139"/>
      <c r="U185" s="139"/>
      <c r="V185" s="139"/>
      <c r="W185" s="139"/>
      <c r="X185" s="146"/>
      <c r="Y185" s="148"/>
      <c r="Z185" s="145"/>
      <c r="AA185" s="139"/>
      <c r="AB185" s="149"/>
      <c r="AC185" s="11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74"/>
      <c r="AR185" s="222"/>
    </row>
    <row r="186" spans="2:44" s="22" customFormat="1" ht="18" customHeight="1" x14ac:dyDescent="0.25">
      <c r="B186" s="145"/>
      <c r="C186" s="139"/>
      <c r="D186" s="146"/>
      <c r="E186" s="139"/>
      <c r="F186" s="139"/>
      <c r="G186" s="139"/>
      <c r="H186" s="139"/>
      <c r="I186" s="139"/>
      <c r="J186" s="139"/>
      <c r="K186" s="139"/>
      <c r="L186" s="243"/>
      <c r="M186" s="243"/>
      <c r="N186" s="139"/>
      <c r="O186" s="139"/>
      <c r="P186" s="139"/>
      <c r="Q186" s="147"/>
      <c r="R186" s="139"/>
      <c r="S186" s="139"/>
      <c r="T186" s="139"/>
      <c r="U186" s="139"/>
      <c r="V186" s="139"/>
      <c r="W186" s="139"/>
      <c r="X186" s="146"/>
      <c r="Y186" s="148"/>
      <c r="Z186" s="145"/>
      <c r="AA186" s="139"/>
      <c r="AB186" s="149"/>
      <c r="AC186" s="11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74"/>
      <c r="AR186" s="222"/>
    </row>
    <row r="187" spans="2:44" s="22" customFormat="1" ht="18" customHeight="1" x14ac:dyDescent="0.25">
      <c r="B187" s="145"/>
      <c r="C187" s="139"/>
      <c r="D187" s="146"/>
      <c r="E187" s="139"/>
      <c r="F187" s="139"/>
      <c r="G187" s="139"/>
      <c r="H187" s="139"/>
      <c r="I187" s="139"/>
      <c r="J187" s="139"/>
      <c r="K187" s="139"/>
      <c r="L187" s="243"/>
      <c r="M187" s="243"/>
      <c r="N187" s="139"/>
      <c r="O187" s="139"/>
      <c r="P187" s="139"/>
      <c r="Q187" s="147"/>
      <c r="R187" s="139"/>
      <c r="S187" s="139"/>
      <c r="T187" s="139"/>
      <c r="U187" s="139"/>
      <c r="V187" s="139"/>
      <c r="W187" s="139"/>
      <c r="X187" s="146"/>
      <c r="Y187" s="148"/>
      <c r="Z187" s="145"/>
      <c r="AA187" s="139"/>
      <c r="AB187" s="149"/>
      <c r="AC187" s="11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74"/>
      <c r="AR187" s="222"/>
    </row>
    <row r="188" spans="2:44" s="140" customFormat="1" ht="18" customHeight="1" x14ac:dyDescent="0.25">
      <c r="B188" s="145"/>
      <c r="C188" s="139"/>
      <c r="D188" s="146"/>
      <c r="E188" s="139"/>
      <c r="F188" s="139"/>
      <c r="G188" s="139"/>
      <c r="H188" s="139"/>
      <c r="I188" s="139"/>
      <c r="J188" s="139"/>
      <c r="K188" s="139"/>
      <c r="L188" s="243"/>
      <c r="M188" s="243"/>
      <c r="N188" s="139"/>
      <c r="O188" s="139"/>
      <c r="P188" s="139"/>
      <c r="Q188" s="147"/>
      <c r="R188" s="139"/>
      <c r="S188" s="139"/>
      <c r="T188" s="139"/>
      <c r="U188" s="139"/>
      <c r="V188" s="139"/>
      <c r="W188" s="139"/>
      <c r="X188" s="146"/>
      <c r="Y188" s="148"/>
      <c r="Z188" s="145"/>
      <c r="AA188" s="139"/>
      <c r="AB188" s="149"/>
      <c r="AC188" s="11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74"/>
      <c r="AR188" s="222"/>
    </row>
    <row r="189" spans="2:44" s="22" customFormat="1" ht="18" customHeight="1" x14ac:dyDescent="0.25">
      <c r="B189" s="145"/>
      <c r="C189" s="139"/>
      <c r="D189" s="146"/>
      <c r="E189" s="139"/>
      <c r="F189" s="139"/>
      <c r="G189" s="139"/>
      <c r="H189" s="139"/>
      <c r="I189" s="139"/>
      <c r="J189" s="139"/>
      <c r="K189" s="139"/>
      <c r="L189" s="243"/>
      <c r="M189" s="243"/>
      <c r="N189" s="139"/>
      <c r="O189" s="139"/>
      <c r="P189" s="139"/>
      <c r="Q189" s="147"/>
      <c r="R189" s="139"/>
      <c r="S189" s="139"/>
      <c r="T189" s="139"/>
      <c r="U189" s="139"/>
      <c r="V189" s="139"/>
      <c r="W189" s="139"/>
      <c r="X189" s="146"/>
      <c r="Y189" s="148"/>
      <c r="Z189" s="145"/>
      <c r="AA189" s="139"/>
      <c r="AB189" s="149"/>
      <c r="AC189" s="11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74"/>
      <c r="AR189" s="222"/>
    </row>
    <row r="190" spans="2:44" s="22" customFormat="1" ht="18" customHeight="1" x14ac:dyDescent="0.25">
      <c r="B190" s="145"/>
      <c r="C190" s="139"/>
      <c r="D190" s="146"/>
      <c r="E190" s="139"/>
      <c r="F190" s="139"/>
      <c r="G190" s="139"/>
      <c r="H190" s="139"/>
      <c r="I190" s="139"/>
      <c r="J190" s="139"/>
      <c r="K190" s="139"/>
      <c r="L190" s="243"/>
      <c r="M190" s="243"/>
      <c r="N190" s="139"/>
      <c r="O190" s="139"/>
      <c r="P190" s="139"/>
      <c r="Q190" s="147"/>
      <c r="R190" s="139"/>
      <c r="S190" s="139"/>
      <c r="T190" s="139"/>
      <c r="U190" s="139"/>
      <c r="V190" s="139"/>
      <c r="W190" s="139"/>
      <c r="X190" s="146"/>
      <c r="Y190" s="148"/>
      <c r="Z190" s="145"/>
      <c r="AA190" s="139"/>
      <c r="AB190" s="149"/>
      <c r="AC190" s="11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74"/>
      <c r="AR190" s="222"/>
    </row>
    <row r="191" spans="2:44" s="140" customFormat="1" ht="18" customHeight="1" x14ac:dyDescent="0.25">
      <c r="B191" s="145"/>
      <c r="C191" s="139"/>
      <c r="D191" s="146"/>
      <c r="E191" s="139"/>
      <c r="F191" s="139"/>
      <c r="G191" s="139"/>
      <c r="H191" s="139"/>
      <c r="I191" s="139"/>
      <c r="J191" s="139"/>
      <c r="K191" s="139"/>
      <c r="L191" s="243"/>
      <c r="M191" s="243"/>
      <c r="N191" s="139"/>
      <c r="O191" s="139"/>
      <c r="P191" s="139"/>
      <c r="Q191" s="147"/>
      <c r="R191" s="139"/>
      <c r="S191" s="139"/>
      <c r="T191" s="139"/>
      <c r="U191" s="139"/>
      <c r="V191" s="139"/>
      <c r="W191" s="139"/>
      <c r="X191" s="146"/>
      <c r="Y191" s="148"/>
      <c r="Z191" s="145"/>
      <c r="AA191" s="139"/>
      <c r="AB191" s="149"/>
      <c r="AC191" s="11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74"/>
      <c r="AR191" s="222"/>
    </row>
    <row r="192" spans="2:44" s="22" customFormat="1" ht="18" customHeight="1" x14ac:dyDescent="0.25">
      <c r="B192" s="145"/>
      <c r="C192" s="139"/>
      <c r="D192" s="146"/>
      <c r="E192" s="139"/>
      <c r="F192" s="139"/>
      <c r="G192" s="139"/>
      <c r="H192" s="139"/>
      <c r="I192" s="139"/>
      <c r="J192" s="139"/>
      <c r="K192" s="139"/>
      <c r="L192" s="243"/>
      <c r="M192" s="243"/>
      <c r="N192" s="139"/>
      <c r="O192" s="139"/>
      <c r="P192" s="139"/>
      <c r="Q192" s="147"/>
      <c r="R192" s="139"/>
      <c r="S192" s="139"/>
      <c r="T192" s="139"/>
      <c r="U192" s="139"/>
      <c r="V192" s="139"/>
      <c r="W192" s="139"/>
      <c r="X192" s="146"/>
      <c r="Y192" s="148"/>
      <c r="Z192" s="145"/>
      <c r="AA192" s="139"/>
      <c r="AB192" s="149"/>
      <c r="AC192" s="11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74"/>
      <c r="AR192" s="222"/>
    </row>
    <row r="193" spans="2:44" s="22" customFormat="1" ht="18" customHeight="1" x14ac:dyDescent="0.25">
      <c r="B193" s="145"/>
      <c r="C193" s="139"/>
      <c r="D193" s="146"/>
      <c r="E193" s="139"/>
      <c r="F193" s="139"/>
      <c r="G193" s="139"/>
      <c r="H193" s="139"/>
      <c r="I193" s="139"/>
      <c r="J193" s="139"/>
      <c r="K193" s="139"/>
      <c r="L193" s="243"/>
      <c r="M193" s="243"/>
      <c r="N193" s="139"/>
      <c r="O193" s="139"/>
      <c r="P193" s="139"/>
      <c r="Q193" s="147"/>
      <c r="R193" s="139"/>
      <c r="S193" s="139"/>
      <c r="T193" s="139"/>
      <c r="U193" s="139"/>
      <c r="V193" s="139"/>
      <c r="W193" s="139"/>
      <c r="X193" s="146"/>
      <c r="Y193" s="148"/>
      <c r="Z193" s="145"/>
      <c r="AA193" s="139"/>
      <c r="AB193" s="149"/>
      <c r="AC193" s="11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74"/>
      <c r="AR193" s="222"/>
    </row>
    <row r="194" spans="2:44" s="22" customFormat="1" ht="18" customHeight="1" x14ac:dyDescent="0.25">
      <c r="B194" s="145"/>
      <c r="C194" s="139"/>
      <c r="D194" s="146"/>
      <c r="E194" s="139"/>
      <c r="F194" s="139"/>
      <c r="G194" s="139"/>
      <c r="H194" s="139"/>
      <c r="I194" s="139"/>
      <c r="J194" s="139"/>
      <c r="K194" s="139"/>
      <c r="L194" s="243"/>
      <c r="M194" s="243"/>
      <c r="N194" s="139"/>
      <c r="O194" s="139"/>
      <c r="P194" s="139"/>
      <c r="Q194" s="147"/>
      <c r="R194" s="139"/>
      <c r="S194" s="139"/>
      <c r="T194" s="139"/>
      <c r="U194" s="139"/>
      <c r="V194" s="139"/>
      <c r="W194" s="139"/>
      <c r="X194" s="146"/>
      <c r="Y194" s="148"/>
      <c r="Z194" s="145"/>
      <c r="AA194" s="139"/>
      <c r="AB194" s="149"/>
      <c r="AC194" s="11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74"/>
      <c r="AR194" s="222"/>
    </row>
    <row r="195" spans="2:44" s="22" customFormat="1" ht="18" customHeight="1" x14ac:dyDescent="0.25">
      <c r="B195" s="145"/>
      <c r="C195" s="139"/>
      <c r="D195" s="146"/>
      <c r="E195" s="139"/>
      <c r="F195" s="139"/>
      <c r="G195" s="139"/>
      <c r="H195" s="139"/>
      <c r="I195" s="139"/>
      <c r="J195" s="139"/>
      <c r="K195" s="139"/>
      <c r="L195" s="243"/>
      <c r="M195" s="243"/>
      <c r="N195" s="139"/>
      <c r="O195" s="139"/>
      <c r="P195" s="139"/>
      <c r="Q195" s="147"/>
      <c r="R195" s="139"/>
      <c r="S195" s="139"/>
      <c r="T195" s="139"/>
      <c r="U195" s="139"/>
      <c r="V195" s="139"/>
      <c r="W195" s="139"/>
      <c r="X195" s="146"/>
      <c r="Y195" s="148"/>
      <c r="Z195" s="145"/>
      <c r="AA195" s="139"/>
      <c r="AB195" s="149"/>
      <c r="AC195" s="11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74"/>
      <c r="AR195" s="222"/>
    </row>
    <row r="196" spans="2:44" s="22" customFormat="1" ht="18" customHeight="1" x14ac:dyDescent="0.25">
      <c r="B196" s="145"/>
      <c r="C196" s="139"/>
      <c r="D196" s="146"/>
      <c r="E196" s="139"/>
      <c r="F196" s="139"/>
      <c r="G196" s="139"/>
      <c r="H196" s="139"/>
      <c r="I196" s="139"/>
      <c r="J196" s="139"/>
      <c r="K196" s="139"/>
      <c r="L196" s="243"/>
      <c r="M196" s="243"/>
      <c r="N196" s="139"/>
      <c r="O196" s="139"/>
      <c r="P196" s="139"/>
      <c r="Q196" s="147"/>
      <c r="R196" s="139"/>
      <c r="S196" s="139"/>
      <c r="T196" s="139"/>
      <c r="U196" s="139"/>
      <c r="V196" s="139"/>
      <c r="W196" s="139"/>
      <c r="X196" s="146"/>
      <c r="Y196" s="148"/>
      <c r="Z196" s="145"/>
      <c r="AA196" s="139"/>
      <c r="AB196" s="149"/>
      <c r="AC196" s="11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74"/>
      <c r="AR196" s="222"/>
    </row>
    <row r="197" spans="2:44" s="22" customFormat="1" ht="18" customHeight="1" x14ac:dyDescent="0.25">
      <c r="B197" s="145"/>
      <c r="C197" s="139"/>
      <c r="D197" s="146"/>
      <c r="E197" s="139"/>
      <c r="F197" s="139"/>
      <c r="G197" s="139"/>
      <c r="H197" s="139"/>
      <c r="I197" s="139"/>
      <c r="J197" s="139"/>
      <c r="K197" s="139"/>
      <c r="L197" s="243"/>
      <c r="M197" s="243"/>
      <c r="N197" s="139"/>
      <c r="O197" s="139"/>
      <c r="P197" s="139"/>
      <c r="Q197" s="147"/>
      <c r="R197" s="139"/>
      <c r="S197" s="139"/>
      <c r="T197" s="139"/>
      <c r="U197" s="139"/>
      <c r="V197" s="139"/>
      <c r="W197" s="139"/>
      <c r="X197" s="146"/>
      <c r="Y197" s="148"/>
      <c r="Z197" s="145"/>
      <c r="AA197" s="139"/>
      <c r="AB197" s="149"/>
      <c r="AC197" s="11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74"/>
      <c r="AR197" s="222"/>
    </row>
    <row r="198" spans="2:44" s="140" customFormat="1" ht="18" customHeight="1" x14ac:dyDescent="0.25">
      <c r="B198" s="145"/>
      <c r="C198" s="139"/>
      <c r="D198" s="146"/>
      <c r="E198" s="139"/>
      <c r="F198" s="139"/>
      <c r="G198" s="139"/>
      <c r="H198" s="139"/>
      <c r="I198" s="139"/>
      <c r="J198" s="139"/>
      <c r="K198" s="139"/>
      <c r="L198" s="243"/>
      <c r="M198" s="243"/>
      <c r="N198" s="139"/>
      <c r="O198" s="139"/>
      <c r="P198" s="139"/>
      <c r="Q198" s="147"/>
      <c r="R198" s="139"/>
      <c r="S198" s="139"/>
      <c r="T198" s="139"/>
      <c r="U198" s="139"/>
      <c r="V198" s="139"/>
      <c r="W198" s="139"/>
      <c r="X198" s="146"/>
      <c r="Y198" s="148"/>
      <c r="Z198" s="145"/>
      <c r="AA198" s="139"/>
      <c r="AB198" s="149"/>
      <c r="AC198" s="11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74"/>
      <c r="AR198" s="222"/>
    </row>
    <row r="199" spans="2:44" s="22" customFormat="1" ht="18" customHeight="1" x14ac:dyDescent="0.25">
      <c r="B199" s="145"/>
      <c r="C199" s="139"/>
      <c r="D199" s="146"/>
      <c r="E199" s="139"/>
      <c r="F199" s="139"/>
      <c r="G199" s="139"/>
      <c r="H199" s="139"/>
      <c r="I199" s="139"/>
      <c r="J199" s="139"/>
      <c r="K199" s="139"/>
      <c r="L199" s="243"/>
      <c r="M199" s="243"/>
      <c r="N199" s="139"/>
      <c r="O199" s="139"/>
      <c r="P199" s="139"/>
      <c r="Q199" s="147"/>
      <c r="R199" s="139"/>
      <c r="S199" s="139"/>
      <c r="T199" s="139"/>
      <c r="U199" s="139"/>
      <c r="V199" s="139"/>
      <c r="W199" s="139"/>
      <c r="X199" s="146"/>
      <c r="Y199" s="148"/>
      <c r="Z199" s="145"/>
      <c r="AA199" s="139"/>
      <c r="AB199" s="149"/>
      <c r="AC199" s="11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74"/>
      <c r="AR199" s="222"/>
    </row>
    <row r="200" spans="2:44" s="22" customFormat="1" ht="18" customHeight="1" x14ac:dyDescent="0.25">
      <c r="B200" s="145"/>
      <c r="C200" s="139"/>
      <c r="D200" s="146"/>
      <c r="E200" s="139"/>
      <c r="F200" s="139"/>
      <c r="G200" s="139"/>
      <c r="H200" s="139"/>
      <c r="I200" s="139"/>
      <c r="J200" s="139"/>
      <c r="K200" s="139"/>
      <c r="L200" s="243"/>
      <c r="M200" s="243"/>
      <c r="N200" s="139"/>
      <c r="O200" s="139"/>
      <c r="P200" s="139"/>
      <c r="Q200" s="147"/>
      <c r="R200" s="139"/>
      <c r="S200" s="139"/>
      <c r="T200" s="139"/>
      <c r="U200" s="139"/>
      <c r="V200" s="139"/>
      <c r="W200" s="139"/>
      <c r="X200" s="146"/>
      <c r="Y200" s="148"/>
      <c r="Z200" s="145"/>
      <c r="AA200" s="139"/>
      <c r="AB200" s="149"/>
      <c r="AC200" s="11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74"/>
      <c r="AR200" s="222"/>
    </row>
    <row r="201" spans="2:44" s="22" customFormat="1" ht="18" customHeight="1" x14ac:dyDescent="0.25">
      <c r="B201" s="145"/>
      <c r="C201" s="139"/>
      <c r="D201" s="146"/>
      <c r="E201" s="139"/>
      <c r="F201" s="139"/>
      <c r="G201" s="139"/>
      <c r="H201" s="139"/>
      <c r="I201" s="139"/>
      <c r="J201" s="139"/>
      <c r="K201" s="139"/>
      <c r="L201" s="243"/>
      <c r="M201" s="243"/>
      <c r="N201" s="139"/>
      <c r="O201" s="139"/>
      <c r="P201" s="139"/>
      <c r="Q201" s="147"/>
      <c r="R201" s="139"/>
      <c r="S201" s="139"/>
      <c r="T201" s="139"/>
      <c r="U201" s="139"/>
      <c r="V201" s="139"/>
      <c r="W201" s="139"/>
      <c r="X201" s="146"/>
      <c r="Y201" s="148"/>
      <c r="Z201" s="145"/>
      <c r="AA201" s="139"/>
      <c r="AB201" s="149"/>
      <c r="AC201" s="11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74"/>
      <c r="AR201" s="222"/>
    </row>
    <row r="202" spans="2:44" s="140" customFormat="1" ht="18" customHeight="1" x14ac:dyDescent="0.25">
      <c r="B202" s="145"/>
      <c r="C202" s="139"/>
      <c r="D202" s="146"/>
      <c r="E202" s="139"/>
      <c r="F202" s="139"/>
      <c r="G202" s="139"/>
      <c r="H202" s="139"/>
      <c r="I202" s="139"/>
      <c r="J202" s="139"/>
      <c r="K202" s="139"/>
      <c r="L202" s="243"/>
      <c r="M202" s="243"/>
      <c r="N202" s="139"/>
      <c r="O202" s="139"/>
      <c r="P202" s="139"/>
      <c r="Q202" s="147"/>
      <c r="R202" s="139"/>
      <c r="S202" s="139"/>
      <c r="T202" s="139"/>
      <c r="U202" s="139"/>
      <c r="V202" s="139"/>
      <c r="W202" s="139"/>
      <c r="X202" s="146"/>
      <c r="Y202" s="148"/>
      <c r="Z202" s="145"/>
      <c r="AA202" s="139"/>
      <c r="AB202" s="149"/>
      <c r="AC202" s="11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74"/>
      <c r="AR202" s="222"/>
    </row>
    <row r="203" spans="2:44" s="22" customFormat="1" ht="18" customHeight="1" x14ac:dyDescent="0.25">
      <c r="B203" s="145"/>
      <c r="C203" s="139"/>
      <c r="D203" s="146"/>
      <c r="E203" s="139"/>
      <c r="F203" s="139"/>
      <c r="G203" s="139"/>
      <c r="H203" s="139"/>
      <c r="I203" s="139"/>
      <c r="J203" s="139"/>
      <c r="K203" s="139"/>
      <c r="L203" s="243"/>
      <c r="M203" s="243"/>
      <c r="N203" s="139"/>
      <c r="O203" s="139"/>
      <c r="P203" s="139"/>
      <c r="Q203" s="147"/>
      <c r="R203" s="139"/>
      <c r="S203" s="139"/>
      <c r="T203" s="139"/>
      <c r="U203" s="139"/>
      <c r="V203" s="139"/>
      <c r="W203" s="139"/>
      <c r="X203" s="146"/>
      <c r="Y203" s="148"/>
      <c r="Z203" s="145"/>
      <c r="AA203" s="139"/>
      <c r="AB203" s="149"/>
      <c r="AC203" s="11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74"/>
      <c r="AR203" s="222"/>
    </row>
    <row r="204" spans="2:44" s="22" customFormat="1" ht="18" customHeight="1" x14ac:dyDescent="0.25">
      <c r="B204" s="145"/>
      <c r="C204" s="139"/>
      <c r="D204" s="146"/>
      <c r="E204" s="139"/>
      <c r="F204" s="139"/>
      <c r="G204" s="139"/>
      <c r="H204" s="139"/>
      <c r="I204" s="139"/>
      <c r="J204" s="139"/>
      <c r="K204" s="139"/>
      <c r="L204" s="243"/>
      <c r="M204" s="243"/>
      <c r="N204" s="139"/>
      <c r="O204" s="139"/>
      <c r="P204" s="139"/>
      <c r="Q204" s="147"/>
      <c r="R204" s="139"/>
      <c r="S204" s="139"/>
      <c r="T204" s="139"/>
      <c r="U204" s="139"/>
      <c r="V204" s="139"/>
      <c r="W204" s="139"/>
      <c r="X204" s="146"/>
      <c r="Y204" s="148"/>
      <c r="Z204" s="145"/>
      <c r="AA204" s="139"/>
      <c r="AB204" s="149"/>
      <c r="AC204" s="11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74"/>
      <c r="AR204" s="222"/>
    </row>
    <row r="205" spans="2:44" s="22" customFormat="1" ht="18" customHeight="1" x14ac:dyDescent="0.25">
      <c r="B205" s="145"/>
      <c r="C205" s="139"/>
      <c r="D205" s="146"/>
      <c r="E205" s="139"/>
      <c r="F205" s="139"/>
      <c r="G205" s="139"/>
      <c r="H205" s="139"/>
      <c r="I205" s="139"/>
      <c r="J205" s="139"/>
      <c r="K205" s="139"/>
      <c r="L205" s="243"/>
      <c r="M205" s="243"/>
      <c r="N205" s="139"/>
      <c r="O205" s="139"/>
      <c r="P205" s="139"/>
      <c r="Q205" s="147"/>
      <c r="R205" s="139"/>
      <c r="S205" s="139"/>
      <c r="T205" s="139"/>
      <c r="U205" s="139"/>
      <c r="V205" s="139"/>
      <c r="W205" s="139"/>
      <c r="X205" s="146"/>
      <c r="Y205" s="148"/>
      <c r="Z205" s="145"/>
      <c r="AA205" s="139"/>
      <c r="AB205" s="149"/>
      <c r="AC205" s="11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74"/>
      <c r="AR205" s="222"/>
    </row>
    <row r="206" spans="2:44" s="22" customFormat="1" ht="18" customHeight="1" x14ac:dyDescent="0.25">
      <c r="B206" s="145"/>
      <c r="C206" s="139"/>
      <c r="D206" s="146"/>
      <c r="E206" s="139"/>
      <c r="F206" s="139"/>
      <c r="G206" s="139"/>
      <c r="H206" s="139"/>
      <c r="I206" s="139"/>
      <c r="J206" s="139"/>
      <c r="K206" s="139"/>
      <c r="L206" s="243"/>
      <c r="M206" s="243"/>
      <c r="N206" s="139"/>
      <c r="O206" s="139"/>
      <c r="P206" s="139"/>
      <c r="Q206" s="147"/>
      <c r="R206" s="139"/>
      <c r="S206" s="139"/>
      <c r="T206" s="139"/>
      <c r="U206" s="139"/>
      <c r="V206" s="139"/>
      <c r="W206" s="139"/>
      <c r="X206" s="146"/>
      <c r="Y206" s="148"/>
      <c r="Z206" s="145"/>
      <c r="AA206" s="139"/>
      <c r="AB206" s="149"/>
      <c r="AC206" s="11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74"/>
      <c r="AR206" s="222"/>
    </row>
    <row r="207" spans="2:44" s="22" customFormat="1" ht="18" customHeight="1" x14ac:dyDescent="0.25">
      <c r="B207" s="145"/>
      <c r="C207" s="139"/>
      <c r="D207" s="146"/>
      <c r="E207" s="139"/>
      <c r="F207" s="139"/>
      <c r="G207" s="139"/>
      <c r="H207" s="139"/>
      <c r="I207" s="139"/>
      <c r="J207" s="139"/>
      <c r="K207" s="139"/>
      <c r="L207" s="243"/>
      <c r="M207" s="243"/>
      <c r="N207" s="139"/>
      <c r="O207" s="139"/>
      <c r="P207" s="139"/>
      <c r="Q207" s="147"/>
      <c r="R207" s="139"/>
      <c r="S207" s="139"/>
      <c r="T207" s="139"/>
      <c r="U207" s="139"/>
      <c r="V207" s="139"/>
      <c r="W207" s="139"/>
      <c r="X207" s="146"/>
      <c r="Y207" s="148"/>
      <c r="Z207" s="145"/>
      <c r="AA207" s="139"/>
      <c r="AB207" s="149"/>
      <c r="AC207" s="11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74"/>
      <c r="AR207" s="222"/>
    </row>
    <row r="208" spans="2:44" s="140" customFormat="1" ht="18" customHeight="1" x14ac:dyDescent="0.25">
      <c r="B208" s="145"/>
      <c r="C208" s="139"/>
      <c r="D208" s="146"/>
      <c r="E208" s="139"/>
      <c r="F208" s="139"/>
      <c r="G208" s="139"/>
      <c r="H208" s="139"/>
      <c r="I208" s="139"/>
      <c r="J208" s="139"/>
      <c r="K208" s="139"/>
      <c r="L208" s="243"/>
      <c r="M208" s="243"/>
      <c r="N208" s="139"/>
      <c r="O208" s="139"/>
      <c r="P208" s="139"/>
      <c r="Q208" s="147"/>
      <c r="R208" s="139"/>
      <c r="S208" s="139"/>
      <c r="T208" s="139"/>
      <c r="U208" s="139"/>
      <c r="V208" s="139"/>
      <c r="W208" s="139"/>
      <c r="X208" s="146"/>
      <c r="Y208" s="148"/>
      <c r="Z208" s="145"/>
      <c r="AA208" s="139"/>
      <c r="AB208" s="149"/>
      <c r="AC208" s="11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74"/>
      <c r="AR208" s="222"/>
    </row>
    <row r="209" spans="2:44" s="22" customFormat="1" ht="18" customHeight="1" x14ac:dyDescent="0.25">
      <c r="B209" s="145"/>
      <c r="C209" s="139"/>
      <c r="D209" s="146"/>
      <c r="E209" s="139"/>
      <c r="F209" s="139"/>
      <c r="G209" s="139"/>
      <c r="H209" s="139"/>
      <c r="I209" s="139"/>
      <c r="J209" s="139"/>
      <c r="K209" s="139"/>
      <c r="L209" s="243"/>
      <c r="M209" s="243"/>
      <c r="N209" s="139"/>
      <c r="O209" s="139"/>
      <c r="P209" s="139"/>
      <c r="Q209" s="147"/>
      <c r="R209" s="139"/>
      <c r="S209" s="139"/>
      <c r="T209" s="139"/>
      <c r="U209" s="139"/>
      <c r="V209" s="139"/>
      <c r="W209" s="139"/>
      <c r="X209" s="146"/>
      <c r="Y209" s="148"/>
      <c r="Z209" s="145"/>
      <c r="AA209" s="139"/>
      <c r="AB209" s="149"/>
      <c r="AC209" s="11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74"/>
      <c r="AR209" s="222"/>
    </row>
    <row r="210" spans="2:44" s="22" customFormat="1" ht="18" customHeight="1" x14ac:dyDescent="0.25">
      <c r="B210" s="145"/>
      <c r="C210" s="139"/>
      <c r="D210" s="146"/>
      <c r="E210" s="139"/>
      <c r="F210" s="139"/>
      <c r="G210" s="139"/>
      <c r="H210" s="139"/>
      <c r="I210" s="139"/>
      <c r="J210" s="139"/>
      <c r="K210" s="139"/>
      <c r="L210" s="243"/>
      <c r="M210" s="243"/>
      <c r="N210" s="139"/>
      <c r="O210" s="139"/>
      <c r="P210" s="139"/>
      <c r="Q210" s="147"/>
      <c r="R210" s="139"/>
      <c r="S210" s="139"/>
      <c r="T210" s="139"/>
      <c r="U210" s="139"/>
      <c r="V210" s="139"/>
      <c r="W210" s="139"/>
      <c r="X210" s="146"/>
      <c r="Y210" s="148"/>
      <c r="Z210" s="145"/>
      <c r="AA210" s="139"/>
      <c r="AB210" s="149"/>
      <c r="AC210" s="11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74"/>
      <c r="AR210" s="222"/>
    </row>
    <row r="211" spans="2:44" s="22" customFormat="1" ht="18" customHeight="1" x14ac:dyDescent="0.25">
      <c r="B211" s="145"/>
      <c r="C211" s="139"/>
      <c r="D211" s="146"/>
      <c r="E211" s="139"/>
      <c r="F211" s="139"/>
      <c r="G211" s="139"/>
      <c r="H211" s="139"/>
      <c r="I211" s="139"/>
      <c r="J211" s="139"/>
      <c r="K211" s="139"/>
      <c r="L211" s="243"/>
      <c r="M211" s="243"/>
      <c r="N211" s="139"/>
      <c r="O211" s="139"/>
      <c r="P211" s="139"/>
      <c r="Q211" s="147"/>
      <c r="R211" s="139"/>
      <c r="S211" s="139"/>
      <c r="T211" s="139"/>
      <c r="U211" s="139"/>
      <c r="V211" s="139"/>
      <c r="W211" s="139"/>
      <c r="X211" s="146"/>
      <c r="Y211" s="148"/>
      <c r="Z211" s="145"/>
      <c r="AA211" s="139"/>
      <c r="AB211" s="149"/>
      <c r="AC211" s="11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74"/>
      <c r="AR211" s="222"/>
    </row>
    <row r="212" spans="2:44" s="22" customFormat="1" ht="18" customHeight="1" x14ac:dyDescent="0.25">
      <c r="B212" s="145"/>
      <c r="C212" s="139"/>
      <c r="D212" s="146"/>
      <c r="E212" s="139"/>
      <c r="F212" s="139"/>
      <c r="G212" s="139"/>
      <c r="H212" s="139"/>
      <c r="I212" s="139"/>
      <c r="J212" s="139"/>
      <c r="K212" s="139"/>
      <c r="L212" s="243"/>
      <c r="M212" s="243"/>
      <c r="N212" s="139"/>
      <c r="O212" s="139"/>
      <c r="P212" s="139"/>
      <c r="Q212" s="147"/>
      <c r="R212" s="139"/>
      <c r="S212" s="139"/>
      <c r="T212" s="139"/>
      <c r="U212" s="139"/>
      <c r="V212" s="139"/>
      <c r="W212" s="139"/>
      <c r="X212" s="146"/>
      <c r="Y212" s="148"/>
      <c r="Z212" s="145"/>
      <c r="AA212" s="139"/>
      <c r="AB212" s="149"/>
      <c r="AC212" s="11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74"/>
      <c r="AR212" s="222"/>
    </row>
    <row r="213" spans="2:44" s="140" customFormat="1" ht="18" customHeight="1" x14ac:dyDescent="0.25">
      <c r="B213" s="145"/>
      <c r="C213" s="139"/>
      <c r="D213" s="146"/>
      <c r="E213" s="139"/>
      <c r="F213" s="139"/>
      <c r="G213" s="139"/>
      <c r="H213" s="139"/>
      <c r="I213" s="139"/>
      <c r="J213" s="139"/>
      <c r="K213" s="139"/>
      <c r="L213" s="243"/>
      <c r="M213" s="243"/>
      <c r="N213" s="139"/>
      <c r="O213" s="139"/>
      <c r="P213" s="139"/>
      <c r="Q213" s="147"/>
      <c r="R213" s="139"/>
      <c r="S213" s="139"/>
      <c r="T213" s="139"/>
      <c r="U213" s="139"/>
      <c r="V213" s="139"/>
      <c r="W213" s="139"/>
      <c r="X213" s="146"/>
      <c r="Y213" s="148"/>
      <c r="Z213" s="145"/>
      <c r="AA213" s="139"/>
      <c r="AB213" s="149"/>
      <c r="AC213" s="11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74"/>
      <c r="AR213" s="222"/>
    </row>
    <row r="214" spans="2:44" s="22" customFormat="1" ht="18" customHeight="1" x14ac:dyDescent="0.25">
      <c r="B214" s="145"/>
      <c r="C214" s="139"/>
      <c r="D214" s="146"/>
      <c r="E214" s="139"/>
      <c r="F214" s="139"/>
      <c r="G214" s="139"/>
      <c r="H214" s="139"/>
      <c r="I214" s="139"/>
      <c r="J214" s="139"/>
      <c r="K214" s="139"/>
      <c r="L214" s="243"/>
      <c r="M214" s="243"/>
      <c r="N214" s="139"/>
      <c r="O214" s="139"/>
      <c r="P214" s="139"/>
      <c r="Q214" s="147"/>
      <c r="R214" s="139"/>
      <c r="S214" s="139"/>
      <c r="T214" s="139"/>
      <c r="U214" s="139"/>
      <c r="V214" s="139"/>
      <c r="W214" s="139"/>
      <c r="X214" s="146"/>
      <c r="Y214" s="148"/>
      <c r="Z214" s="145"/>
      <c r="AA214" s="139"/>
      <c r="AB214" s="149"/>
      <c r="AC214" s="11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74"/>
      <c r="AR214" s="222"/>
    </row>
    <row r="215" spans="2:44" s="22" customFormat="1" ht="18" customHeight="1" x14ac:dyDescent="0.25">
      <c r="B215" s="145"/>
      <c r="C215" s="139"/>
      <c r="D215" s="146"/>
      <c r="E215" s="139"/>
      <c r="F215" s="139"/>
      <c r="G215" s="139"/>
      <c r="H215" s="139"/>
      <c r="I215" s="139"/>
      <c r="J215" s="139"/>
      <c r="K215" s="139"/>
      <c r="L215" s="243"/>
      <c r="M215" s="243"/>
      <c r="N215" s="139"/>
      <c r="O215" s="139"/>
      <c r="P215" s="139"/>
      <c r="Q215" s="147"/>
      <c r="R215" s="139"/>
      <c r="S215" s="139"/>
      <c r="T215" s="139"/>
      <c r="U215" s="139"/>
      <c r="V215" s="139"/>
      <c r="W215" s="139"/>
      <c r="X215" s="146"/>
      <c r="Y215" s="148"/>
      <c r="Z215" s="145"/>
      <c r="AA215" s="139"/>
      <c r="AB215" s="149"/>
      <c r="AC215" s="11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74"/>
      <c r="AR215" s="222"/>
    </row>
    <row r="216" spans="2:44" s="22" customFormat="1" ht="18" customHeight="1" x14ac:dyDescent="0.25">
      <c r="B216" s="145"/>
      <c r="C216" s="139"/>
      <c r="D216" s="146"/>
      <c r="E216" s="139"/>
      <c r="F216" s="139"/>
      <c r="G216" s="139"/>
      <c r="H216" s="139"/>
      <c r="I216" s="139"/>
      <c r="J216" s="139"/>
      <c r="K216" s="139"/>
      <c r="L216" s="243"/>
      <c r="M216" s="243"/>
      <c r="N216" s="139"/>
      <c r="O216" s="139"/>
      <c r="P216" s="139"/>
      <c r="Q216" s="147"/>
      <c r="R216" s="139"/>
      <c r="S216" s="139"/>
      <c r="T216" s="139"/>
      <c r="U216" s="139"/>
      <c r="V216" s="139"/>
      <c r="W216" s="139"/>
      <c r="X216" s="146"/>
      <c r="Y216" s="148"/>
      <c r="Z216" s="145"/>
      <c r="AA216" s="139"/>
      <c r="AB216" s="149"/>
      <c r="AC216" s="11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74"/>
      <c r="AR216" s="222"/>
    </row>
    <row r="217" spans="2:44" s="22" customFormat="1" ht="18" customHeight="1" x14ac:dyDescent="0.25">
      <c r="B217" s="145"/>
      <c r="C217" s="139"/>
      <c r="D217" s="146"/>
      <c r="E217" s="139"/>
      <c r="F217" s="139"/>
      <c r="G217" s="139"/>
      <c r="H217" s="139"/>
      <c r="I217" s="139"/>
      <c r="J217" s="139"/>
      <c r="K217" s="139"/>
      <c r="L217" s="243"/>
      <c r="M217" s="243"/>
      <c r="N217" s="139"/>
      <c r="O217" s="139"/>
      <c r="P217" s="139"/>
      <c r="Q217" s="147"/>
      <c r="R217" s="139"/>
      <c r="S217" s="139"/>
      <c r="T217" s="139"/>
      <c r="U217" s="139"/>
      <c r="V217" s="139"/>
      <c r="W217" s="139"/>
      <c r="X217" s="146"/>
      <c r="Y217" s="148"/>
      <c r="Z217" s="145"/>
      <c r="AA217" s="139"/>
      <c r="AB217" s="149"/>
      <c r="AC217" s="11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74"/>
      <c r="AR217" s="222"/>
    </row>
    <row r="218" spans="2:44" s="22" customFormat="1" ht="18" customHeight="1" x14ac:dyDescent="0.25">
      <c r="B218" s="145"/>
      <c r="C218" s="139"/>
      <c r="D218" s="146"/>
      <c r="E218" s="139"/>
      <c r="F218" s="139"/>
      <c r="G218" s="139"/>
      <c r="H218" s="139"/>
      <c r="I218" s="139"/>
      <c r="J218" s="139"/>
      <c r="K218" s="139"/>
      <c r="L218" s="243"/>
      <c r="M218" s="243"/>
      <c r="N218" s="139"/>
      <c r="O218" s="139"/>
      <c r="P218" s="139"/>
      <c r="Q218" s="147"/>
      <c r="R218" s="139"/>
      <c r="S218" s="139"/>
      <c r="T218" s="139"/>
      <c r="U218" s="139"/>
      <c r="V218" s="139"/>
      <c r="W218" s="139"/>
      <c r="X218" s="146"/>
      <c r="Y218" s="148"/>
      <c r="Z218" s="145"/>
      <c r="AA218" s="139"/>
      <c r="AB218" s="149"/>
      <c r="AC218" s="11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74"/>
      <c r="AR218" s="222"/>
    </row>
    <row r="219" spans="2:44" s="22" customFormat="1" ht="18" customHeight="1" x14ac:dyDescent="0.25">
      <c r="B219" s="145"/>
      <c r="C219" s="139"/>
      <c r="D219" s="146"/>
      <c r="E219" s="139"/>
      <c r="F219" s="139"/>
      <c r="G219" s="139"/>
      <c r="H219" s="139"/>
      <c r="I219" s="139"/>
      <c r="J219" s="139"/>
      <c r="K219" s="139"/>
      <c r="L219" s="243"/>
      <c r="M219" s="243"/>
      <c r="N219" s="139"/>
      <c r="O219" s="139"/>
      <c r="P219" s="139"/>
      <c r="Q219" s="147"/>
      <c r="R219" s="139"/>
      <c r="S219" s="139"/>
      <c r="T219" s="139"/>
      <c r="U219" s="139"/>
      <c r="V219" s="139"/>
      <c r="W219" s="139"/>
      <c r="X219" s="146"/>
      <c r="Y219" s="148"/>
      <c r="Z219" s="145"/>
      <c r="AA219" s="139"/>
      <c r="AB219" s="149"/>
      <c r="AC219" s="11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74"/>
      <c r="AR219" s="222"/>
    </row>
    <row r="220" spans="2:44" s="22" customFormat="1" ht="18" customHeight="1" x14ac:dyDescent="0.25">
      <c r="B220" s="145"/>
      <c r="C220" s="139"/>
      <c r="D220" s="146"/>
      <c r="E220" s="139"/>
      <c r="F220" s="139"/>
      <c r="G220" s="139"/>
      <c r="H220" s="139"/>
      <c r="I220" s="139"/>
      <c r="J220" s="139"/>
      <c r="K220" s="139"/>
      <c r="L220" s="243"/>
      <c r="M220" s="243"/>
      <c r="N220" s="139"/>
      <c r="O220" s="139"/>
      <c r="P220" s="139"/>
      <c r="Q220" s="147"/>
      <c r="R220" s="139"/>
      <c r="S220" s="139"/>
      <c r="T220" s="139"/>
      <c r="U220" s="139"/>
      <c r="V220" s="139"/>
      <c r="W220" s="139"/>
      <c r="X220" s="146"/>
      <c r="Y220" s="148"/>
      <c r="Z220" s="145"/>
      <c r="AA220" s="139"/>
      <c r="AB220" s="149"/>
      <c r="AC220" s="11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74"/>
      <c r="AR220" s="222"/>
    </row>
    <row r="221" spans="2:44" s="140" customFormat="1" ht="18" customHeight="1" x14ac:dyDescent="0.25">
      <c r="B221" s="145"/>
      <c r="C221" s="139"/>
      <c r="D221" s="146"/>
      <c r="E221" s="139"/>
      <c r="F221" s="139"/>
      <c r="G221" s="139"/>
      <c r="H221" s="139"/>
      <c r="I221" s="139"/>
      <c r="J221" s="139"/>
      <c r="K221" s="139"/>
      <c r="L221" s="243"/>
      <c r="M221" s="243"/>
      <c r="N221" s="139"/>
      <c r="O221" s="139"/>
      <c r="P221" s="139"/>
      <c r="Q221" s="147"/>
      <c r="R221" s="139"/>
      <c r="S221" s="139"/>
      <c r="T221" s="139"/>
      <c r="U221" s="139"/>
      <c r="V221" s="139"/>
      <c r="W221" s="139"/>
      <c r="X221" s="146"/>
      <c r="Y221" s="148"/>
      <c r="Z221" s="145"/>
      <c r="AA221" s="139"/>
      <c r="AB221" s="149"/>
      <c r="AC221" s="11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74"/>
      <c r="AR221" s="222"/>
    </row>
    <row r="222" spans="2:44" s="22" customFormat="1" ht="18" customHeight="1" x14ac:dyDescent="0.25">
      <c r="B222" s="145"/>
      <c r="C222" s="139"/>
      <c r="D222" s="146"/>
      <c r="E222" s="139"/>
      <c r="F222" s="139"/>
      <c r="G222" s="139"/>
      <c r="H222" s="139"/>
      <c r="I222" s="139"/>
      <c r="J222" s="139"/>
      <c r="K222" s="139"/>
      <c r="L222" s="243"/>
      <c r="M222" s="243"/>
      <c r="N222" s="139"/>
      <c r="O222" s="139"/>
      <c r="P222" s="139"/>
      <c r="Q222" s="147"/>
      <c r="R222" s="139"/>
      <c r="S222" s="139"/>
      <c r="T222" s="139"/>
      <c r="U222" s="139"/>
      <c r="V222" s="139"/>
      <c r="W222" s="139"/>
      <c r="X222" s="146"/>
      <c r="Y222" s="148"/>
      <c r="Z222" s="145"/>
      <c r="AA222" s="139"/>
      <c r="AB222" s="149"/>
      <c r="AC222" s="11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74"/>
      <c r="AR222" s="222"/>
    </row>
    <row r="223" spans="2:44" s="22" customFormat="1" ht="18" customHeight="1" x14ac:dyDescent="0.25">
      <c r="B223" s="145"/>
      <c r="C223" s="139"/>
      <c r="D223" s="146"/>
      <c r="E223" s="139"/>
      <c r="F223" s="139"/>
      <c r="G223" s="139"/>
      <c r="H223" s="139"/>
      <c r="I223" s="139"/>
      <c r="J223" s="139"/>
      <c r="K223" s="139"/>
      <c r="L223" s="243"/>
      <c r="M223" s="243"/>
      <c r="N223" s="139"/>
      <c r="O223" s="139"/>
      <c r="P223" s="139"/>
      <c r="Q223" s="147"/>
      <c r="R223" s="139"/>
      <c r="S223" s="139"/>
      <c r="T223" s="139"/>
      <c r="U223" s="139"/>
      <c r="V223" s="139"/>
      <c r="W223" s="139"/>
      <c r="X223" s="146"/>
      <c r="Y223" s="148"/>
      <c r="Z223" s="145"/>
      <c r="AA223" s="139"/>
      <c r="AB223" s="149"/>
      <c r="AC223" s="11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74"/>
      <c r="AR223" s="222"/>
    </row>
    <row r="224" spans="2:44" s="22" customFormat="1" ht="18" customHeight="1" x14ac:dyDescent="0.25">
      <c r="B224" s="145"/>
      <c r="C224" s="139"/>
      <c r="D224" s="146"/>
      <c r="E224" s="139"/>
      <c r="F224" s="139"/>
      <c r="G224" s="139"/>
      <c r="H224" s="139"/>
      <c r="I224" s="139"/>
      <c r="J224" s="139"/>
      <c r="K224" s="139"/>
      <c r="L224" s="243"/>
      <c r="M224" s="243"/>
      <c r="N224" s="139"/>
      <c r="O224" s="139"/>
      <c r="P224" s="139"/>
      <c r="Q224" s="147"/>
      <c r="R224" s="139"/>
      <c r="S224" s="139"/>
      <c r="T224" s="139"/>
      <c r="U224" s="139"/>
      <c r="V224" s="139"/>
      <c r="W224" s="139"/>
      <c r="X224" s="146"/>
      <c r="Y224" s="148"/>
      <c r="Z224" s="145"/>
      <c r="AA224" s="139"/>
      <c r="AB224" s="149"/>
      <c r="AC224" s="11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74"/>
      <c r="AR224" s="222"/>
    </row>
    <row r="225" spans="2:44" s="22" customFormat="1" ht="18" customHeight="1" x14ac:dyDescent="0.25">
      <c r="B225" s="145"/>
      <c r="C225" s="139"/>
      <c r="D225" s="146"/>
      <c r="E225" s="139"/>
      <c r="F225" s="139"/>
      <c r="G225" s="139"/>
      <c r="H225" s="139"/>
      <c r="I225" s="139"/>
      <c r="J225" s="139"/>
      <c r="K225" s="139"/>
      <c r="L225" s="243"/>
      <c r="M225" s="243"/>
      <c r="N225" s="139"/>
      <c r="O225" s="139"/>
      <c r="P225" s="139"/>
      <c r="Q225" s="147"/>
      <c r="R225" s="139"/>
      <c r="S225" s="139"/>
      <c r="T225" s="139"/>
      <c r="U225" s="139"/>
      <c r="V225" s="139"/>
      <c r="W225" s="139"/>
      <c r="X225" s="146"/>
      <c r="Y225" s="148"/>
      <c r="Z225" s="145"/>
      <c r="AA225" s="139"/>
      <c r="AB225" s="149"/>
      <c r="AC225" s="11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74"/>
      <c r="AR225" s="222"/>
    </row>
    <row r="226" spans="2:44" s="22" customFormat="1" ht="18" customHeight="1" x14ac:dyDescent="0.25">
      <c r="B226" s="145"/>
      <c r="C226" s="139"/>
      <c r="D226" s="146"/>
      <c r="E226" s="139"/>
      <c r="F226" s="139"/>
      <c r="G226" s="139"/>
      <c r="H226" s="139"/>
      <c r="I226" s="139"/>
      <c r="J226" s="139"/>
      <c r="K226" s="139"/>
      <c r="L226" s="243"/>
      <c r="M226" s="243"/>
      <c r="N226" s="139"/>
      <c r="O226" s="139"/>
      <c r="P226" s="139"/>
      <c r="Q226" s="147"/>
      <c r="R226" s="139"/>
      <c r="S226" s="139"/>
      <c r="T226" s="139"/>
      <c r="U226" s="139"/>
      <c r="V226" s="139"/>
      <c r="W226" s="139"/>
      <c r="X226" s="146"/>
      <c r="Y226" s="148"/>
      <c r="Z226" s="145"/>
      <c r="AA226" s="139"/>
      <c r="AB226" s="149"/>
      <c r="AC226" s="11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74"/>
      <c r="AR226" s="222"/>
    </row>
    <row r="227" spans="2:44" s="22" customFormat="1" ht="18" customHeight="1" x14ac:dyDescent="0.25">
      <c r="B227" s="145"/>
      <c r="C227" s="139"/>
      <c r="D227" s="146"/>
      <c r="E227" s="139"/>
      <c r="F227" s="139"/>
      <c r="G227" s="139"/>
      <c r="H227" s="139"/>
      <c r="I227" s="139"/>
      <c r="J227" s="139"/>
      <c r="K227" s="139"/>
      <c r="L227" s="243"/>
      <c r="M227" s="243"/>
      <c r="N227" s="139"/>
      <c r="O227" s="139"/>
      <c r="P227" s="139"/>
      <c r="Q227" s="147"/>
      <c r="R227" s="139"/>
      <c r="S227" s="139"/>
      <c r="T227" s="139"/>
      <c r="U227" s="139"/>
      <c r="V227" s="139"/>
      <c r="W227" s="139"/>
      <c r="X227" s="146"/>
      <c r="Y227" s="148"/>
      <c r="Z227" s="145"/>
      <c r="AA227" s="139"/>
      <c r="AB227" s="149"/>
      <c r="AC227" s="11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74"/>
      <c r="AR227" s="222"/>
    </row>
    <row r="228" spans="2:44" s="22" customFormat="1" ht="18" customHeight="1" x14ac:dyDescent="0.25">
      <c r="B228" s="145"/>
      <c r="C228" s="139"/>
      <c r="D228" s="146"/>
      <c r="E228" s="139"/>
      <c r="F228" s="139"/>
      <c r="G228" s="139"/>
      <c r="H228" s="139"/>
      <c r="I228" s="139"/>
      <c r="J228" s="139"/>
      <c r="K228" s="139"/>
      <c r="L228" s="243"/>
      <c r="M228" s="243"/>
      <c r="N228" s="139"/>
      <c r="O228" s="139"/>
      <c r="P228" s="139"/>
      <c r="Q228" s="147"/>
      <c r="R228" s="139"/>
      <c r="S228" s="139"/>
      <c r="T228" s="139"/>
      <c r="U228" s="139"/>
      <c r="V228" s="139"/>
      <c r="W228" s="139"/>
      <c r="X228" s="146"/>
      <c r="Y228" s="148"/>
      <c r="Z228" s="145"/>
      <c r="AA228" s="139"/>
      <c r="AB228" s="149"/>
      <c r="AC228" s="11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74"/>
      <c r="AR228" s="222"/>
    </row>
    <row r="229" spans="2:44" s="142" customFormat="1" ht="18" customHeight="1" x14ac:dyDescent="0.25">
      <c r="B229" s="145"/>
      <c r="C229" s="139"/>
      <c r="D229" s="146"/>
      <c r="E229" s="139"/>
      <c r="F229" s="139"/>
      <c r="G229" s="139"/>
      <c r="H229" s="139"/>
      <c r="I229" s="139"/>
      <c r="J229" s="139"/>
      <c r="K229" s="139"/>
      <c r="L229" s="243"/>
      <c r="M229" s="243"/>
      <c r="N229" s="139"/>
      <c r="O229" s="139"/>
      <c r="P229" s="139"/>
      <c r="Q229" s="147"/>
      <c r="R229" s="139"/>
      <c r="S229" s="139"/>
      <c r="T229" s="139"/>
      <c r="U229" s="139"/>
      <c r="V229" s="139"/>
      <c r="W229" s="139"/>
      <c r="X229" s="146"/>
      <c r="Y229" s="148"/>
      <c r="Z229" s="145"/>
      <c r="AA229" s="139"/>
      <c r="AB229" s="149"/>
      <c r="AC229" s="11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74"/>
      <c r="AR229" s="222"/>
    </row>
    <row r="230" spans="2:44" s="22" customFormat="1" ht="18" customHeight="1" x14ac:dyDescent="0.25">
      <c r="B230" s="145"/>
      <c r="C230" s="139"/>
      <c r="D230" s="146"/>
      <c r="E230" s="139"/>
      <c r="F230" s="139"/>
      <c r="G230" s="139"/>
      <c r="H230" s="139"/>
      <c r="I230" s="139"/>
      <c r="J230" s="139"/>
      <c r="K230" s="139"/>
      <c r="L230" s="243"/>
      <c r="M230" s="243"/>
      <c r="N230" s="139"/>
      <c r="O230" s="139"/>
      <c r="P230" s="139"/>
      <c r="Q230" s="147"/>
      <c r="R230" s="139"/>
      <c r="S230" s="139"/>
      <c r="T230" s="139"/>
      <c r="U230" s="139"/>
      <c r="V230" s="139"/>
      <c r="W230" s="139"/>
      <c r="X230" s="146"/>
      <c r="Y230" s="148"/>
      <c r="Z230" s="145"/>
      <c r="AA230" s="139"/>
      <c r="AB230" s="149"/>
      <c r="AC230" s="11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74"/>
      <c r="AR230" s="222"/>
    </row>
    <row r="231" spans="2:44" s="141" customFormat="1" ht="18" customHeight="1" x14ac:dyDescent="0.25">
      <c r="B231" s="145"/>
      <c r="C231" s="139"/>
      <c r="D231" s="146"/>
      <c r="E231" s="139"/>
      <c r="F231" s="139"/>
      <c r="G231" s="139"/>
      <c r="H231" s="139"/>
      <c r="I231" s="139"/>
      <c r="J231" s="139"/>
      <c r="K231" s="139"/>
      <c r="L231" s="243"/>
      <c r="M231" s="243"/>
      <c r="N231" s="139"/>
      <c r="O231" s="139"/>
      <c r="P231" s="139"/>
      <c r="Q231" s="147"/>
      <c r="R231" s="139"/>
      <c r="S231" s="139"/>
      <c r="T231" s="139"/>
      <c r="U231" s="139"/>
      <c r="V231" s="139"/>
      <c r="W231" s="139"/>
      <c r="X231" s="146"/>
      <c r="Y231" s="148"/>
      <c r="Z231" s="145"/>
      <c r="AA231" s="139"/>
      <c r="AB231" s="149"/>
      <c r="AC231" s="11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74"/>
      <c r="AR231" s="222"/>
    </row>
    <row r="232" spans="2:44" s="22" customFormat="1" ht="18" customHeight="1" x14ac:dyDescent="0.25">
      <c r="B232" s="145"/>
      <c r="C232" s="139"/>
      <c r="D232" s="146"/>
      <c r="E232" s="139"/>
      <c r="F232" s="139"/>
      <c r="G232" s="139"/>
      <c r="H232" s="139"/>
      <c r="I232" s="139"/>
      <c r="J232" s="139"/>
      <c r="K232" s="139"/>
      <c r="L232" s="243"/>
      <c r="M232" s="243"/>
      <c r="N232" s="139"/>
      <c r="O232" s="139"/>
      <c r="P232" s="139"/>
      <c r="Q232" s="147"/>
      <c r="R232" s="139"/>
      <c r="S232" s="139"/>
      <c r="T232" s="139"/>
      <c r="U232" s="139"/>
      <c r="V232" s="139"/>
      <c r="W232" s="139"/>
      <c r="X232" s="146"/>
      <c r="Y232" s="148"/>
      <c r="Z232" s="145"/>
      <c r="AA232" s="139"/>
      <c r="AB232" s="149"/>
      <c r="AC232" s="11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74"/>
      <c r="AR232" s="222"/>
    </row>
    <row r="233" spans="2:44" s="22" customFormat="1" ht="18" customHeight="1" x14ac:dyDescent="0.25">
      <c r="B233" s="145"/>
      <c r="C233" s="139"/>
      <c r="D233" s="146"/>
      <c r="E233" s="139"/>
      <c r="F233" s="139"/>
      <c r="G233" s="139"/>
      <c r="H233" s="139"/>
      <c r="I233" s="139"/>
      <c r="J233" s="139"/>
      <c r="K233" s="139"/>
      <c r="L233" s="243"/>
      <c r="M233" s="243"/>
      <c r="N233" s="139"/>
      <c r="O233" s="139"/>
      <c r="P233" s="139"/>
      <c r="Q233" s="147"/>
      <c r="R233" s="139"/>
      <c r="S233" s="139"/>
      <c r="T233" s="139"/>
      <c r="U233" s="139"/>
      <c r="V233" s="139"/>
      <c r="W233" s="139"/>
      <c r="X233" s="146"/>
      <c r="Y233" s="148"/>
      <c r="Z233" s="145"/>
      <c r="AA233" s="139"/>
      <c r="AB233" s="149"/>
      <c r="AC233" s="11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74"/>
      <c r="AR233" s="222"/>
    </row>
    <row r="234" spans="2:44" s="22" customFormat="1" ht="18" customHeight="1" x14ac:dyDescent="0.25">
      <c r="B234" s="145"/>
      <c r="C234" s="139"/>
      <c r="D234" s="146"/>
      <c r="E234" s="139"/>
      <c r="F234" s="139"/>
      <c r="G234" s="139"/>
      <c r="H234" s="139"/>
      <c r="I234" s="139"/>
      <c r="J234" s="139"/>
      <c r="K234" s="139"/>
      <c r="L234" s="243"/>
      <c r="M234" s="243"/>
      <c r="N234" s="139"/>
      <c r="O234" s="139"/>
      <c r="P234" s="139"/>
      <c r="Q234" s="147"/>
      <c r="R234" s="139"/>
      <c r="S234" s="139"/>
      <c r="T234" s="139"/>
      <c r="U234" s="139"/>
      <c r="V234" s="139"/>
      <c r="W234" s="139"/>
      <c r="X234" s="146"/>
      <c r="Y234" s="148"/>
      <c r="Z234" s="145"/>
      <c r="AA234" s="139"/>
      <c r="AB234" s="149"/>
      <c r="AC234" s="11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74"/>
      <c r="AR234" s="222"/>
    </row>
    <row r="235" spans="2:44" s="22" customFormat="1" ht="18" customHeight="1" x14ac:dyDescent="0.25">
      <c r="B235" s="145"/>
      <c r="C235" s="139"/>
      <c r="D235" s="146"/>
      <c r="E235" s="139"/>
      <c r="F235" s="139"/>
      <c r="G235" s="139"/>
      <c r="H235" s="139"/>
      <c r="I235" s="139"/>
      <c r="J235" s="139"/>
      <c r="K235" s="139"/>
      <c r="L235" s="243"/>
      <c r="M235" s="243"/>
      <c r="N235" s="139"/>
      <c r="O235" s="139"/>
      <c r="P235" s="139"/>
      <c r="Q235" s="147"/>
      <c r="R235" s="139"/>
      <c r="S235" s="139"/>
      <c r="T235" s="139"/>
      <c r="U235" s="139"/>
      <c r="V235" s="139"/>
      <c r="W235" s="139"/>
      <c r="X235" s="146"/>
      <c r="Y235" s="148"/>
      <c r="Z235" s="145"/>
      <c r="AA235" s="139"/>
      <c r="AB235" s="149"/>
      <c r="AC235" s="11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74"/>
      <c r="AR235" s="222"/>
    </row>
    <row r="236" spans="2:44" s="141" customFormat="1" ht="18" customHeight="1" x14ac:dyDescent="0.25">
      <c r="B236" s="145"/>
      <c r="C236" s="139"/>
      <c r="D236" s="146"/>
      <c r="E236" s="139"/>
      <c r="F236" s="139"/>
      <c r="G236" s="139"/>
      <c r="H236" s="139"/>
      <c r="I236" s="139"/>
      <c r="J236" s="139"/>
      <c r="K236" s="139"/>
      <c r="L236" s="243"/>
      <c r="M236" s="243"/>
      <c r="N236" s="139"/>
      <c r="O236" s="139"/>
      <c r="P236" s="139"/>
      <c r="Q236" s="147"/>
      <c r="R236" s="139"/>
      <c r="S236" s="139"/>
      <c r="T236" s="139"/>
      <c r="U236" s="139"/>
      <c r="V236" s="139"/>
      <c r="W236" s="139"/>
      <c r="X236" s="146"/>
      <c r="Y236" s="148"/>
      <c r="Z236" s="145"/>
      <c r="AA236" s="139"/>
      <c r="AB236" s="149"/>
      <c r="AC236" s="11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74"/>
      <c r="AR236" s="222"/>
    </row>
    <row r="237" spans="2:44" s="22" customFormat="1" ht="18" customHeight="1" x14ac:dyDescent="0.25">
      <c r="B237" s="145"/>
      <c r="C237" s="139"/>
      <c r="D237" s="146"/>
      <c r="E237" s="139"/>
      <c r="F237" s="139"/>
      <c r="G237" s="139"/>
      <c r="H237" s="139"/>
      <c r="I237" s="139"/>
      <c r="J237" s="139"/>
      <c r="K237" s="139"/>
      <c r="L237" s="243"/>
      <c r="M237" s="243"/>
      <c r="N237" s="139"/>
      <c r="O237" s="139"/>
      <c r="P237" s="139"/>
      <c r="Q237" s="147"/>
      <c r="R237" s="139"/>
      <c r="S237" s="139"/>
      <c r="T237" s="139"/>
      <c r="U237" s="139"/>
      <c r="V237" s="139"/>
      <c r="W237" s="139"/>
      <c r="X237" s="146"/>
      <c r="Y237" s="148"/>
      <c r="Z237" s="145"/>
      <c r="AA237" s="139"/>
      <c r="AB237" s="149"/>
      <c r="AC237" s="11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74"/>
      <c r="AR237" s="222"/>
    </row>
    <row r="238" spans="2:44" s="22" customFormat="1" ht="18" customHeight="1" x14ac:dyDescent="0.25">
      <c r="B238" s="145"/>
      <c r="C238" s="139"/>
      <c r="D238" s="146"/>
      <c r="E238" s="139"/>
      <c r="F238" s="139"/>
      <c r="G238" s="139"/>
      <c r="H238" s="139"/>
      <c r="I238" s="139"/>
      <c r="J238" s="139"/>
      <c r="K238" s="139"/>
      <c r="L238" s="243"/>
      <c r="M238" s="243"/>
      <c r="N238" s="139"/>
      <c r="O238" s="139"/>
      <c r="P238" s="139"/>
      <c r="Q238" s="147"/>
      <c r="R238" s="139"/>
      <c r="S238" s="139"/>
      <c r="T238" s="139"/>
      <c r="U238" s="139"/>
      <c r="V238" s="139"/>
      <c r="W238" s="139"/>
      <c r="X238" s="146"/>
      <c r="Y238" s="148"/>
      <c r="Z238" s="145"/>
      <c r="AA238" s="139"/>
      <c r="AB238" s="149"/>
      <c r="AC238" s="11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74"/>
      <c r="AR238" s="222"/>
    </row>
    <row r="239" spans="2:44" s="22" customFormat="1" ht="18" customHeight="1" x14ac:dyDescent="0.25">
      <c r="B239" s="145"/>
      <c r="C239" s="139"/>
      <c r="D239" s="146"/>
      <c r="E239" s="139"/>
      <c r="F239" s="139"/>
      <c r="G239" s="139"/>
      <c r="H239" s="139"/>
      <c r="I239" s="139"/>
      <c r="J239" s="139"/>
      <c r="K239" s="139"/>
      <c r="L239" s="243"/>
      <c r="M239" s="243"/>
      <c r="N239" s="139"/>
      <c r="O239" s="139"/>
      <c r="P239" s="139"/>
      <c r="Q239" s="147"/>
      <c r="R239" s="139"/>
      <c r="S239" s="139"/>
      <c r="T239" s="139"/>
      <c r="U239" s="139"/>
      <c r="V239" s="139"/>
      <c r="W239" s="139"/>
      <c r="X239" s="146"/>
      <c r="Y239" s="148"/>
      <c r="Z239" s="145"/>
      <c r="AA239" s="139"/>
      <c r="AB239" s="149"/>
      <c r="AC239" s="11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74"/>
      <c r="AR239" s="222"/>
    </row>
    <row r="240" spans="2:44" s="22" customFormat="1" ht="18" customHeight="1" x14ac:dyDescent="0.25">
      <c r="B240" s="145"/>
      <c r="C240" s="139"/>
      <c r="D240" s="146"/>
      <c r="E240" s="139"/>
      <c r="F240" s="139"/>
      <c r="G240" s="139"/>
      <c r="H240" s="139"/>
      <c r="I240" s="139"/>
      <c r="J240" s="139"/>
      <c r="K240" s="139"/>
      <c r="L240" s="243"/>
      <c r="M240" s="243"/>
      <c r="N240" s="139"/>
      <c r="O240" s="139"/>
      <c r="P240" s="139"/>
      <c r="Q240" s="147"/>
      <c r="R240" s="139"/>
      <c r="S240" s="139"/>
      <c r="T240" s="139"/>
      <c r="U240" s="139"/>
      <c r="V240" s="139"/>
      <c r="W240" s="139"/>
      <c r="X240" s="146"/>
      <c r="Y240" s="148"/>
      <c r="Z240" s="145"/>
      <c r="AA240" s="139"/>
      <c r="AB240" s="149"/>
      <c r="AC240" s="11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74"/>
      <c r="AR240" s="222"/>
    </row>
    <row r="241" spans="2:44" s="22" customFormat="1" ht="18" customHeight="1" x14ac:dyDescent="0.25">
      <c r="B241" s="145"/>
      <c r="C241" s="139"/>
      <c r="D241" s="146"/>
      <c r="E241" s="139"/>
      <c r="F241" s="139"/>
      <c r="G241" s="139"/>
      <c r="H241" s="139"/>
      <c r="I241" s="139"/>
      <c r="J241" s="139"/>
      <c r="K241" s="139"/>
      <c r="L241" s="243"/>
      <c r="M241" s="243"/>
      <c r="N241" s="139"/>
      <c r="O241" s="139"/>
      <c r="P241" s="139"/>
      <c r="Q241" s="147"/>
      <c r="R241" s="139"/>
      <c r="S241" s="139"/>
      <c r="T241" s="139"/>
      <c r="U241" s="139"/>
      <c r="V241" s="139"/>
      <c r="W241" s="139"/>
      <c r="X241" s="146"/>
      <c r="Y241" s="148"/>
      <c r="Z241" s="145"/>
      <c r="AA241" s="139"/>
      <c r="AB241" s="149"/>
      <c r="AC241" s="11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74"/>
      <c r="AR241" s="222"/>
    </row>
    <row r="242" spans="2:44" s="22" customFormat="1" ht="18" customHeight="1" x14ac:dyDescent="0.25">
      <c r="B242" s="145"/>
      <c r="C242" s="139"/>
      <c r="D242" s="146"/>
      <c r="E242" s="139"/>
      <c r="F242" s="139"/>
      <c r="G242" s="139"/>
      <c r="H242" s="139"/>
      <c r="I242" s="139"/>
      <c r="J242" s="139"/>
      <c r="K242" s="139"/>
      <c r="L242" s="243"/>
      <c r="M242" s="243"/>
      <c r="N242" s="139"/>
      <c r="O242" s="139"/>
      <c r="P242" s="139"/>
      <c r="Q242" s="147"/>
      <c r="R242" s="139"/>
      <c r="S242" s="139"/>
      <c r="T242" s="139"/>
      <c r="U242" s="139"/>
      <c r="V242" s="139"/>
      <c r="W242" s="139"/>
      <c r="X242" s="146"/>
      <c r="Y242" s="148"/>
      <c r="Z242" s="145"/>
      <c r="AA242" s="139"/>
      <c r="AB242" s="149"/>
      <c r="AC242" s="11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74"/>
      <c r="AR242" s="222"/>
    </row>
    <row r="243" spans="2:44" s="22" customFormat="1" ht="18" customHeight="1" x14ac:dyDescent="0.25">
      <c r="B243" s="145"/>
      <c r="C243" s="139"/>
      <c r="D243" s="146"/>
      <c r="E243" s="139"/>
      <c r="F243" s="139"/>
      <c r="G243" s="139"/>
      <c r="H243" s="139"/>
      <c r="I243" s="139"/>
      <c r="J243" s="139"/>
      <c r="K243" s="139"/>
      <c r="L243" s="243"/>
      <c r="M243" s="243"/>
      <c r="N243" s="139"/>
      <c r="O243" s="139"/>
      <c r="P243" s="139"/>
      <c r="Q243" s="147"/>
      <c r="R243" s="139"/>
      <c r="S243" s="139"/>
      <c r="T243" s="139"/>
      <c r="U243" s="139"/>
      <c r="V243" s="139"/>
      <c r="W243" s="139"/>
      <c r="X243" s="146"/>
      <c r="Y243" s="148"/>
      <c r="Z243" s="145"/>
      <c r="AA243" s="139"/>
      <c r="AB243" s="149"/>
      <c r="AC243" s="11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74"/>
      <c r="AR243" s="222"/>
    </row>
    <row r="244" spans="2:44" s="22" customFormat="1" ht="18" customHeight="1" x14ac:dyDescent="0.25">
      <c r="B244" s="145"/>
      <c r="C244" s="139"/>
      <c r="D244" s="146"/>
      <c r="E244" s="139"/>
      <c r="F244" s="139"/>
      <c r="G244" s="139"/>
      <c r="H244" s="139"/>
      <c r="I244" s="139"/>
      <c r="J244" s="139"/>
      <c r="K244" s="139"/>
      <c r="L244" s="243"/>
      <c r="M244" s="243"/>
      <c r="N244" s="139"/>
      <c r="O244" s="139"/>
      <c r="P244" s="139"/>
      <c r="Q244" s="147"/>
      <c r="R244" s="139"/>
      <c r="S244" s="139"/>
      <c r="T244" s="139"/>
      <c r="U244" s="139"/>
      <c r="V244" s="139"/>
      <c r="W244" s="139"/>
      <c r="X244" s="146"/>
      <c r="Y244" s="148"/>
      <c r="Z244" s="145"/>
      <c r="AA244" s="139"/>
      <c r="AB244" s="149"/>
      <c r="AC244" s="11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74"/>
      <c r="AR244" s="222"/>
    </row>
    <row r="245" spans="2:44" s="22" customFormat="1" ht="18" customHeight="1" x14ac:dyDescent="0.25">
      <c r="B245" s="145"/>
      <c r="C245" s="139"/>
      <c r="D245" s="146"/>
      <c r="E245" s="139"/>
      <c r="F245" s="139"/>
      <c r="G245" s="139"/>
      <c r="H245" s="139"/>
      <c r="I245" s="139"/>
      <c r="J245" s="139"/>
      <c r="K245" s="139"/>
      <c r="L245" s="243"/>
      <c r="M245" s="243"/>
      <c r="N245" s="139"/>
      <c r="O245" s="139"/>
      <c r="P245" s="139"/>
      <c r="Q245" s="147"/>
      <c r="R245" s="139"/>
      <c r="S245" s="139"/>
      <c r="T245" s="139"/>
      <c r="U245" s="139"/>
      <c r="V245" s="139"/>
      <c r="W245" s="139"/>
      <c r="X245" s="146"/>
      <c r="Y245" s="148"/>
      <c r="Z245" s="145"/>
      <c r="AA245" s="139"/>
      <c r="AB245" s="149"/>
      <c r="AC245" s="11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74"/>
      <c r="AR245" s="222"/>
    </row>
    <row r="246" spans="2:44" s="22" customFormat="1" ht="18" customHeight="1" x14ac:dyDescent="0.25">
      <c r="B246" s="145"/>
      <c r="C246" s="139"/>
      <c r="D246" s="146"/>
      <c r="E246" s="139"/>
      <c r="F246" s="139"/>
      <c r="G246" s="139"/>
      <c r="H246" s="139"/>
      <c r="I246" s="139"/>
      <c r="J246" s="139"/>
      <c r="K246" s="139"/>
      <c r="L246" s="243"/>
      <c r="M246" s="243"/>
      <c r="N246" s="139"/>
      <c r="O246" s="139"/>
      <c r="P246" s="139"/>
      <c r="Q246" s="147"/>
      <c r="R246" s="139"/>
      <c r="S246" s="139"/>
      <c r="T246" s="139"/>
      <c r="U246" s="139"/>
      <c r="V246" s="139"/>
      <c r="W246" s="139"/>
      <c r="X246" s="146"/>
      <c r="Y246" s="148"/>
      <c r="Z246" s="145"/>
      <c r="AA246" s="139"/>
      <c r="AB246" s="149"/>
      <c r="AC246" s="11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74"/>
      <c r="AR246" s="222"/>
    </row>
    <row r="247" spans="2:44" s="140" customFormat="1" ht="18" customHeight="1" x14ac:dyDescent="0.25">
      <c r="B247" s="145"/>
      <c r="C247" s="139"/>
      <c r="D247" s="146"/>
      <c r="E247" s="139"/>
      <c r="F247" s="139"/>
      <c r="G247" s="139"/>
      <c r="H247" s="139"/>
      <c r="I247" s="139"/>
      <c r="J247" s="139"/>
      <c r="K247" s="139"/>
      <c r="L247" s="243"/>
      <c r="M247" s="243"/>
      <c r="N247" s="139"/>
      <c r="O247" s="139"/>
      <c r="P247" s="139"/>
      <c r="Q247" s="147"/>
      <c r="R247" s="139"/>
      <c r="S247" s="139"/>
      <c r="T247" s="139"/>
      <c r="U247" s="139"/>
      <c r="V247" s="139"/>
      <c r="W247" s="139"/>
      <c r="X247" s="146"/>
      <c r="Y247" s="148"/>
      <c r="Z247" s="145"/>
      <c r="AA247" s="139"/>
      <c r="AB247" s="149"/>
      <c r="AC247" s="11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74"/>
      <c r="AR247" s="222"/>
    </row>
    <row r="248" spans="2:44" s="140" customFormat="1" ht="18" customHeight="1" x14ac:dyDescent="0.25">
      <c r="B248" s="145"/>
      <c r="C248" s="139"/>
      <c r="D248" s="146"/>
      <c r="E248" s="139"/>
      <c r="F248" s="139"/>
      <c r="G248" s="139"/>
      <c r="H248" s="139"/>
      <c r="I248" s="139"/>
      <c r="J248" s="139"/>
      <c r="K248" s="139"/>
      <c r="L248" s="243"/>
      <c r="M248" s="243"/>
      <c r="N248" s="139"/>
      <c r="O248" s="139"/>
      <c r="P248" s="139"/>
      <c r="Q248" s="147"/>
      <c r="R248" s="139"/>
      <c r="S248" s="139"/>
      <c r="T248" s="139"/>
      <c r="U248" s="139"/>
      <c r="V248" s="139"/>
      <c r="W248" s="139"/>
      <c r="X248" s="146"/>
      <c r="Y248" s="148"/>
      <c r="Z248" s="145"/>
      <c r="AA248" s="139"/>
      <c r="AB248" s="149"/>
      <c r="AC248" s="11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74"/>
      <c r="AR248" s="222"/>
    </row>
    <row r="249" spans="2:44" s="22" customFormat="1" ht="18" customHeight="1" x14ac:dyDescent="0.25">
      <c r="B249" s="145"/>
      <c r="C249" s="139"/>
      <c r="D249" s="146"/>
      <c r="E249" s="139"/>
      <c r="F249" s="139"/>
      <c r="G249" s="139"/>
      <c r="H249" s="139"/>
      <c r="I249" s="139"/>
      <c r="J249" s="139"/>
      <c r="K249" s="139"/>
      <c r="L249" s="243"/>
      <c r="M249" s="243"/>
      <c r="N249" s="139"/>
      <c r="O249" s="139"/>
      <c r="P249" s="139"/>
      <c r="Q249" s="147"/>
      <c r="R249" s="139"/>
      <c r="S249" s="139"/>
      <c r="T249" s="139"/>
      <c r="U249" s="139"/>
      <c r="V249" s="139"/>
      <c r="W249" s="139"/>
      <c r="X249" s="146"/>
      <c r="Y249" s="148"/>
      <c r="Z249" s="145"/>
      <c r="AA249" s="139"/>
      <c r="AB249" s="149"/>
      <c r="AC249" s="11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74"/>
      <c r="AR249" s="222"/>
    </row>
    <row r="250" spans="2:44" s="22" customFormat="1" ht="18" customHeight="1" x14ac:dyDescent="0.25">
      <c r="B250" s="145"/>
      <c r="C250" s="139"/>
      <c r="D250" s="146"/>
      <c r="E250" s="139"/>
      <c r="F250" s="139"/>
      <c r="G250" s="139"/>
      <c r="H250" s="139"/>
      <c r="I250" s="139"/>
      <c r="J250" s="139"/>
      <c r="K250" s="139"/>
      <c r="L250" s="243"/>
      <c r="M250" s="243"/>
      <c r="N250" s="139"/>
      <c r="O250" s="139"/>
      <c r="P250" s="139"/>
      <c r="Q250" s="147"/>
      <c r="R250" s="139"/>
      <c r="S250" s="139"/>
      <c r="T250" s="139"/>
      <c r="U250" s="139"/>
      <c r="V250" s="139"/>
      <c r="W250" s="139"/>
      <c r="X250" s="146"/>
      <c r="Y250" s="148"/>
      <c r="Z250" s="145"/>
      <c r="AA250" s="139"/>
      <c r="AB250" s="149"/>
      <c r="AC250" s="11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74"/>
      <c r="AR250" s="222"/>
    </row>
    <row r="251" spans="2:44" s="22" customFormat="1" ht="18" customHeight="1" x14ac:dyDescent="0.25">
      <c r="B251" s="145"/>
      <c r="C251" s="139"/>
      <c r="D251" s="146"/>
      <c r="E251" s="139"/>
      <c r="F251" s="139"/>
      <c r="G251" s="139"/>
      <c r="H251" s="139"/>
      <c r="I251" s="139"/>
      <c r="J251" s="139"/>
      <c r="K251" s="139"/>
      <c r="L251" s="243"/>
      <c r="M251" s="243"/>
      <c r="N251" s="139"/>
      <c r="O251" s="139"/>
      <c r="P251" s="139"/>
      <c r="Q251" s="147"/>
      <c r="R251" s="139"/>
      <c r="S251" s="139"/>
      <c r="T251" s="139"/>
      <c r="U251" s="139"/>
      <c r="V251" s="139"/>
      <c r="W251" s="139"/>
      <c r="X251" s="146"/>
      <c r="Y251" s="148"/>
      <c r="Z251" s="145"/>
      <c r="AA251" s="139"/>
      <c r="AB251" s="149"/>
      <c r="AC251" s="11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74"/>
      <c r="AR251" s="222"/>
    </row>
    <row r="252" spans="2:44" s="22" customFormat="1" ht="18" customHeight="1" x14ac:dyDescent="0.25">
      <c r="B252" s="145"/>
      <c r="C252" s="139"/>
      <c r="D252" s="146"/>
      <c r="E252" s="139"/>
      <c r="F252" s="139"/>
      <c r="G252" s="139"/>
      <c r="H252" s="139"/>
      <c r="I252" s="139"/>
      <c r="J252" s="139"/>
      <c r="K252" s="139"/>
      <c r="L252" s="243"/>
      <c r="M252" s="243"/>
      <c r="N252" s="139"/>
      <c r="O252" s="139"/>
      <c r="P252" s="139"/>
      <c r="Q252" s="147"/>
      <c r="R252" s="139"/>
      <c r="S252" s="139"/>
      <c r="T252" s="139"/>
      <c r="U252" s="139"/>
      <c r="V252" s="139"/>
      <c r="W252" s="139"/>
      <c r="X252" s="146"/>
      <c r="Y252" s="148"/>
      <c r="Z252" s="145"/>
      <c r="AA252" s="139"/>
      <c r="AB252" s="149"/>
      <c r="AC252" s="11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74"/>
      <c r="AR252" s="222"/>
    </row>
    <row r="253" spans="2:44" s="22" customFormat="1" ht="18" customHeight="1" x14ac:dyDescent="0.25">
      <c r="B253" s="145"/>
      <c r="C253" s="139"/>
      <c r="D253" s="146"/>
      <c r="E253" s="139"/>
      <c r="F253" s="139"/>
      <c r="G253" s="139"/>
      <c r="H253" s="139"/>
      <c r="I253" s="139"/>
      <c r="J253" s="139"/>
      <c r="K253" s="139"/>
      <c r="L253" s="243"/>
      <c r="M253" s="243"/>
      <c r="N253" s="139"/>
      <c r="O253" s="139"/>
      <c r="P253" s="139"/>
      <c r="Q253" s="147"/>
      <c r="R253" s="139"/>
      <c r="S253" s="139"/>
      <c r="T253" s="139"/>
      <c r="U253" s="139"/>
      <c r="V253" s="139"/>
      <c r="W253" s="139"/>
      <c r="X253" s="146"/>
      <c r="Y253" s="148"/>
      <c r="Z253" s="145"/>
      <c r="AA253" s="139"/>
      <c r="AB253" s="149"/>
      <c r="AC253" s="11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74"/>
      <c r="AR253" s="222"/>
    </row>
    <row r="254" spans="2:44" s="140" customFormat="1" ht="18" customHeight="1" x14ac:dyDescent="0.25">
      <c r="B254" s="145"/>
      <c r="C254" s="139"/>
      <c r="D254" s="146"/>
      <c r="E254" s="139"/>
      <c r="F254" s="139"/>
      <c r="G254" s="139"/>
      <c r="H254" s="139"/>
      <c r="I254" s="139"/>
      <c r="J254" s="139"/>
      <c r="K254" s="139"/>
      <c r="L254" s="243"/>
      <c r="M254" s="243"/>
      <c r="N254" s="139"/>
      <c r="O254" s="139"/>
      <c r="P254" s="139"/>
      <c r="Q254" s="147"/>
      <c r="R254" s="139"/>
      <c r="S254" s="139"/>
      <c r="T254" s="139"/>
      <c r="U254" s="139"/>
      <c r="V254" s="139"/>
      <c r="W254" s="139"/>
      <c r="X254" s="146"/>
      <c r="Y254" s="148"/>
      <c r="Z254" s="145"/>
      <c r="AA254" s="139"/>
      <c r="AB254" s="149"/>
      <c r="AC254" s="11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74"/>
      <c r="AR254" s="222"/>
    </row>
    <row r="255" spans="2:44" s="22" customFormat="1" ht="18" customHeight="1" x14ac:dyDescent="0.25">
      <c r="B255" s="145"/>
      <c r="C255" s="139"/>
      <c r="D255" s="146"/>
      <c r="E255" s="139"/>
      <c r="F255" s="139"/>
      <c r="G255" s="139"/>
      <c r="H255" s="139"/>
      <c r="I255" s="139"/>
      <c r="J255" s="139"/>
      <c r="K255" s="139"/>
      <c r="L255" s="243"/>
      <c r="M255" s="243"/>
      <c r="N255" s="139"/>
      <c r="O255" s="139"/>
      <c r="P255" s="139"/>
      <c r="Q255" s="147"/>
      <c r="R255" s="139"/>
      <c r="S255" s="139"/>
      <c r="T255" s="139"/>
      <c r="U255" s="139"/>
      <c r="V255" s="139"/>
      <c r="W255" s="139"/>
      <c r="X255" s="146"/>
      <c r="Y255" s="148"/>
      <c r="Z255" s="145"/>
      <c r="AA255" s="139"/>
      <c r="AB255" s="149"/>
      <c r="AC255" s="11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74"/>
      <c r="AR255" s="222"/>
    </row>
    <row r="256" spans="2:44" s="22" customFormat="1" ht="18" customHeight="1" x14ac:dyDescent="0.25">
      <c r="B256" s="145"/>
      <c r="C256" s="139"/>
      <c r="D256" s="146"/>
      <c r="E256" s="139"/>
      <c r="F256" s="139"/>
      <c r="G256" s="139"/>
      <c r="H256" s="139"/>
      <c r="I256" s="139"/>
      <c r="J256" s="139"/>
      <c r="K256" s="139"/>
      <c r="L256" s="243"/>
      <c r="M256" s="243"/>
      <c r="N256" s="139"/>
      <c r="O256" s="139"/>
      <c r="P256" s="139"/>
      <c r="Q256" s="147"/>
      <c r="R256" s="139"/>
      <c r="S256" s="139"/>
      <c r="T256" s="139"/>
      <c r="U256" s="139"/>
      <c r="V256" s="139"/>
      <c r="W256" s="139"/>
      <c r="X256" s="146"/>
      <c r="Y256" s="148"/>
      <c r="Z256" s="145"/>
      <c r="AA256" s="139"/>
      <c r="AB256" s="149"/>
      <c r="AC256" s="11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74"/>
      <c r="AR256" s="222"/>
    </row>
    <row r="257" spans="2:44" s="140" customFormat="1" ht="18" customHeight="1" x14ac:dyDescent="0.25">
      <c r="B257" s="145"/>
      <c r="C257" s="139"/>
      <c r="D257" s="146"/>
      <c r="E257" s="139"/>
      <c r="F257" s="139"/>
      <c r="G257" s="139"/>
      <c r="H257" s="139"/>
      <c r="I257" s="139"/>
      <c r="J257" s="139"/>
      <c r="K257" s="139"/>
      <c r="L257" s="243"/>
      <c r="M257" s="243"/>
      <c r="N257" s="139"/>
      <c r="O257" s="139"/>
      <c r="P257" s="139"/>
      <c r="Q257" s="147"/>
      <c r="R257" s="139"/>
      <c r="S257" s="139"/>
      <c r="T257" s="139"/>
      <c r="U257" s="139"/>
      <c r="V257" s="139"/>
      <c r="W257" s="139"/>
      <c r="X257" s="146"/>
      <c r="Y257" s="148"/>
      <c r="Z257" s="145"/>
      <c r="AA257" s="139"/>
      <c r="AB257" s="149"/>
      <c r="AC257" s="11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74"/>
      <c r="AR257" s="222"/>
    </row>
    <row r="258" spans="2:44" s="140" customFormat="1" ht="18" customHeight="1" x14ac:dyDescent="0.25">
      <c r="B258" s="145"/>
      <c r="C258" s="139"/>
      <c r="D258" s="146"/>
      <c r="E258" s="139"/>
      <c r="F258" s="139"/>
      <c r="G258" s="139"/>
      <c r="H258" s="139"/>
      <c r="I258" s="139"/>
      <c r="J258" s="139"/>
      <c r="K258" s="139"/>
      <c r="L258" s="243"/>
      <c r="M258" s="243"/>
      <c r="N258" s="139"/>
      <c r="O258" s="139"/>
      <c r="P258" s="139"/>
      <c r="Q258" s="147"/>
      <c r="R258" s="139"/>
      <c r="S258" s="139"/>
      <c r="T258" s="139"/>
      <c r="U258" s="139"/>
      <c r="V258" s="139"/>
      <c r="W258" s="139"/>
      <c r="X258" s="146"/>
      <c r="Y258" s="148"/>
      <c r="Z258" s="145"/>
      <c r="AA258" s="139"/>
      <c r="AB258" s="149"/>
      <c r="AC258" s="11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74"/>
      <c r="AR258" s="222"/>
    </row>
    <row r="259" spans="2:44" s="140" customFormat="1" ht="18" customHeight="1" x14ac:dyDescent="0.25">
      <c r="B259" s="145"/>
      <c r="C259" s="139"/>
      <c r="D259" s="146"/>
      <c r="E259" s="139"/>
      <c r="F259" s="139"/>
      <c r="G259" s="139"/>
      <c r="H259" s="139"/>
      <c r="I259" s="139"/>
      <c r="J259" s="139"/>
      <c r="K259" s="139"/>
      <c r="L259" s="243"/>
      <c r="M259" s="243"/>
      <c r="N259" s="139"/>
      <c r="O259" s="139"/>
      <c r="P259" s="139"/>
      <c r="Q259" s="147"/>
      <c r="R259" s="139"/>
      <c r="S259" s="139"/>
      <c r="T259" s="139"/>
      <c r="U259" s="139"/>
      <c r="V259" s="139"/>
      <c r="W259" s="139"/>
      <c r="X259" s="146"/>
      <c r="Y259" s="148"/>
      <c r="Z259" s="145"/>
      <c r="AA259" s="139"/>
      <c r="AB259" s="149"/>
      <c r="AC259" s="11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74"/>
      <c r="AR259" s="222"/>
    </row>
    <row r="260" spans="2:44" s="22" customFormat="1" ht="18" customHeight="1" x14ac:dyDescent="0.25">
      <c r="B260" s="145"/>
      <c r="C260" s="139"/>
      <c r="D260" s="146"/>
      <c r="E260" s="139"/>
      <c r="F260" s="139"/>
      <c r="G260" s="139"/>
      <c r="H260" s="139"/>
      <c r="I260" s="139"/>
      <c r="J260" s="139"/>
      <c r="K260" s="139"/>
      <c r="L260" s="243"/>
      <c r="M260" s="243"/>
      <c r="N260" s="139"/>
      <c r="O260" s="139"/>
      <c r="P260" s="139"/>
      <c r="Q260" s="147"/>
      <c r="R260" s="139"/>
      <c r="S260" s="139"/>
      <c r="T260" s="139"/>
      <c r="U260" s="139"/>
      <c r="V260" s="139"/>
      <c r="W260" s="139"/>
      <c r="X260" s="146"/>
      <c r="Y260" s="148"/>
      <c r="Z260" s="145"/>
      <c r="AA260" s="139"/>
      <c r="AB260" s="149"/>
      <c r="AC260" s="11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74"/>
      <c r="AR260" s="222"/>
    </row>
    <row r="261" spans="2:44" s="22" customFormat="1" ht="18" customHeight="1" x14ac:dyDescent="0.25">
      <c r="B261" s="145"/>
      <c r="C261" s="139"/>
      <c r="D261" s="146"/>
      <c r="E261" s="139"/>
      <c r="F261" s="139"/>
      <c r="G261" s="139"/>
      <c r="H261" s="139"/>
      <c r="I261" s="139"/>
      <c r="J261" s="139"/>
      <c r="K261" s="139"/>
      <c r="L261" s="243"/>
      <c r="M261" s="243"/>
      <c r="N261" s="139"/>
      <c r="O261" s="139"/>
      <c r="P261" s="139"/>
      <c r="Q261" s="147"/>
      <c r="R261" s="139"/>
      <c r="S261" s="139"/>
      <c r="T261" s="139"/>
      <c r="U261" s="139"/>
      <c r="V261" s="139"/>
      <c r="W261" s="139"/>
      <c r="X261" s="146"/>
      <c r="Y261" s="148"/>
      <c r="Z261" s="145"/>
      <c r="AA261" s="139"/>
      <c r="AB261" s="149"/>
      <c r="AC261" s="11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74"/>
      <c r="AR261" s="222"/>
    </row>
    <row r="262" spans="2:44" s="22" customFormat="1" ht="18" customHeight="1" x14ac:dyDescent="0.25">
      <c r="B262" s="145"/>
      <c r="C262" s="139"/>
      <c r="D262" s="146"/>
      <c r="E262" s="139"/>
      <c r="F262" s="139"/>
      <c r="G262" s="139"/>
      <c r="H262" s="139"/>
      <c r="I262" s="139"/>
      <c r="J262" s="139"/>
      <c r="K262" s="139"/>
      <c r="L262" s="243"/>
      <c r="M262" s="243"/>
      <c r="N262" s="139"/>
      <c r="O262" s="139"/>
      <c r="P262" s="139"/>
      <c r="Q262" s="147"/>
      <c r="R262" s="139"/>
      <c r="S262" s="139"/>
      <c r="T262" s="139"/>
      <c r="U262" s="139"/>
      <c r="V262" s="139"/>
      <c r="W262" s="139"/>
      <c r="X262" s="146"/>
      <c r="Y262" s="148"/>
      <c r="Z262" s="145"/>
      <c r="AA262" s="139"/>
      <c r="AB262" s="149"/>
      <c r="AC262" s="11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74"/>
      <c r="AR262" s="222"/>
    </row>
    <row r="263" spans="2:44" s="22" customFormat="1" ht="18" customHeight="1" x14ac:dyDescent="0.25">
      <c r="B263" s="145"/>
      <c r="C263" s="139"/>
      <c r="D263" s="146"/>
      <c r="E263" s="139"/>
      <c r="F263" s="139"/>
      <c r="G263" s="139"/>
      <c r="H263" s="139"/>
      <c r="I263" s="139"/>
      <c r="J263" s="139"/>
      <c r="K263" s="139"/>
      <c r="L263" s="243"/>
      <c r="M263" s="243"/>
      <c r="N263" s="139"/>
      <c r="O263" s="139"/>
      <c r="P263" s="139"/>
      <c r="Q263" s="147"/>
      <c r="R263" s="139"/>
      <c r="S263" s="139"/>
      <c r="T263" s="139"/>
      <c r="U263" s="139"/>
      <c r="V263" s="139"/>
      <c r="W263" s="139"/>
      <c r="X263" s="146"/>
      <c r="Y263" s="148"/>
      <c r="Z263" s="145"/>
      <c r="AA263" s="139"/>
      <c r="AB263" s="149"/>
      <c r="AC263" s="11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74"/>
      <c r="AR263" s="222"/>
    </row>
    <row r="264" spans="2:44" s="22" customFormat="1" ht="18" customHeight="1" x14ac:dyDescent="0.25">
      <c r="B264" s="145"/>
      <c r="C264" s="139"/>
      <c r="D264" s="146"/>
      <c r="E264" s="139"/>
      <c r="F264" s="139"/>
      <c r="G264" s="139"/>
      <c r="H264" s="139"/>
      <c r="I264" s="139"/>
      <c r="J264" s="139"/>
      <c r="K264" s="139"/>
      <c r="L264" s="243"/>
      <c r="M264" s="243"/>
      <c r="N264" s="139"/>
      <c r="O264" s="139"/>
      <c r="P264" s="139"/>
      <c r="Q264" s="147"/>
      <c r="R264" s="139"/>
      <c r="S264" s="139"/>
      <c r="T264" s="139"/>
      <c r="U264" s="139"/>
      <c r="V264" s="139"/>
      <c r="W264" s="139"/>
      <c r="X264" s="146"/>
      <c r="Y264" s="148"/>
      <c r="Z264" s="145"/>
      <c r="AA264" s="139"/>
      <c r="AB264" s="149"/>
      <c r="AC264" s="11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74"/>
      <c r="AR264" s="222"/>
    </row>
    <row r="265" spans="2:44" s="22" customFormat="1" ht="18" customHeight="1" x14ac:dyDescent="0.25">
      <c r="B265" s="145"/>
      <c r="C265" s="139"/>
      <c r="D265" s="146"/>
      <c r="E265" s="139"/>
      <c r="F265" s="139"/>
      <c r="G265" s="139"/>
      <c r="H265" s="139"/>
      <c r="I265" s="139"/>
      <c r="J265" s="139"/>
      <c r="K265" s="139"/>
      <c r="L265" s="243"/>
      <c r="M265" s="243"/>
      <c r="N265" s="139"/>
      <c r="O265" s="139"/>
      <c r="P265" s="139"/>
      <c r="Q265" s="147"/>
      <c r="R265" s="139"/>
      <c r="S265" s="139"/>
      <c r="T265" s="139"/>
      <c r="U265" s="139"/>
      <c r="V265" s="139"/>
      <c r="W265" s="139"/>
      <c r="X265" s="146"/>
      <c r="Y265" s="148"/>
      <c r="Z265" s="145"/>
      <c r="AA265" s="139"/>
      <c r="AB265" s="149"/>
      <c r="AC265" s="11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74"/>
      <c r="AR265" s="222"/>
    </row>
    <row r="266" spans="2:44" s="141" customFormat="1" ht="18" customHeight="1" x14ac:dyDescent="0.25">
      <c r="B266" s="145"/>
      <c r="C266" s="139"/>
      <c r="D266" s="146"/>
      <c r="E266" s="139"/>
      <c r="F266" s="139"/>
      <c r="G266" s="139"/>
      <c r="H266" s="139"/>
      <c r="I266" s="139"/>
      <c r="J266" s="139"/>
      <c r="K266" s="139"/>
      <c r="L266" s="243"/>
      <c r="M266" s="243"/>
      <c r="N266" s="139"/>
      <c r="O266" s="139"/>
      <c r="P266" s="139"/>
      <c r="Q266" s="147"/>
      <c r="R266" s="139"/>
      <c r="S266" s="139"/>
      <c r="T266" s="139"/>
      <c r="U266" s="139"/>
      <c r="V266" s="139"/>
      <c r="W266" s="139"/>
      <c r="X266" s="146"/>
      <c r="Y266" s="148"/>
      <c r="Z266" s="145"/>
      <c r="AA266" s="139"/>
      <c r="AB266" s="149"/>
      <c r="AC266" s="11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74"/>
      <c r="AR266" s="222"/>
    </row>
    <row r="267" spans="2:44" s="141" customFormat="1" ht="18" customHeight="1" x14ac:dyDescent="0.25">
      <c r="B267" s="145"/>
      <c r="C267" s="139"/>
      <c r="D267" s="146"/>
      <c r="E267" s="139"/>
      <c r="F267" s="139"/>
      <c r="G267" s="139"/>
      <c r="H267" s="139"/>
      <c r="I267" s="139"/>
      <c r="J267" s="139"/>
      <c r="K267" s="139"/>
      <c r="L267" s="243"/>
      <c r="M267" s="243"/>
      <c r="N267" s="139"/>
      <c r="O267" s="139"/>
      <c r="P267" s="139"/>
      <c r="Q267" s="147"/>
      <c r="R267" s="139"/>
      <c r="S267" s="139"/>
      <c r="T267" s="139"/>
      <c r="U267" s="139"/>
      <c r="V267" s="139"/>
      <c r="W267" s="139"/>
      <c r="X267" s="146"/>
      <c r="Y267" s="148"/>
      <c r="Z267" s="145"/>
      <c r="AA267" s="139"/>
      <c r="AB267" s="149"/>
      <c r="AC267" s="11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74"/>
      <c r="AR267" s="222"/>
    </row>
    <row r="268" spans="2:44" s="141" customFormat="1" ht="18" customHeight="1" x14ac:dyDescent="0.25">
      <c r="B268" s="145"/>
      <c r="C268" s="139"/>
      <c r="D268" s="146"/>
      <c r="E268" s="139"/>
      <c r="F268" s="139"/>
      <c r="G268" s="139"/>
      <c r="H268" s="139"/>
      <c r="I268" s="139"/>
      <c r="J268" s="139"/>
      <c r="K268" s="139"/>
      <c r="L268" s="243"/>
      <c r="M268" s="243"/>
      <c r="N268" s="139"/>
      <c r="O268" s="139"/>
      <c r="P268" s="139"/>
      <c r="Q268" s="147"/>
      <c r="R268" s="139"/>
      <c r="S268" s="139"/>
      <c r="T268" s="139"/>
      <c r="U268" s="139"/>
      <c r="V268" s="139"/>
      <c r="W268" s="139"/>
      <c r="X268" s="146"/>
      <c r="Y268" s="148"/>
      <c r="Z268" s="145"/>
      <c r="AA268" s="139"/>
      <c r="AB268" s="149"/>
      <c r="AC268" s="11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74"/>
      <c r="AR268" s="222"/>
    </row>
    <row r="269" spans="2:44" s="141" customFormat="1" ht="18" customHeight="1" x14ac:dyDescent="0.25">
      <c r="B269" s="145"/>
      <c r="C269" s="139"/>
      <c r="D269" s="146"/>
      <c r="E269" s="139"/>
      <c r="F269" s="139"/>
      <c r="G269" s="139"/>
      <c r="H269" s="139"/>
      <c r="I269" s="139"/>
      <c r="J269" s="139"/>
      <c r="K269" s="139"/>
      <c r="L269" s="243"/>
      <c r="M269" s="243"/>
      <c r="N269" s="139"/>
      <c r="O269" s="139"/>
      <c r="P269" s="139"/>
      <c r="Q269" s="147"/>
      <c r="R269" s="139"/>
      <c r="S269" s="139"/>
      <c r="T269" s="139"/>
      <c r="U269" s="139"/>
      <c r="V269" s="139"/>
      <c r="W269" s="139"/>
      <c r="X269" s="146"/>
      <c r="Y269" s="148"/>
      <c r="Z269" s="145"/>
      <c r="AA269" s="139"/>
      <c r="AB269" s="149"/>
      <c r="AC269" s="11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74"/>
      <c r="AR269" s="222"/>
    </row>
    <row r="270" spans="2:44" s="141" customFormat="1" ht="18" customHeight="1" x14ac:dyDescent="0.25">
      <c r="B270" s="145"/>
      <c r="C270" s="139"/>
      <c r="D270" s="146"/>
      <c r="E270" s="139"/>
      <c r="F270" s="139"/>
      <c r="G270" s="139"/>
      <c r="H270" s="139"/>
      <c r="I270" s="139"/>
      <c r="J270" s="139"/>
      <c r="K270" s="139"/>
      <c r="L270" s="243"/>
      <c r="M270" s="243"/>
      <c r="N270" s="139"/>
      <c r="O270" s="139"/>
      <c r="P270" s="139"/>
      <c r="Q270" s="147"/>
      <c r="R270" s="139"/>
      <c r="S270" s="139"/>
      <c r="T270" s="139"/>
      <c r="U270" s="139"/>
      <c r="V270" s="139"/>
      <c r="W270" s="139"/>
      <c r="X270" s="146"/>
      <c r="Y270" s="148"/>
      <c r="Z270" s="145"/>
      <c r="AA270" s="139"/>
      <c r="AB270" s="149"/>
      <c r="AC270" s="11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74"/>
      <c r="AR270" s="222"/>
    </row>
    <row r="271" spans="2:44" s="140" customFormat="1" ht="18" customHeight="1" x14ac:dyDescent="0.25">
      <c r="B271" s="145"/>
      <c r="C271" s="139"/>
      <c r="D271" s="146"/>
      <c r="E271" s="139"/>
      <c r="F271" s="139"/>
      <c r="G271" s="139"/>
      <c r="H271" s="139"/>
      <c r="I271" s="139"/>
      <c r="J271" s="139"/>
      <c r="K271" s="139"/>
      <c r="L271" s="243"/>
      <c r="M271" s="243"/>
      <c r="N271" s="139"/>
      <c r="O271" s="139"/>
      <c r="P271" s="139"/>
      <c r="Q271" s="147"/>
      <c r="R271" s="139"/>
      <c r="S271" s="139"/>
      <c r="T271" s="139"/>
      <c r="U271" s="139"/>
      <c r="V271" s="139"/>
      <c r="W271" s="139"/>
      <c r="X271" s="146"/>
      <c r="Y271" s="148"/>
      <c r="Z271" s="145"/>
      <c r="AA271" s="139"/>
      <c r="AB271" s="149"/>
      <c r="AC271" s="11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74"/>
      <c r="AR271" s="222"/>
    </row>
    <row r="272" spans="2:44" s="140" customFormat="1" ht="18" customHeight="1" x14ac:dyDescent="0.25">
      <c r="B272" s="145"/>
      <c r="C272" s="139"/>
      <c r="D272" s="146"/>
      <c r="E272" s="139"/>
      <c r="F272" s="139"/>
      <c r="G272" s="139"/>
      <c r="H272" s="139"/>
      <c r="I272" s="139"/>
      <c r="J272" s="139"/>
      <c r="K272" s="139"/>
      <c r="L272" s="243"/>
      <c r="M272" s="243"/>
      <c r="N272" s="139"/>
      <c r="O272" s="139"/>
      <c r="P272" s="139"/>
      <c r="Q272" s="147"/>
      <c r="R272" s="139"/>
      <c r="S272" s="139"/>
      <c r="T272" s="139"/>
      <c r="U272" s="139"/>
      <c r="V272" s="139"/>
      <c r="W272" s="139"/>
      <c r="X272" s="146"/>
      <c r="Y272" s="148"/>
      <c r="Z272" s="145"/>
      <c r="AA272" s="139"/>
      <c r="AB272" s="149"/>
      <c r="AC272" s="11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74"/>
      <c r="AR272" s="222"/>
    </row>
    <row r="273" spans="2:44" s="140" customFormat="1" ht="18" customHeight="1" x14ac:dyDescent="0.25">
      <c r="B273" s="145"/>
      <c r="C273" s="139"/>
      <c r="D273" s="146"/>
      <c r="E273" s="139"/>
      <c r="F273" s="139"/>
      <c r="G273" s="139"/>
      <c r="H273" s="139"/>
      <c r="I273" s="139"/>
      <c r="J273" s="139"/>
      <c r="K273" s="139"/>
      <c r="L273" s="243"/>
      <c r="M273" s="243"/>
      <c r="N273" s="139"/>
      <c r="O273" s="139"/>
      <c r="P273" s="139"/>
      <c r="Q273" s="147"/>
      <c r="R273" s="139"/>
      <c r="S273" s="139"/>
      <c r="T273" s="139"/>
      <c r="U273" s="139"/>
      <c r="V273" s="139"/>
      <c r="W273" s="139"/>
      <c r="X273" s="146"/>
      <c r="Y273" s="148"/>
      <c r="Z273" s="145"/>
      <c r="AA273" s="139"/>
      <c r="AB273" s="149"/>
      <c r="AC273" s="11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74"/>
      <c r="AR273" s="222"/>
    </row>
    <row r="274" spans="2:44" s="140" customFormat="1" ht="18" customHeight="1" x14ac:dyDescent="0.25">
      <c r="B274" s="145"/>
      <c r="C274" s="139"/>
      <c r="D274" s="146"/>
      <c r="E274" s="139"/>
      <c r="F274" s="139"/>
      <c r="G274" s="139"/>
      <c r="H274" s="139"/>
      <c r="I274" s="139"/>
      <c r="J274" s="139"/>
      <c r="K274" s="139"/>
      <c r="L274" s="243"/>
      <c r="M274" s="243"/>
      <c r="N274" s="139"/>
      <c r="O274" s="139"/>
      <c r="P274" s="139"/>
      <c r="Q274" s="147"/>
      <c r="R274" s="139"/>
      <c r="S274" s="139"/>
      <c r="T274" s="139"/>
      <c r="U274" s="139"/>
      <c r="V274" s="139"/>
      <c r="W274" s="139"/>
      <c r="X274" s="146"/>
      <c r="Y274" s="148"/>
      <c r="Z274" s="145"/>
      <c r="AA274" s="139"/>
      <c r="AB274" s="149"/>
      <c r="AC274" s="11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74"/>
      <c r="AR274" s="222"/>
    </row>
    <row r="275" spans="2:44" s="140" customFormat="1" ht="18" customHeight="1" x14ac:dyDescent="0.25">
      <c r="B275" s="145"/>
      <c r="C275" s="139"/>
      <c r="D275" s="146"/>
      <c r="E275" s="139"/>
      <c r="F275" s="139"/>
      <c r="G275" s="139"/>
      <c r="H275" s="139"/>
      <c r="I275" s="139"/>
      <c r="J275" s="139"/>
      <c r="K275" s="139"/>
      <c r="L275" s="243"/>
      <c r="M275" s="243"/>
      <c r="N275" s="139"/>
      <c r="O275" s="139"/>
      <c r="P275" s="139"/>
      <c r="Q275" s="147"/>
      <c r="R275" s="139"/>
      <c r="S275" s="139"/>
      <c r="T275" s="139"/>
      <c r="U275" s="139"/>
      <c r="V275" s="139"/>
      <c r="W275" s="139"/>
      <c r="X275" s="146"/>
      <c r="Y275" s="148"/>
      <c r="Z275" s="145"/>
      <c r="AA275" s="139"/>
      <c r="AB275" s="149"/>
      <c r="AC275" s="11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74"/>
      <c r="AR275" s="222"/>
    </row>
    <row r="276" spans="2:44" s="140" customFormat="1" ht="18" customHeight="1" x14ac:dyDescent="0.25">
      <c r="B276" s="145"/>
      <c r="C276" s="139"/>
      <c r="D276" s="146"/>
      <c r="E276" s="139"/>
      <c r="F276" s="139"/>
      <c r="G276" s="139"/>
      <c r="H276" s="139"/>
      <c r="I276" s="139"/>
      <c r="J276" s="139"/>
      <c r="K276" s="139"/>
      <c r="L276" s="243"/>
      <c r="M276" s="243"/>
      <c r="N276" s="139"/>
      <c r="O276" s="139"/>
      <c r="P276" s="139"/>
      <c r="Q276" s="147"/>
      <c r="R276" s="139"/>
      <c r="S276" s="139"/>
      <c r="T276" s="139"/>
      <c r="U276" s="139"/>
      <c r="V276" s="139"/>
      <c r="W276" s="139"/>
      <c r="X276" s="146"/>
      <c r="Y276" s="148"/>
      <c r="Z276" s="145"/>
      <c r="AA276" s="139"/>
      <c r="AB276" s="149"/>
      <c r="AC276" s="11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74"/>
      <c r="AR276" s="222"/>
    </row>
    <row r="277" spans="2:44" s="140" customFormat="1" ht="18" customHeight="1" x14ac:dyDescent="0.25">
      <c r="B277" s="145"/>
      <c r="C277" s="139"/>
      <c r="D277" s="146"/>
      <c r="E277" s="139"/>
      <c r="F277" s="139"/>
      <c r="G277" s="139"/>
      <c r="H277" s="139"/>
      <c r="I277" s="139"/>
      <c r="J277" s="139"/>
      <c r="K277" s="139"/>
      <c r="L277" s="243"/>
      <c r="M277" s="243"/>
      <c r="N277" s="139"/>
      <c r="O277" s="139"/>
      <c r="P277" s="139"/>
      <c r="Q277" s="147"/>
      <c r="R277" s="139"/>
      <c r="S277" s="139"/>
      <c r="T277" s="139"/>
      <c r="U277" s="139"/>
      <c r="V277" s="139"/>
      <c r="W277" s="139"/>
      <c r="X277" s="146"/>
      <c r="Y277" s="148"/>
      <c r="Z277" s="145"/>
      <c r="AA277" s="139"/>
      <c r="AB277" s="149"/>
      <c r="AC277" s="11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74"/>
      <c r="AR277" s="222"/>
    </row>
    <row r="278" spans="2:44" s="22" customFormat="1" ht="18" customHeight="1" x14ac:dyDescent="0.25">
      <c r="B278" s="145"/>
      <c r="C278" s="139"/>
      <c r="D278" s="146"/>
      <c r="E278" s="139"/>
      <c r="F278" s="139"/>
      <c r="G278" s="139"/>
      <c r="H278" s="139"/>
      <c r="I278" s="139"/>
      <c r="J278" s="139"/>
      <c r="K278" s="139"/>
      <c r="L278" s="243"/>
      <c r="M278" s="243"/>
      <c r="N278" s="139"/>
      <c r="O278" s="139"/>
      <c r="P278" s="139"/>
      <c r="Q278" s="147"/>
      <c r="R278" s="139"/>
      <c r="S278" s="139"/>
      <c r="T278" s="139"/>
      <c r="U278" s="139"/>
      <c r="V278" s="139"/>
      <c r="W278" s="139"/>
      <c r="X278" s="146"/>
      <c r="Y278" s="148"/>
      <c r="Z278" s="145"/>
      <c r="AA278" s="139"/>
      <c r="AB278" s="149"/>
      <c r="AC278" s="11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74"/>
      <c r="AR278" s="222"/>
    </row>
    <row r="279" spans="2:44" s="140" customFormat="1" ht="18" customHeight="1" x14ac:dyDescent="0.25">
      <c r="B279" s="145"/>
      <c r="C279" s="139"/>
      <c r="D279" s="146"/>
      <c r="E279" s="139"/>
      <c r="F279" s="139"/>
      <c r="G279" s="139"/>
      <c r="H279" s="139"/>
      <c r="I279" s="139"/>
      <c r="J279" s="139"/>
      <c r="K279" s="139"/>
      <c r="L279" s="243"/>
      <c r="M279" s="243"/>
      <c r="N279" s="139"/>
      <c r="O279" s="139"/>
      <c r="P279" s="139"/>
      <c r="Q279" s="147"/>
      <c r="R279" s="139"/>
      <c r="S279" s="139"/>
      <c r="T279" s="139"/>
      <c r="U279" s="139"/>
      <c r="V279" s="139"/>
      <c r="W279" s="139"/>
      <c r="X279" s="146"/>
      <c r="Y279" s="148"/>
      <c r="Z279" s="145"/>
      <c r="AA279" s="139"/>
      <c r="AB279" s="149"/>
      <c r="AC279" s="11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74"/>
      <c r="AR279" s="222"/>
    </row>
    <row r="280" spans="2:44" s="140" customFormat="1" ht="18" customHeight="1" x14ac:dyDescent="0.25">
      <c r="B280" s="145"/>
      <c r="C280" s="139"/>
      <c r="D280" s="146"/>
      <c r="E280" s="139"/>
      <c r="F280" s="139"/>
      <c r="G280" s="139"/>
      <c r="H280" s="139"/>
      <c r="I280" s="139"/>
      <c r="J280" s="139"/>
      <c r="K280" s="139"/>
      <c r="L280" s="243"/>
      <c r="M280" s="243"/>
      <c r="N280" s="139"/>
      <c r="O280" s="139"/>
      <c r="P280" s="139"/>
      <c r="Q280" s="147"/>
      <c r="R280" s="139"/>
      <c r="S280" s="139"/>
      <c r="T280" s="139"/>
      <c r="U280" s="139"/>
      <c r="V280" s="139"/>
      <c r="W280" s="139"/>
      <c r="X280" s="146"/>
      <c r="Y280" s="148"/>
      <c r="Z280" s="145"/>
      <c r="AA280" s="139"/>
      <c r="AB280" s="149"/>
      <c r="AC280" s="11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74"/>
      <c r="AR280" s="222"/>
    </row>
    <row r="281" spans="2:44" s="22" customFormat="1" ht="18" customHeight="1" x14ac:dyDescent="0.25">
      <c r="B281" s="145"/>
      <c r="C281" s="139"/>
      <c r="D281" s="146"/>
      <c r="E281" s="139"/>
      <c r="F281" s="139"/>
      <c r="G281" s="139"/>
      <c r="H281" s="139"/>
      <c r="I281" s="139"/>
      <c r="J281" s="139"/>
      <c r="K281" s="139"/>
      <c r="L281" s="243"/>
      <c r="M281" s="243"/>
      <c r="N281" s="139"/>
      <c r="O281" s="139"/>
      <c r="P281" s="139"/>
      <c r="Q281" s="147"/>
      <c r="R281" s="139"/>
      <c r="S281" s="139"/>
      <c r="T281" s="139"/>
      <c r="U281" s="139"/>
      <c r="V281" s="139"/>
      <c r="W281" s="139"/>
      <c r="X281" s="146"/>
      <c r="Y281" s="148"/>
      <c r="Z281" s="145"/>
      <c r="AA281" s="139"/>
      <c r="AB281" s="149"/>
      <c r="AC281" s="11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74"/>
      <c r="AR281" s="222"/>
    </row>
    <row r="282" spans="2:44" s="22" customFormat="1" ht="18" customHeight="1" x14ac:dyDescent="0.25">
      <c r="B282" s="145"/>
      <c r="C282" s="139"/>
      <c r="D282" s="146"/>
      <c r="E282" s="139"/>
      <c r="F282" s="139"/>
      <c r="G282" s="139"/>
      <c r="H282" s="139"/>
      <c r="I282" s="139"/>
      <c r="J282" s="139"/>
      <c r="K282" s="139"/>
      <c r="L282" s="243"/>
      <c r="M282" s="243"/>
      <c r="N282" s="139"/>
      <c r="O282" s="139"/>
      <c r="P282" s="139"/>
      <c r="Q282" s="147"/>
      <c r="R282" s="139"/>
      <c r="S282" s="139"/>
      <c r="T282" s="139"/>
      <c r="U282" s="139"/>
      <c r="V282" s="139"/>
      <c r="W282" s="139"/>
      <c r="X282" s="146"/>
      <c r="Y282" s="148"/>
      <c r="Z282" s="145"/>
      <c r="AA282" s="139"/>
      <c r="AB282" s="149"/>
      <c r="AC282" s="11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74"/>
      <c r="AR282" s="222"/>
    </row>
    <row r="283" spans="2:44" s="22" customFormat="1" ht="18" customHeight="1" x14ac:dyDescent="0.25">
      <c r="B283" s="145"/>
      <c r="C283" s="139"/>
      <c r="D283" s="146"/>
      <c r="E283" s="139"/>
      <c r="F283" s="139"/>
      <c r="G283" s="139"/>
      <c r="H283" s="139"/>
      <c r="I283" s="139"/>
      <c r="J283" s="139"/>
      <c r="K283" s="139"/>
      <c r="L283" s="243"/>
      <c r="M283" s="243"/>
      <c r="N283" s="139"/>
      <c r="O283" s="139"/>
      <c r="P283" s="139"/>
      <c r="Q283" s="147"/>
      <c r="R283" s="139"/>
      <c r="S283" s="139"/>
      <c r="T283" s="139"/>
      <c r="U283" s="139"/>
      <c r="V283" s="139"/>
      <c r="W283" s="139"/>
      <c r="X283" s="146"/>
      <c r="Y283" s="148"/>
      <c r="Z283" s="145"/>
      <c r="AA283" s="139"/>
      <c r="AB283" s="149"/>
      <c r="AC283" s="11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74"/>
      <c r="AR283" s="222"/>
    </row>
    <row r="284" spans="2:44" s="22" customFormat="1" ht="18" customHeight="1" x14ac:dyDescent="0.25">
      <c r="B284" s="145"/>
      <c r="C284" s="139"/>
      <c r="D284" s="146"/>
      <c r="E284" s="139"/>
      <c r="F284" s="139"/>
      <c r="G284" s="139"/>
      <c r="H284" s="139"/>
      <c r="I284" s="139"/>
      <c r="J284" s="139"/>
      <c r="K284" s="139"/>
      <c r="L284" s="243"/>
      <c r="M284" s="243"/>
      <c r="N284" s="139"/>
      <c r="O284" s="139"/>
      <c r="P284" s="139"/>
      <c r="Q284" s="147"/>
      <c r="R284" s="139"/>
      <c r="S284" s="139"/>
      <c r="T284" s="139"/>
      <c r="U284" s="139"/>
      <c r="V284" s="139"/>
      <c r="W284" s="139"/>
      <c r="X284" s="146"/>
      <c r="Y284" s="148"/>
      <c r="Z284" s="145"/>
      <c r="AA284" s="139"/>
      <c r="AB284" s="149"/>
      <c r="AC284" s="11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74"/>
      <c r="AR284" s="222"/>
    </row>
    <row r="285" spans="2:44" s="22" customFormat="1" ht="18" customHeight="1" x14ac:dyDescent="0.25">
      <c r="B285" s="145"/>
      <c r="C285" s="139"/>
      <c r="D285" s="146"/>
      <c r="E285" s="139"/>
      <c r="F285" s="139"/>
      <c r="G285" s="139"/>
      <c r="H285" s="139"/>
      <c r="I285" s="139"/>
      <c r="J285" s="139"/>
      <c r="K285" s="139"/>
      <c r="L285" s="243"/>
      <c r="M285" s="243"/>
      <c r="N285" s="139"/>
      <c r="O285" s="139"/>
      <c r="P285" s="139"/>
      <c r="Q285" s="147"/>
      <c r="R285" s="139"/>
      <c r="S285" s="139"/>
      <c r="T285" s="139"/>
      <c r="U285" s="139"/>
      <c r="V285" s="139"/>
      <c r="W285" s="139"/>
      <c r="X285" s="146"/>
      <c r="Y285" s="148"/>
      <c r="Z285" s="145"/>
      <c r="AA285" s="139"/>
      <c r="AB285" s="149"/>
      <c r="AC285" s="11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74"/>
      <c r="AR285" s="222"/>
    </row>
    <row r="286" spans="2:44" s="22" customFormat="1" ht="18" customHeight="1" x14ac:dyDescent="0.25">
      <c r="B286" s="145"/>
      <c r="C286" s="139"/>
      <c r="D286" s="146"/>
      <c r="E286" s="139"/>
      <c r="F286" s="139"/>
      <c r="G286" s="139"/>
      <c r="H286" s="139"/>
      <c r="I286" s="139"/>
      <c r="J286" s="139"/>
      <c r="K286" s="139"/>
      <c r="L286" s="243"/>
      <c r="M286" s="243"/>
      <c r="N286" s="139"/>
      <c r="O286" s="139"/>
      <c r="P286" s="139"/>
      <c r="Q286" s="147"/>
      <c r="R286" s="139"/>
      <c r="S286" s="139"/>
      <c r="T286" s="139"/>
      <c r="U286" s="139"/>
      <c r="V286" s="139"/>
      <c r="W286" s="139"/>
      <c r="X286" s="146"/>
      <c r="Y286" s="148"/>
      <c r="Z286" s="145"/>
      <c r="AA286" s="139"/>
      <c r="AB286" s="149"/>
      <c r="AC286" s="11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74"/>
      <c r="AR286" s="222"/>
    </row>
    <row r="287" spans="2:44" s="22" customFormat="1" ht="18" customHeight="1" x14ac:dyDescent="0.25">
      <c r="B287" s="145"/>
      <c r="C287" s="139"/>
      <c r="D287" s="146"/>
      <c r="E287" s="139"/>
      <c r="F287" s="139"/>
      <c r="G287" s="139"/>
      <c r="H287" s="139"/>
      <c r="I287" s="139"/>
      <c r="J287" s="139"/>
      <c r="K287" s="139"/>
      <c r="L287" s="243"/>
      <c r="M287" s="243"/>
      <c r="N287" s="139"/>
      <c r="O287" s="139"/>
      <c r="P287" s="139"/>
      <c r="Q287" s="147"/>
      <c r="R287" s="139"/>
      <c r="S287" s="139"/>
      <c r="T287" s="139"/>
      <c r="U287" s="139"/>
      <c r="V287" s="139"/>
      <c r="W287" s="139"/>
      <c r="X287" s="146"/>
      <c r="Y287" s="148"/>
      <c r="Z287" s="145"/>
      <c r="AA287" s="139"/>
      <c r="AB287" s="149"/>
      <c r="AC287" s="11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74"/>
      <c r="AR287" s="222"/>
    </row>
    <row r="288" spans="2:44" s="140" customFormat="1" ht="18" customHeight="1" x14ac:dyDescent="0.25">
      <c r="B288" s="145"/>
      <c r="C288" s="139"/>
      <c r="D288" s="146"/>
      <c r="E288" s="139"/>
      <c r="F288" s="139"/>
      <c r="G288" s="139"/>
      <c r="H288" s="139"/>
      <c r="I288" s="139"/>
      <c r="J288" s="139"/>
      <c r="K288" s="139"/>
      <c r="L288" s="243"/>
      <c r="M288" s="243"/>
      <c r="N288" s="139"/>
      <c r="O288" s="139"/>
      <c r="P288" s="139"/>
      <c r="Q288" s="147"/>
      <c r="R288" s="139"/>
      <c r="S288" s="139"/>
      <c r="T288" s="139"/>
      <c r="U288" s="139"/>
      <c r="V288" s="139"/>
      <c r="W288" s="139"/>
      <c r="X288" s="146"/>
      <c r="Y288" s="148"/>
      <c r="Z288" s="145"/>
      <c r="AA288" s="139"/>
      <c r="AB288" s="149"/>
      <c r="AC288" s="11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74"/>
      <c r="AR288" s="222"/>
    </row>
    <row r="289" spans="2:44" s="22" customFormat="1" ht="18" customHeight="1" x14ac:dyDescent="0.25">
      <c r="B289" s="145"/>
      <c r="C289" s="139"/>
      <c r="D289" s="146"/>
      <c r="E289" s="139"/>
      <c r="F289" s="139"/>
      <c r="G289" s="139"/>
      <c r="H289" s="139"/>
      <c r="I289" s="139"/>
      <c r="J289" s="139"/>
      <c r="K289" s="139"/>
      <c r="L289" s="243"/>
      <c r="M289" s="243"/>
      <c r="N289" s="139"/>
      <c r="O289" s="139"/>
      <c r="P289" s="139"/>
      <c r="Q289" s="147"/>
      <c r="R289" s="139"/>
      <c r="S289" s="139"/>
      <c r="T289" s="139"/>
      <c r="U289" s="139"/>
      <c r="V289" s="139"/>
      <c r="W289" s="139"/>
      <c r="X289" s="146"/>
      <c r="Y289" s="148"/>
      <c r="Z289" s="145"/>
      <c r="AA289" s="139"/>
      <c r="AB289" s="149"/>
      <c r="AC289" s="11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74"/>
      <c r="AR289" s="222"/>
    </row>
    <row r="290" spans="2:44" s="22" customFormat="1" ht="18" customHeight="1" x14ac:dyDescent="0.25">
      <c r="B290" s="145"/>
      <c r="C290" s="139"/>
      <c r="D290" s="146"/>
      <c r="E290" s="139"/>
      <c r="F290" s="139"/>
      <c r="G290" s="139"/>
      <c r="H290" s="139"/>
      <c r="I290" s="139"/>
      <c r="J290" s="139"/>
      <c r="K290" s="139"/>
      <c r="L290" s="243"/>
      <c r="M290" s="243"/>
      <c r="N290" s="139"/>
      <c r="O290" s="139"/>
      <c r="P290" s="139"/>
      <c r="Q290" s="147"/>
      <c r="R290" s="139"/>
      <c r="S290" s="139"/>
      <c r="T290" s="139"/>
      <c r="U290" s="139"/>
      <c r="V290" s="139"/>
      <c r="W290" s="139"/>
      <c r="X290" s="146"/>
      <c r="Y290" s="148"/>
      <c r="Z290" s="145"/>
      <c r="AA290" s="139"/>
      <c r="AB290" s="149"/>
      <c r="AC290" s="11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74"/>
      <c r="AR290" s="222"/>
    </row>
    <row r="291" spans="2:44" s="22" customFormat="1" ht="18" customHeight="1" x14ac:dyDescent="0.25">
      <c r="B291" s="145"/>
      <c r="C291" s="139"/>
      <c r="D291" s="146"/>
      <c r="E291" s="139"/>
      <c r="F291" s="139"/>
      <c r="G291" s="139"/>
      <c r="H291" s="139"/>
      <c r="I291" s="139"/>
      <c r="J291" s="139"/>
      <c r="K291" s="139"/>
      <c r="L291" s="243"/>
      <c r="M291" s="243"/>
      <c r="N291" s="139"/>
      <c r="O291" s="139"/>
      <c r="P291" s="139"/>
      <c r="Q291" s="147"/>
      <c r="R291" s="139"/>
      <c r="S291" s="139"/>
      <c r="T291" s="139"/>
      <c r="U291" s="139"/>
      <c r="V291" s="139"/>
      <c r="W291" s="139"/>
      <c r="X291" s="146"/>
      <c r="Y291" s="148"/>
      <c r="Z291" s="145"/>
      <c r="AA291" s="139"/>
      <c r="AB291" s="149"/>
      <c r="AC291" s="11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74"/>
      <c r="AR291" s="222"/>
    </row>
    <row r="292" spans="2:44" s="141" customFormat="1" ht="18" customHeight="1" x14ac:dyDescent="0.25">
      <c r="B292" s="145"/>
      <c r="C292" s="139"/>
      <c r="D292" s="146"/>
      <c r="E292" s="139"/>
      <c r="F292" s="139"/>
      <c r="G292" s="139"/>
      <c r="H292" s="139"/>
      <c r="I292" s="139"/>
      <c r="J292" s="139"/>
      <c r="K292" s="139"/>
      <c r="L292" s="243"/>
      <c r="M292" s="243"/>
      <c r="N292" s="139"/>
      <c r="O292" s="139"/>
      <c r="P292" s="139"/>
      <c r="Q292" s="147"/>
      <c r="R292" s="139"/>
      <c r="S292" s="139"/>
      <c r="T292" s="139"/>
      <c r="U292" s="139"/>
      <c r="V292" s="139"/>
      <c r="W292" s="139"/>
      <c r="X292" s="146"/>
      <c r="Y292" s="148"/>
      <c r="Z292" s="145"/>
      <c r="AA292" s="139"/>
      <c r="AB292" s="149"/>
      <c r="AC292" s="11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74"/>
      <c r="AR292" s="222"/>
    </row>
    <row r="293" spans="2:44" s="141" customFormat="1" ht="18" customHeight="1" x14ac:dyDescent="0.25">
      <c r="B293" s="145"/>
      <c r="C293" s="139"/>
      <c r="D293" s="146"/>
      <c r="E293" s="139"/>
      <c r="F293" s="139"/>
      <c r="G293" s="139"/>
      <c r="H293" s="139"/>
      <c r="I293" s="139"/>
      <c r="J293" s="139"/>
      <c r="K293" s="139"/>
      <c r="L293" s="243"/>
      <c r="M293" s="243"/>
      <c r="N293" s="139"/>
      <c r="O293" s="139"/>
      <c r="P293" s="139"/>
      <c r="Q293" s="147"/>
      <c r="R293" s="139"/>
      <c r="S293" s="139"/>
      <c r="T293" s="139"/>
      <c r="U293" s="139"/>
      <c r="V293" s="139"/>
      <c r="W293" s="139"/>
      <c r="X293" s="146"/>
      <c r="Y293" s="148"/>
      <c r="Z293" s="145"/>
      <c r="AA293" s="139"/>
      <c r="AB293" s="149"/>
      <c r="AC293" s="11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74"/>
      <c r="AR293" s="222"/>
    </row>
    <row r="294" spans="2:44" s="140" customFormat="1" ht="18" customHeight="1" x14ac:dyDescent="0.25">
      <c r="B294" s="145"/>
      <c r="C294" s="139"/>
      <c r="D294" s="146"/>
      <c r="E294" s="139"/>
      <c r="F294" s="139"/>
      <c r="G294" s="139"/>
      <c r="H294" s="139"/>
      <c r="I294" s="139"/>
      <c r="J294" s="139"/>
      <c r="K294" s="139"/>
      <c r="L294" s="243"/>
      <c r="M294" s="243"/>
      <c r="N294" s="139"/>
      <c r="O294" s="139"/>
      <c r="P294" s="139"/>
      <c r="Q294" s="147"/>
      <c r="R294" s="139"/>
      <c r="S294" s="139"/>
      <c r="T294" s="139"/>
      <c r="U294" s="139"/>
      <c r="V294" s="139"/>
      <c r="W294" s="139"/>
      <c r="X294" s="146"/>
      <c r="Y294" s="148"/>
      <c r="Z294" s="145"/>
      <c r="AA294" s="139"/>
      <c r="AB294" s="149"/>
      <c r="AC294" s="11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74"/>
      <c r="AR294" s="222"/>
    </row>
    <row r="295" spans="2:44" s="22" customFormat="1" ht="18" customHeight="1" x14ac:dyDescent="0.25">
      <c r="B295" s="145"/>
      <c r="C295" s="139"/>
      <c r="D295" s="146"/>
      <c r="E295" s="139"/>
      <c r="F295" s="139"/>
      <c r="G295" s="139"/>
      <c r="H295" s="139"/>
      <c r="I295" s="139"/>
      <c r="J295" s="139"/>
      <c r="K295" s="139"/>
      <c r="L295" s="243"/>
      <c r="M295" s="243"/>
      <c r="N295" s="139"/>
      <c r="O295" s="139"/>
      <c r="P295" s="139"/>
      <c r="Q295" s="147"/>
      <c r="R295" s="139"/>
      <c r="S295" s="139"/>
      <c r="T295" s="139"/>
      <c r="U295" s="139"/>
      <c r="V295" s="139"/>
      <c r="W295" s="139"/>
      <c r="X295" s="146"/>
      <c r="Y295" s="148"/>
      <c r="Z295" s="145"/>
      <c r="AA295" s="139"/>
      <c r="AB295" s="149"/>
      <c r="AC295" s="11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74"/>
      <c r="AR295" s="222"/>
    </row>
    <row r="296" spans="2:44" s="22" customFormat="1" ht="18" customHeight="1" x14ac:dyDescent="0.25">
      <c r="B296" s="145"/>
      <c r="C296" s="139"/>
      <c r="D296" s="146"/>
      <c r="E296" s="139"/>
      <c r="F296" s="139"/>
      <c r="G296" s="139"/>
      <c r="H296" s="139"/>
      <c r="I296" s="139"/>
      <c r="J296" s="139"/>
      <c r="K296" s="139"/>
      <c r="L296" s="243"/>
      <c r="M296" s="243"/>
      <c r="N296" s="139"/>
      <c r="O296" s="139"/>
      <c r="P296" s="139"/>
      <c r="Q296" s="147"/>
      <c r="R296" s="139"/>
      <c r="S296" s="139"/>
      <c r="T296" s="139"/>
      <c r="U296" s="139"/>
      <c r="V296" s="139"/>
      <c r="W296" s="139"/>
      <c r="X296" s="146"/>
      <c r="Y296" s="148"/>
      <c r="Z296" s="145"/>
      <c r="AA296" s="139"/>
      <c r="AB296" s="149"/>
      <c r="AC296" s="11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74"/>
      <c r="AR296" s="222"/>
    </row>
    <row r="297" spans="2:44" s="22" customFormat="1" ht="18" customHeight="1" x14ac:dyDescent="0.25">
      <c r="B297" s="145"/>
      <c r="C297" s="139"/>
      <c r="D297" s="146"/>
      <c r="E297" s="139"/>
      <c r="F297" s="139"/>
      <c r="G297" s="139"/>
      <c r="H297" s="139"/>
      <c r="I297" s="139"/>
      <c r="J297" s="139"/>
      <c r="K297" s="139"/>
      <c r="L297" s="243"/>
      <c r="M297" s="243"/>
      <c r="N297" s="139"/>
      <c r="O297" s="139"/>
      <c r="P297" s="139"/>
      <c r="Q297" s="147"/>
      <c r="R297" s="139"/>
      <c r="S297" s="139"/>
      <c r="T297" s="139"/>
      <c r="U297" s="139"/>
      <c r="V297" s="139"/>
      <c r="W297" s="139"/>
      <c r="X297" s="146"/>
      <c r="Y297" s="148"/>
      <c r="Z297" s="145"/>
      <c r="AA297" s="139"/>
      <c r="AB297" s="149"/>
      <c r="AC297" s="11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74"/>
      <c r="AR297" s="222"/>
    </row>
    <row r="298" spans="2:44" s="22" customFormat="1" ht="18" customHeight="1" x14ac:dyDescent="0.25">
      <c r="B298" s="145"/>
      <c r="C298" s="139"/>
      <c r="D298" s="146"/>
      <c r="E298" s="139"/>
      <c r="F298" s="139"/>
      <c r="G298" s="139"/>
      <c r="H298" s="139"/>
      <c r="I298" s="139"/>
      <c r="J298" s="139"/>
      <c r="K298" s="139"/>
      <c r="L298" s="243"/>
      <c r="M298" s="243"/>
      <c r="N298" s="139"/>
      <c r="O298" s="139"/>
      <c r="P298" s="139"/>
      <c r="Q298" s="147"/>
      <c r="R298" s="139"/>
      <c r="S298" s="139"/>
      <c r="T298" s="139"/>
      <c r="U298" s="139"/>
      <c r="V298" s="139"/>
      <c r="W298" s="139"/>
      <c r="X298" s="146"/>
      <c r="Y298" s="148"/>
      <c r="Z298" s="145"/>
      <c r="AA298" s="139"/>
      <c r="AB298" s="149"/>
      <c r="AC298" s="11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74"/>
      <c r="AR298" s="222"/>
    </row>
    <row r="299" spans="2:44" s="141" customFormat="1" ht="18" customHeight="1" x14ac:dyDescent="0.25">
      <c r="B299" s="145"/>
      <c r="C299" s="139"/>
      <c r="D299" s="146"/>
      <c r="E299" s="139"/>
      <c r="F299" s="139"/>
      <c r="G299" s="139"/>
      <c r="H299" s="139"/>
      <c r="I299" s="139"/>
      <c r="J299" s="139"/>
      <c r="K299" s="139"/>
      <c r="L299" s="243"/>
      <c r="M299" s="243"/>
      <c r="N299" s="139"/>
      <c r="O299" s="139"/>
      <c r="P299" s="139"/>
      <c r="Q299" s="147"/>
      <c r="R299" s="139"/>
      <c r="S299" s="139"/>
      <c r="T299" s="139"/>
      <c r="U299" s="139"/>
      <c r="V299" s="139"/>
      <c r="W299" s="139"/>
      <c r="X299" s="146"/>
      <c r="Y299" s="148"/>
      <c r="Z299" s="145"/>
      <c r="AA299" s="139"/>
      <c r="AB299" s="149"/>
      <c r="AC299" s="11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74"/>
      <c r="AR299" s="222"/>
    </row>
    <row r="300" spans="2:44" s="22" customFormat="1" ht="18" customHeight="1" x14ac:dyDescent="0.25">
      <c r="B300" s="145"/>
      <c r="C300" s="139"/>
      <c r="D300" s="146"/>
      <c r="E300" s="139"/>
      <c r="F300" s="139"/>
      <c r="G300" s="139"/>
      <c r="H300" s="139"/>
      <c r="I300" s="139"/>
      <c r="J300" s="139"/>
      <c r="K300" s="139"/>
      <c r="L300" s="243"/>
      <c r="M300" s="243"/>
      <c r="N300" s="139"/>
      <c r="O300" s="139"/>
      <c r="P300" s="139"/>
      <c r="Q300" s="147"/>
      <c r="R300" s="139"/>
      <c r="S300" s="139"/>
      <c r="T300" s="139"/>
      <c r="U300" s="139"/>
      <c r="V300" s="139"/>
      <c r="W300" s="139"/>
      <c r="X300" s="146"/>
      <c r="Y300" s="148"/>
      <c r="Z300" s="145"/>
      <c r="AA300" s="139"/>
      <c r="AB300" s="149"/>
      <c r="AC300" s="11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74"/>
      <c r="AR300" s="222"/>
    </row>
    <row r="301" spans="2:44" s="140" customFormat="1" ht="18" customHeight="1" x14ac:dyDescent="0.25">
      <c r="B301" s="145"/>
      <c r="C301" s="139"/>
      <c r="D301" s="146"/>
      <c r="E301" s="139"/>
      <c r="F301" s="139"/>
      <c r="G301" s="139"/>
      <c r="H301" s="139"/>
      <c r="I301" s="139"/>
      <c r="J301" s="139"/>
      <c r="K301" s="139"/>
      <c r="L301" s="243"/>
      <c r="M301" s="243"/>
      <c r="N301" s="139"/>
      <c r="O301" s="139"/>
      <c r="P301" s="139"/>
      <c r="Q301" s="147"/>
      <c r="R301" s="139"/>
      <c r="S301" s="139"/>
      <c r="T301" s="139"/>
      <c r="U301" s="139"/>
      <c r="V301" s="139"/>
      <c r="W301" s="139"/>
      <c r="X301" s="146"/>
      <c r="Y301" s="148"/>
      <c r="Z301" s="145"/>
      <c r="AA301" s="139"/>
      <c r="AB301" s="149"/>
      <c r="AC301" s="11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74"/>
      <c r="AR301" s="222"/>
    </row>
    <row r="302" spans="2:44" s="22" customFormat="1" ht="18" customHeight="1" x14ac:dyDescent="0.25">
      <c r="B302" s="145"/>
      <c r="C302" s="139"/>
      <c r="D302" s="146"/>
      <c r="E302" s="139"/>
      <c r="F302" s="139"/>
      <c r="G302" s="139"/>
      <c r="H302" s="139"/>
      <c r="I302" s="139"/>
      <c r="J302" s="139"/>
      <c r="K302" s="139"/>
      <c r="L302" s="243"/>
      <c r="M302" s="243"/>
      <c r="N302" s="139"/>
      <c r="O302" s="139"/>
      <c r="P302" s="139"/>
      <c r="Q302" s="147"/>
      <c r="R302" s="139"/>
      <c r="S302" s="139"/>
      <c r="T302" s="139"/>
      <c r="U302" s="139"/>
      <c r="V302" s="139"/>
      <c r="W302" s="139"/>
      <c r="X302" s="146"/>
      <c r="Y302" s="148"/>
      <c r="Z302" s="145"/>
      <c r="AA302" s="139"/>
      <c r="AB302" s="149"/>
      <c r="AC302" s="11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74"/>
      <c r="AR302" s="222"/>
    </row>
    <row r="303" spans="2:44" s="22" customFormat="1" ht="18" customHeight="1" x14ac:dyDescent="0.25">
      <c r="B303" s="145"/>
      <c r="C303" s="139"/>
      <c r="D303" s="146"/>
      <c r="E303" s="139"/>
      <c r="F303" s="139"/>
      <c r="G303" s="139"/>
      <c r="H303" s="139"/>
      <c r="I303" s="139"/>
      <c r="J303" s="139"/>
      <c r="K303" s="139"/>
      <c r="L303" s="243"/>
      <c r="M303" s="243"/>
      <c r="N303" s="139"/>
      <c r="O303" s="139"/>
      <c r="P303" s="139"/>
      <c r="Q303" s="147"/>
      <c r="R303" s="139"/>
      <c r="S303" s="139"/>
      <c r="T303" s="139"/>
      <c r="U303" s="139"/>
      <c r="V303" s="139"/>
      <c r="W303" s="139"/>
      <c r="X303" s="146"/>
      <c r="Y303" s="148"/>
      <c r="Z303" s="145"/>
      <c r="AA303" s="139"/>
      <c r="AB303" s="149"/>
      <c r="AC303" s="11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74"/>
      <c r="AR303" s="222"/>
    </row>
    <row r="304" spans="2:44" s="22" customFormat="1" ht="18" customHeight="1" x14ac:dyDescent="0.25">
      <c r="B304" s="145"/>
      <c r="C304" s="139"/>
      <c r="D304" s="146"/>
      <c r="E304" s="139"/>
      <c r="F304" s="139"/>
      <c r="G304" s="139"/>
      <c r="H304" s="139"/>
      <c r="I304" s="139"/>
      <c r="J304" s="139"/>
      <c r="K304" s="139"/>
      <c r="L304" s="243"/>
      <c r="M304" s="243"/>
      <c r="N304" s="139"/>
      <c r="O304" s="139"/>
      <c r="P304" s="139"/>
      <c r="Q304" s="147"/>
      <c r="R304" s="139"/>
      <c r="S304" s="139"/>
      <c r="T304" s="139"/>
      <c r="U304" s="139"/>
      <c r="V304" s="139"/>
      <c r="W304" s="139"/>
      <c r="X304" s="146"/>
      <c r="Y304" s="148"/>
      <c r="Z304" s="145"/>
      <c r="AA304" s="139"/>
      <c r="AB304" s="149"/>
      <c r="AC304" s="11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74"/>
      <c r="AR304" s="222"/>
    </row>
    <row r="305" spans="2:44" s="140" customFormat="1" ht="18" customHeight="1" x14ac:dyDescent="0.25">
      <c r="B305" s="145"/>
      <c r="C305" s="139"/>
      <c r="D305" s="146"/>
      <c r="E305" s="139"/>
      <c r="F305" s="139"/>
      <c r="G305" s="139"/>
      <c r="H305" s="139"/>
      <c r="I305" s="139"/>
      <c r="J305" s="139"/>
      <c r="K305" s="139"/>
      <c r="L305" s="243"/>
      <c r="M305" s="243"/>
      <c r="N305" s="139"/>
      <c r="O305" s="139"/>
      <c r="P305" s="139"/>
      <c r="Q305" s="147"/>
      <c r="R305" s="139"/>
      <c r="S305" s="139"/>
      <c r="T305" s="139"/>
      <c r="U305" s="139"/>
      <c r="V305" s="139"/>
      <c r="W305" s="139"/>
      <c r="X305" s="146"/>
      <c r="Y305" s="148"/>
      <c r="Z305" s="145"/>
      <c r="AA305" s="139"/>
      <c r="AB305" s="149"/>
      <c r="AC305" s="11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74"/>
      <c r="AR305" s="222"/>
    </row>
    <row r="306" spans="2:44" s="140" customFormat="1" ht="18" customHeight="1" x14ac:dyDescent="0.25">
      <c r="B306" s="145"/>
      <c r="C306" s="139"/>
      <c r="D306" s="146"/>
      <c r="E306" s="139"/>
      <c r="F306" s="139"/>
      <c r="G306" s="139"/>
      <c r="H306" s="139"/>
      <c r="I306" s="139"/>
      <c r="J306" s="139"/>
      <c r="K306" s="139"/>
      <c r="L306" s="243"/>
      <c r="M306" s="243"/>
      <c r="N306" s="139"/>
      <c r="O306" s="139"/>
      <c r="P306" s="139"/>
      <c r="Q306" s="147"/>
      <c r="R306" s="139"/>
      <c r="S306" s="139"/>
      <c r="T306" s="139"/>
      <c r="U306" s="139"/>
      <c r="V306" s="139"/>
      <c r="W306" s="139"/>
      <c r="X306" s="146"/>
      <c r="Y306" s="148"/>
      <c r="Z306" s="145"/>
      <c r="AA306" s="139"/>
      <c r="AB306" s="149"/>
      <c r="AC306" s="11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74"/>
      <c r="AR306" s="222"/>
    </row>
    <row r="307" spans="2:44" s="140" customFormat="1" ht="18" customHeight="1" x14ac:dyDescent="0.25">
      <c r="B307" s="145"/>
      <c r="C307" s="139"/>
      <c r="D307" s="146"/>
      <c r="E307" s="139"/>
      <c r="F307" s="139"/>
      <c r="G307" s="139"/>
      <c r="H307" s="139"/>
      <c r="I307" s="139"/>
      <c r="J307" s="139"/>
      <c r="K307" s="139"/>
      <c r="L307" s="243"/>
      <c r="M307" s="243"/>
      <c r="N307" s="139"/>
      <c r="O307" s="139"/>
      <c r="P307" s="139"/>
      <c r="Q307" s="147"/>
      <c r="R307" s="139"/>
      <c r="S307" s="139"/>
      <c r="T307" s="139"/>
      <c r="U307" s="139"/>
      <c r="V307" s="139"/>
      <c r="W307" s="139"/>
      <c r="X307" s="146"/>
      <c r="Y307" s="148"/>
      <c r="Z307" s="145"/>
      <c r="AA307" s="139"/>
      <c r="AB307" s="149"/>
      <c r="AC307" s="11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74"/>
      <c r="AR307" s="222"/>
    </row>
    <row r="308" spans="2:44" s="140" customFormat="1" ht="18" customHeight="1" x14ac:dyDescent="0.25">
      <c r="B308" s="145"/>
      <c r="C308" s="139"/>
      <c r="D308" s="146"/>
      <c r="E308" s="139"/>
      <c r="F308" s="139"/>
      <c r="G308" s="139"/>
      <c r="H308" s="139"/>
      <c r="I308" s="139"/>
      <c r="J308" s="139"/>
      <c r="K308" s="139"/>
      <c r="L308" s="243"/>
      <c r="M308" s="243"/>
      <c r="N308" s="139"/>
      <c r="O308" s="139"/>
      <c r="P308" s="139"/>
      <c r="Q308" s="147"/>
      <c r="R308" s="139"/>
      <c r="S308" s="139"/>
      <c r="T308" s="139"/>
      <c r="U308" s="139"/>
      <c r="V308" s="139"/>
      <c r="W308" s="139"/>
      <c r="X308" s="146"/>
      <c r="Y308" s="148"/>
      <c r="Z308" s="145"/>
      <c r="AA308" s="139"/>
      <c r="AB308" s="149"/>
      <c r="AC308" s="11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74"/>
      <c r="AR308" s="222"/>
    </row>
    <row r="309" spans="2:44" s="140" customFormat="1" ht="18" customHeight="1" x14ac:dyDescent="0.25">
      <c r="B309" s="145"/>
      <c r="C309" s="139"/>
      <c r="D309" s="146"/>
      <c r="E309" s="139"/>
      <c r="F309" s="139"/>
      <c r="G309" s="139"/>
      <c r="H309" s="139"/>
      <c r="I309" s="139"/>
      <c r="J309" s="139"/>
      <c r="K309" s="139"/>
      <c r="L309" s="243"/>
      <c r="M309" s="243"/>
      <c r="N309" s="139"/>
      <c r="O309" s="139"/>
      <c r="P309" s="139"/>
      <c r="Q309" s="147"/>
      <c r="R309" s="139"/>
      <c r="S309" s="139"/>
      <c r="T309" s="139"/>
      <c r="U309" s="139"/>
      <c r="V309" s="139"/>
      <c r="W309" s="139"/>
      <c r="X309" s="146"/>
      <c r="Y309" s="148"/>
      <c r="Z309" s="145"/>
      <c r="AA309" s="139"/>
      <c r="AB309" s="149"/>
      <c r="AC309" s="11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74"/>
      <c r="AR309" s="222"/>
    </row>
    <row r="310" spans="2:44" s="140" customFormat="1" ht="18" customHeight="1" x14ac:dyDescent="0.25">
      <c r="B310" s="145"/>
      <c r="C310" s="139"/>
      <c r="D310" s="146"/>
      <c r="E310" s="139"/>
      <c r="F310" s="139"/>
      <c r="G310" s="139"/>
      <c r="H310" s="139"/>
      <c r="I310" s="139"/>
      <c r="J310" s="139"/>
      <c r="K310" s="139"/>
      <c r="L310" s="243"/>
      <c r="M310" s="243"/>
      <c r="N310" s="139"/>
      <c r="O310" s="139"/>
      <c r="P310" s="139"/>
      <c r="Q310" s="147"/>
      <c r="R310" s="139"/>
      <c r="S310" s="139"/>
      <c r="T310" s="139"/>
      <c r="U310" s="139"/>
      <c r="V310" s="139"/>
      <c r="W310" s="139"/>
      <c r="X310" s="146"/>
      <c r="Y310" s="148"/>
      <c r="Z310" s="145"/>
      <c r="AA310" s="139"/>
      <c r="AB310" s="149"/>
      <c r="AC310" s="11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74"/>
      <c r="AR310" s="222"/>
    </row>
    <row r="311" spans="2:44" s="140" customFormat="1" ht="18" customHeight="1" x14ac:dyDescent="0.25">
      <c r="B311" s="145"/>
      <c r="C311" s="139"/>
      <c r="D311" s="146"/>
      <c r="E311" s="139"/>
      <c r="F311" s="139"/>
      <c r="G311" s="139"/>
      <c r="H311" s="139"/>
      <c r="I311" s="139"/>
      <c r="J311" s="139"/>
      <c r="K311" s="139"/>
      <c r="L311" s="243"/>
      <c r="M311" s="243"/>
      <c r="N311" s="139"/>
      <c r="O311" s="139"/>
      <c r="P311" s="139"/>
      <c r="Q311" s="147"/>
      <c r="R311" s="139"/>
      <c r="S311" s="139"/>
      <c r="T311" s="139"/>
      <c r="U311" s="139"/>
      <c r="V311" s="139"/>
      <c r="W311" s="139"/>
      <c r="X311" s="146"/>
      <c r="Y311" s="148"/>
      <c r="Z311" s="145"/>
      <c r="AA311" s="139"/>
      <c r="AB311" s="149"/>
      <c r="AC311" s="11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74"/>
      <c r="AR311" s="222"/>
    </row>
    <row r="312" spans="2:44" s="140" customFormat="1" ht="18" customHeight="1" x14ac:dyDescent="0.25">
      <c r="B312" s="145"/>
      <c r="C312" s="139"/>
      <c r="D312" s="146"/>
      <c r="E312" s="139"/>
      <c r="F312" s="139"/>
      <c r="G312" s="139"/>
      <c r="H312" s="139"/>
      <c r="I312" s="139"/>
      <c r="J312" s="139"/>
      <c r="K312" s="139"/>
      <c r="L312" s="243"/>
      <c r="M312" s="243"/>
      <c r="N312" s="139"/>
      <c r="O312" s="139"/>
      <c r="P312" s="139"/>
      <c r="Q312" s="147"/>
      <c r="R312" s="139"/>
      <c r="S312" s="139"/>
      <c r="T312" s="139"/>
      <c r="U312" s="139"/>
      <c r="V312" s="139"/>
      <c r="W312" s="139"/>
      <c r="X312" s="146"/>
      <c r="Y312" s="148"/>
      <c r="Z312" s="145"/>
      <c r="AA312" s="139"/>
      <c r="AB312" s="149"/>
      <c r="AC312" s="11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74"/>
      <c r="AR312" s="222"/>
    </row>
    <row r="313" spans="2:44" s="140" customFormat="1" ht="18" customHeight="1" x14ac:dyDescent="0.25">
      <c r="B313" s="145"/>
      <c r="C313" s="139"/>
      <c r="D313" s="146"/>
      <c r="E313" s="139"/>
      <c r="F313" s="139"/>
      <c r="G313" s="139"/>
      <c r="H313" s="139"/>
      <c r="I313" s="139"/>
      <c r="J313" s="139"/>
      <c r="K313" s="139"/>
      <c r="L313" s="243"/>
      <c r="M313" s="243"/>
      <c r="N313" s="139"/>
      <c r="O313" s="139"/>
      <c r="P313" s="139"/>
      <c r="Q313" s="147"/>
      <c r="R313" s="139"/>
      <c r="S313" s="139"/>
      <c r="T313" s="139"/>
      <c r="U313" s="139"/>
      <c r="V313" s="139"/>
      <c r="W313" s="139"/>
      <c r="X313" s="146"/>
      <c r="Y313" s="148"/>
      <c r="Z313" s="145"/>
      <c r="AA313" s="139"/>
      <c r="AB313" s="149"/>
      <c r="AC313" s="11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74"/>
      <c r="AR313" s="222"/>
    </row>
    <row r="314" spans="2:44" s="140" customFormat="1" ht="18" customHeight="1" x14ac:dyDescent="0.25">
      <c r="B314" s="145"/>
      <c r="C314" s="139"/>
      <c r="D314" s="146"/>
      <c r="E314" s="139"/>
      <c r="F314" s="139"/>
      <c r="G314" s="139"/>
      <c r="H314" s="139"/>
      <c r="I314" s="139"/>
      <c r="J314" s="139"/>
      <c r="K314" s="139"/>
      <c r="L314" s="243"/>
      <c r="M314" s="243"/>
      <c r="N314" s="139"/>
      <c r="O314" s="139"/>
      <c r="P314" s="139"/>
      <c r="Q314" s="147"/>
      <c r="R314" s="139"/>
      <c r="S314" s="139"/>
      <c r="T314" s="139"/>
      <c r="U314" s="139"/>
      <c r="V314" s="139"/>
      <c r="W314" s="139"/>
      <c r="X314" s="146"/>
      <c r="Y314" s="148"/>
      <c r="Z314" s="145"/>
      <c r="AA314" s="139"/>
      <c r="AB314" s="149"/>
      <c r="AC314" s="11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74"/>
      <c r="AR314" s="222"/>
    </row>
    <row r="315" spans="2:44" s="140" customFormat="1" ht="18" customHeight="1" x14ac:dyDescent="0.25">
      <c r="B315" s="145"/>
      <c r="C315" s="139"/>
      <c r="D315" s="146"/>
      <c r="E315" s="139"/>
      <c r="F315" s="139"/>
      <c r="G315" s="139"/>
      <c r="H315" s="139"/>
      <c r="I315" s="139"/>
      <c r="J315" s="139"/>
      <c r="K315" s="139"/>
      <c r="L315" s="243"/>
      <c r="M315" s="243"/>
      <c r="N315" s="139"/>
      <c r="O315" s="139"/>
      <c r="P315" s="139"/>
      <c r="Q315" s="147"/>
      <c r="R315" s="139"/>
      <c r="S315" s="139"/>
      <c r="T315" s="139"/>
      <c r="U315" s="139"/>
      <c r="V315" s="139"/>
      <c r="W315" s="139"/>
      <c r="X315" s="146"/>
      <c r="Y315" s="148"/>
      <c r="Z315" s="145"/>
      <c r="AA315" s="139"/>
      <c r="AB315" s="149"/>
      <c r="AC315" s="11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74"/>
      <c r="AR315" s="222"/>
    </row>
    <row r="316" spans="2:44" s="140" customFormat="1" ht="18" customHeight="1" x14ac:dyDescent="0.25">
      <c r="B316" s="145"/>
      <c r="C316" s="139"/>
      <c r="D316" s="146"/>
      <c r="E316" s="139"/>
      <c r="F316" s="139"/>
      <c r="G316" s="139"/>
      <c r="H316" s="139"/>
      <c r="I316" s="139"/>
      <c r="J316" s="139"/>
      <c r="K316" s="139"/>
      <c r="L316" s="243"/>
      <c r="M316" s="243"/>
      <c r="N316" s="139"/>
      <c r="O316" s="139"/>
      <c r="P316" s="139"/>
      <c r="Q316" s="147"/>
      <c r="R316" s="139"/>
      <c r="S316" s="139"/>
      <c r="T316" s="139"/>
      <c r="U316" s="139"/>
      <c r="V316" s="139"/>
      <c r="W316" s="139"/>
      <c r="X316" s="146"/>
      <c r="Y316" s="148"/>
      <c r="Z316" s="145"/>
      <c r="AA316" s="139"/>
      <c r="AB316" s="149"/>
      <c r="AC316" s="11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74"/>
      <c r="AR316" s="222"/>
    </row>
    <row r="317" spans="2:44" s="140" customFormat="1" ht="18" customHeight="1" x14ac:dyDescent="0.25">
      <c r="B317" s="145"/>
      <c r="C317" s="139"/>
      <c r="D317" s="146"/>
      <c r="E317" s="139"/>
      <c r="F317" s="139"/>
      <c r="G317" s="139"/>
      <c r="H317" s="139"/>
      <c r="I317" s="139"/>
      <c r="J317" s="139"/>
      <c r="K317" s="139"/>
      <c r="L317" s="243"/>
      <c r="M317" s="243"/>
      <c r="N317" s="139"/>
      <c r="O317" s="139"/>
      <c r="P317" s="139"/>
      <c r="Q317" s="147"/>
      <c r="R317" s="139"/>
      <c r="S317" s="139"/>
      <c r="T317" s="139"/>
      <c r="U317" s="139"/>
      <c r="V317" s="139"/>
      <c r="W317" s="139"/>
      <c r="X317" s="146"/>
      <c r="Y317" s="148"/>
      <c r="Z317" s="145"/>
      <c r="AA317" s="139"/>
      <c r="AB317" s="149"/>
      <c r="AC317" s="11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74"/>
      <c r="AR317" s="222"/>
    </row>
    <row r="318" spans="2:44" s="140" customFormat="1" ht="18" customHeight="1" x14ac:dyDescent="0.25">
      <c r="B318" s="145"/>
      <c r="C318" s="139"/>
      <c r="D318" s="146"/>
      <c r="E318" s="139"/>
      <c r="F318" s="139"/>
      <c r="G318" s="139"/>
      <c r="H318" s="139"/>
      <c r="I318" s="139"/>
      <c r="J318" s="139"/>
      <c r="K318" s="139"/>
      <c r="L318" s="243"/>
      <c r="M318" s="243"/>
      <c r="N318" s="139"/>
      <c r="O318" s="139"/>
      <c r="P318" s="139"/>
      <c r="Q318" s="147"/>
      <c r="R318" s="139"/>
      <c r="S318" s="139"/>
      <c r="T318" s="139"/>
      <c r="U318" s="139"/>
      <c r="V318" s="139"/>
      <c r="W318" s="139"/>
      <c r="X318" s="146"/>
      <c r="Y318" s="148"/>
      <c r="Z318" s="145"/>
      <c r="AA318" s="139"/>
      <c r="AB318" s="149"/>
      <c r="AC318" s="11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74"/>
      <c r="AR318" s="222"/>
    </row>
    <row r="319" spans="2:44" s="140" customFormat="1" ht="18" customHeight="1" x14ac:dyDescent="0.25">
      <c r="B319" s="145"/>
      <c r="C319" s="139"/>
      <c r="D319" s="146"/>
      <c r="E319" s="139"/>
      <c r="F319" s="139"/>
      <c r="G319" s="139"/>
      <c r="H319" s="139"/>
      <c r="I319" s="139"/>
      <c r="J319" s="139"/>
      <c r="K319" s="139"/>
      <c r="L319" s="243"/>
      <c r="M319" s="243"/>
      <c r="N319" s="139"/>
      <c r="O319" s="139"/>
      <c r="P319" s="139"/>
      <c r="Q319" s="147"/>
      <c r="R319" s="139"/>
      <c r="S319" s="139"/>
      <c r="T319" s="139"/>
      <c r="U319" s="139"/>
      <c r="V319" s="139"/>
      <c r="W319" s="139"/>
      <c r="X319" s="146"/>
      <c r="Y319" s="148"/>
      <c r="Z319" s="145"/>
      <c r="AA319" s="139"/>
      <c r="AB319" s="149"/>
      <c r="AC319" s="11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74"/>
      <c r="AR319" s="222"/>
    </row>
    <row r="320" spans="2:44" s="140" customFormat="1" ht="18" customHeight="1" x14ac:dyDescent="0.25">
      <c r="B320" s="145"/>
      <c r="C320" s="139"/>
      <c r="D320" s="146"/>
      <c r="E320" s="139"/>
      <c r="F320" s="139"/>
      <c r="G320" s="139"/>
      <c r="H320" s="139"/>
      <c r="I320" s="139"/>
      <c r="J320" s="139"/>
      <c r="K320" s="139"/>
      <c r="L320" s="243"/>
      <c r="M320" s="243"/>
      <c r="N320" s="139"/>
      <c r="O320" s="139"/>
      <c r="P320" s="139"/>
      <c r="Q320" s="147"/>
      <c r="R320" s="139"/>
      <c r="S320" s="139"/>
      <c r="T320" s="139"/>
      <c r="U320" s="139"/>
      <c r="V320" s="139"/>
      <c r="W320" s="139"/>
      <c r="X320" s="146"/>
      <c r="Y320" s="148"/>
      <c r="Z320" s="145"/>
      <c r="AA320" s="139"/>
      <c r="AB320" s="149"/>
      <c r="AC320" s="11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74"/>
      <c r="AR320" s="222"/>
    </row>
    <row r="321" spans="2:44" s="140" customFormat="1" ht="18" customHeight="1" x14ac:dyDescent="0.25">
      <c r="B321" s="145"/>
      <c r="C321" s="139"/>
      <c r="D321" s="146"/>
      <c r="E321" s="139"/>
      <c r="F321" s="139"/>
      <c r="G321" s="139"/>
      <c r="H321" s="139"/>
      <c r="I321" s="139"/>
      <c r="J321" s="139"/>
      <c r="K321" s="139"/>
      <c r="L321" s="243"/>
      <c r="M321" s="243"/>
      <c r="N321" s="139"/>
      <c r="O321" s="139"/>
      <c r="P321" s="139"/>
      <c r="Q321" s="147"/>
      <c r="R321" s="139"/>
      <c r="S321" s="139"/>
      <c r="T321" s="139"/>
      <c r="U321" s="139"/>
      <c r="V321" s="139"/>
      <c r="W321" s="139"/>
      <c r="X321" s="146"/>
      <c r="Y321" s="148"/>
      <c r="Z321" s="145"/>
      <c r="AA321" s="139"/>
      <c r="AB321" s="149"/>
      <c r="AC321" s="11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74"/>
      <c r="AR321" s="222"/>
    </row>
    <row r="322" spans="2:44" s="140" customFormat="1" ht="18" customHeight="1" x14ac:dyDescent="0.25">
      <c r="B322" s="145"/>
      <c r="C322" s="139"/>
      <c r="D322" s="146"/>
      <c r="E322" s="139"/>
      <c r="F322" s="139"/>
      <c r="G322" s="139"/>
      <c r="H322" s="139"/>
      <c r="I322" s="139"/>
      <c r="J322" s="139"/>
      <c r="K322" s="139"/>
      <c r="L322" s="243"/>
      <c r="M322" s="243"/>
      <c r="N322" s="139"/>
      <c r="O322" s="139"/>
      <c r="P322" s="139"/>
      <c r="Q322" s="147"/>
      <c r="R322" s="139"/>
      <c r="S322" s="139"/>
      <c r="T322" s="139"/>
      <c r="U322" s="139"/>
      <c r="V322" s="139"/>
      <c r="W322" s="139"/>
      <c r="X322" s="146"/>
      <c r="Y322" s="148"/>
      <c r="Z322" s="145"/>
      <c r="AA322" s="139"/>
      <c r="AB322" s="149"/>
      <c r="AC322" s="11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74"/>
      <c r="AR322" s="222"/>
    </row>
    <row r="323" spans="2:44" s="140" customFormat="1" ht="18" customHeight="1" x14ac:dyDescent="0.25">
      <c r="B323" s="145"/>
      <c r="C323" s="139"/>
      <c r="D323" s="146"/>
      <c r="E323" s="139"/>
      <c r="F323" s="139"/>
      <c r="G323" s="139"/>
      <c r="H323" s="139"/>
      <c r="I323" s="139"/>
      <c r="J323" s="139"/>
      <c r="K323" s="139"/>
      <c r="L323" s="243"/>
      <c r="M323" s="243"/>
      <c r="N323" s="139"/>
      <c r="O323" s="139"/>
      <c r="P323" s="139"/>
      <c r="Q323" s="147"/>
      <c r="R323" s="139"/>
      <c r="S323" s="139"/>
      <c r="T323" s="139"/>
      <c r="U323" s="139"/>
      <c r="V323" s="139"/>
      <c r="W323" s="139"/>
      <c r="X323" s="146"/>
      <c r="Y323" s="148"/>
      <c r="Z323" s="145"/>
      <c r="AA323" s="139"/>
      <c r="AB323" s="149"/>
      <c r="AC323" s="11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74"/>
      <c r="AR323" s="222"/>
    </row>
    <row r="324" spans="2:44" s="140" customFormat="1" ht="18" customHeight="1" x14ac:dyDescent="0.25">
      <c r="B324" s="145"/>
      <c r="C324" s="139"/>
      <c r="D324" s="146"/>
      <c r="E324" s="139"/>
      <c r="F324" s="139"/>
      <c r="G324" s="139"/>
      <c r="H324" s="139"/>
      <c r="I324" s="139"/>
      <c r="J324" s="139"/>
      <c r="K324" s="139"/>
      <c r="L324" s="243"/>
      <c r="M324" s="243"/>
      <c r="N324" s="139"/>
      <c r="O324" s="139"/>
      <c r="P324" s="139"/>
      <c r="Q324" s="147"/>
      <c r="R324" s="139"/>
      <c r="S324" s="139"/>
      <c r="T324" s="139"/>
      <c r="U324" s="139"/>
      <c r="V324" s="139"/>
      <c r="W324" s="139"/>
      <c r="X324" s="146"/>
      <c r="Y324" s="148"/>
      <c r="Z324" s="145"/>
      <c r="AA324" s="139"/>
      <c r="AB324" s="149"/>
      <c r="AC324" s="11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74"/>
      <c r="AR324" s="222"/>
    </row>
    <row r="325" spans="2:44" s="140" customFormat="1" ht="18" customHeight="1" x14ac:dyDescent="0.25">
      <c r="B325" s="145"/>
      <c r="C325" s="139"/>
      <c r="D325" s="146"/>
      <c r="E325" s="139"/>
      <c r="F325" s="139"/>
      <c r="G325" s="139"/>
      <c r="H325" s="139"/>
      <c r="I325" s="139"/>
      <c r="J325" s="139"/>
      <c r="K325" s="139"/>
      <c r="L325" s="243"/>
      <c r="M325" s="243"/>
      <c r="N325" s="139"/>
      <c r="O325" s="139"/>
      <c r="P325" s="139"/>
      <c r="Q325" s="147"/>
      <c r="R325" s="139"/>
      <c r="S325" s="139"/>
      <c r="T325" s="139"/>
      <c r="U325" s="139"/>
      <c r="V325" s="139"/>
      <c r="W325" s="139"/>
      <c r="X325" s="146"/>
      <c r="Y325" s="148"/>
      <c r="Z325" s="145"/>
      <c r="AA325" s="139"/>
      <c r="AB325" s="149"/>
      <c r="AC325" s="11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74"/>
      <c r="AR325" s="222"/>
    </row>
    <row r="326" spans="2:44" s="140" customFormat="1" ht="18" customHeight="1" x14ac:dyDescent="0.25">
      <c r="B326" s="145"/>
      <c r="C326" s="139"/>
      <c r="D326" s="146"/>
      <c r="E326" s="139"/>
      <c r="F326" s="139"/>
      <c r="G326" s="139"/>
      <c r="H326" s="139"/>
      <c r="I326" s="139"/>
      <c r="J326" s="139"/>
      <c r="K326" s="139"/>
      <c r="L326" s="243"/>
      <c r="M326" s="243"/>
      <c r="N326" s="139"/>
      <c r="O326" s="139"/>
      <c r="P326" s="139"/>
      <c r="Q326" s="147"/>
      <c r="R326" s="139"/>
      <c r="S326" s="139"/>
      <c r="T326" s="139"/>
      <c r="U326" s="139"/>
      <c r="V326" s="139"/>
      <c r="W326" s="139"/>
      <c r="X326" s="146"/>
      <c r="Y326" s="148"/>
      <c r="Z326" s="145"/>
      <c r="AA326" s="139"/>
      <c r="AB326" s="149"/>
      <c r="AC326" s="11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74"/>
      <c r="AR326" s="222"/>
    </row>
    <row r="327" spans="2:44" s="140" customFormat="1" ht="18" customHeight="1" x14ac:dyDescent="0.25">
      <c r="B327" s="145"/>
      <c r="C327" s="139"/>
      <c r="D327" s="146"/>
      <c r="E327" s="139"/>
      <c r="F327" s="139"/>
      <c r="G327" s="139"/>
      <c r="H327" s="139"/>
      <c r="I327" s="139"/>
      <c r="J327" s="139"/>
      <c r="K327" s="139"/>
      <c r="L327" s="243"/>
      <c r="M327" s="243"/>
      <c r="N327" s="139"/>
      <c r="O327" s="139"/>
      <c r="P327" s="139"/>
      <c r="Q327" s="147"/>
      <c r="R327" s="139"/>
      <c r="S327" s="139"/>
      <c r="T327" s="139"/>
      <c r="U327" s="139"/>
      <c r="V327" s="139"/>
      <c r="W327" s="139"/>
      <c r="X327" s="146"/>
      <c r="Y327" s="148"/>
      <c r="Z327" s="145"/>
      <c r="AA327" s="139"/>
      <c r="AB327" s="149"/>
      <c r="AC327" s="11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74"/>
      <c r="AR327" s="222"/>
    </row>
    <row r="328" spans="2:44" s="140" customFormat="1" ht="18" customHeight="1" x14ac:dyDescent="0.25">
      <c r="B328" s="145"/>
      <c r="C328" s="139"/>
      <c r="D328" s="146"/>
      <c r="E328" s="139"/>
      <c r="F328" s="139"/>
      <c r="G328" s="139"/>
      <c r="H328" s="139"/>
      <c r="I328" s="139"/>
      <c r="J328" s="139"/>
      <c r="K328" s="139"/>
      <c r="L328" s="243"/>
      <c r="M328" s="243"/>
      <c r="N328" s="139"/>
      <c r="O328" s="139"/>
      <c r="P328" s="139"/>
      <c r="Q328" s="147"/>
      <c r="R328" s="139"/>
      <c r="S328" s="139"/>
      <c r="T328" s="139"/>
      <c r="U328" s="139"/>
      <c r="V328" s="139"/>
      <c r="W328" s="139"/>
      <c r="X328" s="146"/>
      <c r="Y328" s="148"/>
      <c r="Z328" s="145"/>
      <c r="AA328" s="139"/>
      <c r="AB328" s="149"/>
      <c r="AC328" s="11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74"/>
      <c r="AR328" s="222"/>
    </row>
    <row r="329" spans="2:44" s="140" customFormat="1" ht="18" customHeight="1" x14ac:dyDescent="0.25">
      <c r="B329" s="145"/>
      <c r="C329" s="139"/>
      <c r="D329" s="146"/>
      <c r="E329" s="139"/>
      <c r="F329" s="139"/>
      <c r="G329" s="139"/>
      <c r="H329" s="139"/>
      <c r="I329" s="139"/>
      <c r="J329" s="139"/>
      <c r="K329" s="139"/>
      <c r="L329" s="243"/>
      <c r="M329" s="243"/>
      <c r="N329" s="139"/>
      <c r="O329" s="139"/>
      <c r="P329" s="139"/>
      <c r="Q329" s="147"/>
      <c r="R329" s="139"/>
      <c r="S329" s="139"/>
      <c r="T329" s="139"/>
      <c r="U329" s="139"/>
      <c r="V329" s="139"/>
      <c r="W329" s="139"/>
      <c r="X329" s="146"/>
      <c r="Y329" s="148"/>
      <c r="Z329" s="145"/>
      <c r="AA329" s="139"/>
      <c r="AB329" s="149"/>
      <c r="AC329" s="11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74"/>
      <c r="AR329" s="222"/>
    </row>
    <row r="330" spans="2:44" s="140" customFormat="1" ht="18" customHeight="1" x14ac:dyDescent="0.25">
      <c r="B330" s="145"/>
      <c r="C330" s="139"/>
      <c r="D330" s="146"/>
      <c r="E330" s="139"/>
      <c r="F330" s="139"/>
      <c r="G330" s="139"/>
      <c r="H330" s="139"/>
      <c r="I330" s="139"/>
      <c r="J330" s="139"/>
      <c r="K330" s="139"/>
      <c r="L330" s="243"/>
      <c r="M330" s="243"/>
      <c r="N330" s="139"/>
      <c r="O330" s="139"/>
      <c r="P330" s="139"/>
      <c r="Q330" s="147"/>
      <c r="R330" s="139"/>
      <c r="S330" s="139"/>
      <c r="T330" s="139"/>
      <c r="U330" s="139"/>
      <c r="V330" s="139"/>
      <c r="W330" s="139"/>
      <c r="X330" s="146"/>
      <c r="Y330" s="148"/>
      <c r="Z330" s="145"/>
      <c r="AA330" s="139"/>
      <c r="AB330" s="149"/>
      <c r="AC330" s="11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74"/>
      <c r="AR330" s="222"/>
    </row>
    <row r="331" spans="2:44" s="140" customFormat="1" ht="18" customHeight="1" x14ac:dyDescent="0.25">
      <c r="B331" s="145"/>
      <c r="C331" s="139"/>
      <c r="D331" s="146"/>
      <c r="E331" s="139"/>
      <c r="F331" s="139"/>
      <c r="G331" s="139"/>
      <c r="H331" s="139"/>
      <c r="I331" s="139"/>
      <c r="J331" s="139"/>
      <c r="K331" s="139"/>
      <c r="L331" s="243"/>
      <c r="M331" s="243"/>
      <c r="N331" s="139"/>
      <c r="O331" s="139"/>
      <c r="P331" s="139"/>
      <c r="Q331" s="147"/>
      <c r="R331" s="139"/>
      <c r="S331" s="139"/>
      <c r="T331" s="139"/>
      <c r="U331" s="139"/>
      <c r="V331" s="139"/>
      <c r="W331" s="139"/>
      <c r="X331" s="146"/>
      <c r="Y331" s="148"/>
      <c r="Z331" s="145"/>
      <c r="AA331" s="139"/>
      <c r="AB331" s="149"/>
      <c r="AC331" s="11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74"/>
      <c r="AR331" s="222"/>
    </row>
    <row r="332" spans="2:44" s="140" customFormat="1" ht="18" customHeight="1" x14ac:dyDescent="0.25">
      <c r="B332" s="145"/>
      <c r="C332" s="139"/>
      <c r="D332" s="146"/>
      <c r="E332" s="139"/>
      <c r="F332" s="139"/>
      <c r="G332" s="139"/>
      <c r="H332" s="139"/>
      <c r="I332" s="139"/>
      <c r="J332" s="139"/>
      <c r="K332" s="139"/>
      <c r="L332" s="243"/>
      <c r="M332" s="243"/>
      <c r="N332" s="139"/>
      <c r="O332" s="139"/>
      <c r="P332" s="139"/>
      <c r="Q332" s="147"/>
      <c r="R332" s="139"/>
      <c r="S332" s="139"/>
      <c r="T332" s="139"/>
      <c r="U332" s="139"/>
      <c r="V332" s="139"/>
      <c r="W332" s="139"/>
      <c r="X332" s="146"/>
      <c r="Y332" s="148"/>
      <c r="Z332" s="145"/>
      <c r="AA332" s="139"/>
      <c r="AB332" s="149"/>
      <c r="AC332" s="11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74"/>
      <c r="AR332" s="222"/>
    </row>
    <row r="333" spans="2:44" s="140" customFormat="1" ht="18" customHeight="1" x14ac:dyDescent="0.25">
      <c r="B333" s="145"/>
      <c r="C333" s="139"/>
      <c r="D333" s="146"/>
      <c r="E333" s="139"/>
      <c r="F333" s="139"/>
      <c r="G333" s="139"/>
      <c r="H333" s="139"/>
      <c r="I333" s="139"/>
      <c r="J333" s="139"/>
      <c r="K333" s="139"/>
      <c r="L333" s="243"/>
      <c r="M333" s="243"/>
      <c r="N333" s="139"/>
      <c r="O333" s="139"/>
      <c r="P333" s="139"/>
      <c r="Q333" s="147"/>
      <c r="R333" s="139"/>
      <c r="S333" s="139"/>
      <c r="T333" s="139"/>
      <c r="U333" s="139"/>
      <c r="V333" s="139"/>
      <c r="W333" s="139"/>
      <c r="X333" s="146"/>
      <c r="Y333" s="148"/>
      <c r="Z333" s="145"/>
      <c r="AA333" s="139"/>
      <c r="AB333" s="149"/>
      <c r="AC333" s="11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74"/>
      <c r="AR333" s="222"/>
    </row>
    <row r="334" spans="2:44" s="22" customFormat="1" ht="18" customHeight="1" x14ac:dyDescent="0.25">
      <c r="B334" s="145"/>
      <c r="C334" s="139"/>
      <c r="D334" s="146"/>
      <c r="E334" s="139"/>
      <c r="F334" s="139"/>
      <c r="G334" s="139"/>
      <c r="H334" s="139"/>
      <c r="I334" s="139"/>
      <c r="J334" s="139"/>
      <c r="K334" s="139"/>
      <c r="L334" s="243"/>
      <c r="M334" s="243"/>
      <c r="N334" s="139"/>
      <c r="O334" s="139"/>
      <c r="P334" s="139"/>
      <c r="Q334" s="147"/>
      <c r="R334" s="139"/>
      <c r="S334" s="139"/>
      <c r="T334" s="139"/>
      <c r="U334" s="139"/>
      <c r="V334" s="139"/>
      <c r="W334" s="139"/>
      <c r="X334" s="146"/>
      <c r="Y334" s="148"/>
      <c r="Z334" s="145"/>
      <c r="AA334" s="139"/>
      <c r="AB334" s="149"/>
      <c r="AC334" s="11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74"/>
      <c r="AR334" s="222"/>
    </row>
    <row r="335" spans="2:44" s="22" customFormat="1" ht="18" customHeight="1" x14ac:dyDescent="0.25">
      <c r="B335" s="145"/>
      <c r="C335" s="139"/>
      <c r="D335" s="146"/>
      <c r="E335" s="139"/>
      <c r="F335" s="139"/>
      <c r="G335" s="139"/>
      <c r="H335" s="139"/>
      <c r="I335" s="139"/>
      <c r="J335" s="139"/>
      <c r="K335" s="139"/>
      <c r="L335" s="243"/>
      <c r="M335" s="243"/>
      <c r="N335" s="139"/>
      <c r="O335" s="139"/>
      <c r="P335" s="139"/>
      <c r="Q335" s="147"/>
      <c r="R335" s="139"/>
      <c r="S335" s="139"/>
      <c r="T335" s="139"/>
      <c r="U335" s="139"/>
      <c r="V335" s="139"/>
      <c r="W335" s="139"/>
      <c r="X335" s="146"/>
      <c r="Y335" s="148"/>
      <c r="Z335" s="145"/>
      <c r="AA335" s="139"/>
      <c r="AB335" s="149"/>
      <c r="AC335" s="11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74"/>
      <c r="AR335" s="222"/>
    </row>
    <row r="336" spans="2:44" s="22" customFormat="1" ht="18" customHeight="1" x14ac:dyDescent="0.25">
      <c r="B336" s="145"/>
      <c r="C336" s="139"/>
      <c r="D336" s="146"/>
      <c r="E336" s="139"/>
      <c r="F336" s="139"/>
      <c r="G336" s="139"/>
      <c r="H336" s="139"/>
      <c r="I336" s="139"/>
      <c r="J336" s="139"/>
      <c r="K336" s="139"/>
      <c r="L336" s="243"/>
      <c r="M336" s="243"/>
      <c r="N336" s="139"/>
      <c r="O336" s="139"/>
      <c r="P336" s="139"/>
      <c r="Q336" s="147"/>
      <c r="R336" s="139"/>
      <c r="S336" s="139"/>
      <c r="T336" s="139"/>
      <c r="U336" s="139"/>
      <c r="V336" s="139"/>
      <c r="W336" s="139"/>
      <c r="X336" s="146"/>
      <c r="Y336" s="148"/>
      <c r="Z336" s="145"/>
      <c r="AA336" s="139"/>
      <c r="AB336" s="149"/>
      <c r="AC336" s="11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74"/>
      <c r="AR336" s="222"/>
    </row>
    <row r="337" spans="2:44" s="22" customFormat="1" ht="18" customHeight="1" x14ac:dyDescent="0.25">
      <c r="B337" s="145"/>
      <c r="C337" s="139"/>
      <c r="D337" s="146"/>
      <c r="E337" s="139"/>
      <c r="F337" s="139"/>
      <c r="G337" s="139"/>
      <c r="H337" s="139"/>
      <c r="I337" s="139"/>
      <c r="J337" s="139"/>
      <c r="K337" s="139"/>
      <c r="L337" s="243"/>
      <c r="M337" s="243"/>
      <c r="N337" s="139"/>
      <c r="O337" s="139"/>
      <c r="P337" s="139"/>
      <c r="Q337" s="147"/>
      <c r="R337" s="139"/>
      <c r="S337" s="139"/>
      <c r="T337" s="139"/>
      <c r="U337" s="139"/>
      <c r="V337" s="139"/>
      <c r="W337" s="139"/>
      <c r="X337" s="146"/>
      <c r="Y337" s="148"/>
      <c r="Z337" s="145"/>
      <c r="AA337" s="139"/>
      <c r="AB337" s="149"/>
      <c r="AC337" s="11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74"/>
      <c r="AR337" s="222"/>
    </row>
    <row r="338" spans="2:44" s="22" customFormat="1" ht="18" customHeight="1" x14ac:dyDescent="0.25">
      <c r="B338" s="145"/>
      <c r="C338" s="139"/>
      <c r="D338" s="146"/>
      <c r="E338" s="139"/>
      <c r="F338" s="139"/>
      <c r="G338" s="139"/>
      <c r="H338" s="139"/>
      <c r="I338" s="139"/>
      <c r="J338" s="139"/>
      <c r="K338" s="139"/>
      <c r="L338" s="243"/>
      <c r="M338" s="243"/>
      <c r="N338" s="139"/>
      <c r="O338" s="139"/>
      <c r="P338" s="139"/>
      <c r="Q338" s="147"/>
      <c r="R338" s="139"/>
      <c r="S338" s="139"/>
      <c r="T338" s="139"/>
      <c r="U338" s="139"/>
      <c r="V338" s="139"/>
      <c r="W338" s="139"/>
      <c r="X338" s="146"/>
      <c r="Y338" s="148"/>
      <c r="Z338" s="145"/>
      <c r="AA338" s="139"/>
      <c r="AB338" s="149"/>
      <c r="AC338" s="11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74"/>
      <c r="AR338" s="222"/>
    </row>
    <row r="339" spans="2:44" s="22" customFormat="1" ht="18" customHeight="1" x14ac:dyDescent="0.25">
      <c r="B339" s="145"/>
      <c r="C339" s="139"/>
      <c r="D339" s="146"/>
      <c r="E339" s="139"/>
      <c r="F339" s="139"/>
      <c r="G339" s="139"/>
      <c r="H339" s="139"/>
      <c r="I339" s="139"/>
      <c r="J339" s="139"/>
      <c r="K339" s="139"/>
      <c r="L339" s="243"/>
      <c r="M339" s="243"/>
      <c r="N339" s="139"/>
      <c r="O339" s="139"/>
      <c r="P339" s="139"/>
      <c r="Q339" s="147"/>
      <c r="R339" s="139"/>
      <c r="S339" s="139"/>
      <c r="T339" s="139"/>
      <c r="U339" s="139"/>
      <c r="V339" s="139"/>
      <c r="W339" s="139"/>
      <c r="X339" s="146"/>
      <c r="Y339" s="148"/>
      <c r="Z339" s="145"/>
      <c r="AA339" s="139"/>
      <c r="AB339" s="149"/>
      <c r="AC339" s="11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74"/>
      <c r="AR339" s="222"/>
    </row>
    <row r="340" spans="2:44" s="22" customFormat="1" ht="18" customHeight="1" x14ac:dyDescent="0.25">
      <c r="B340" s="145"/>
      <c r="C340" s="139"/>
      <c r="D340" s="146"/>
      <c r="E340" s="139"/>
      <c r="F340" s="139"/>
      <c r="G340" s="139"/>
      <c r="H340" s="139"/>
      <c r="I340" s="139"/>
      <c r="J340" s="139"/>
      <c r="K340" s="139"/>
      <c r="L340" s="243"/>
      <c r="M340" s="243"/>
      <c r="N340" s="139"/>
      <c r="O340" s="139"/>
      <c r="P340" s="139"/>
      <c r="Q340" s="147"/>
      <c r="R340" s="139"/>
      <c r="S340" s="139"/>
      <c r="T340" s="139"/>
      <c r="U340" s="139"/>
      <c r="V340" s="139"/>
      <c r="W340" s="139"/>
      <c r="X340" s="146"/>
      <c r="Y340" s="148"/>
      <c r="Z340" s="145"/>
      <c r="AA340" s="139"/>
      <c r="AB340" s="149"/>
      <c r="AC340" s="11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74"/>
      <c r="AR340" s="222"/>
    </row>
    <row r="341" spans="2:44" s="22" customFormat="1" ht="18" customHeight="1" x14ac:dyDescent="0.25">
      <c r="B341" s="145"/>
      <c r="C341" s="139"/>
      <c r="D341" s="146"/>
      <c r="E341" s="139"/>
      <c r="F341" s="139"/>
      <c r="G341" s="139"/>
      <c r="H341" s="139"/>
      <c r="I341" s="139"/>
      <c r="J341" s="139"/>
      <c r="K341" s="139"/>
      <c r="L341" s="243"/>
      <c r="M341" s="243"/>
      <c r="N341" s="139"/>
      <c r="O341" s="139"/>
      <c r="P341" s="139"/>
      <c r="Q341" s="147"/>
      <c r="R341" s="139"/>
      <c r="S341" s="139"/>
      <c r="T341" s="139"/>
      <c r="U341" s="139"/>
      <c r="V341" s="139"/>
      <c r="W341" s="139"/>
      <c r="X341" s="146"/>
      <c r="Y341" s="148"/>
      <c r="Z341" s="145"/>
      <c r="AA341" s="139"/>
      <c r="AB341" s="149"/>
      <c r="AC341" s="11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74"/>
      <c r="AR341" s="222"/>
    </row>
    <row r="342" spans="2:44" s="22" customFormat="1" ht="18" customHeight="1" x14ac:dyDescent="0.25">
      <c r="B342" s="145"/>
      <c r="C342" s="139"/>
      <c r="D342" s="146"/>
      <c r="E342" s="139"/>
      <c r="F342" s="139"/>
      <c r="G342" s="139"/>
      <c r="H342" s="139"/>
      <c r="I342" s="139"/>
      <c r="J342" s="139"/>
      <c r="K342" s="139"/>
      <c r="L342" s="243"/>
      <c r="M342" s="243"/>
      <c r="N342" s="139"/>
      <c r="O342" s="139"/>
      <c r="P342" s="139"/>
      <c r="Q342" s="147"/>
      <c r="R342" s="139"/>
      <c r="S342" s="139"/>
      <c r="T342" s="139"/>
      <c r="U342" s="139"/>
      <c r="V342" s="139"/>
      <c r="W342" s="139"/>
      <c r="X342" s="146"/>
      <c r="Y342" s="148"/>
      <c r="Z342" s="145"/>
      <c r="AA342" s="139"/>
      <c r="AB342" s="149"/>
      <c r="AC342" s="11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74"/>
      <c r="AR342" s="222"/>
    </row>
    <row r="343" spans="2:44" s="22" customFormat="1" ht="18" customHeight="1" x14ac:dyDescent="0.25">
      <c r="B343" s="145"/>
      <c r="C343" s="139"/>
      <c r="D343" s="146"/>
      <c r="E343" s="139"/>
      <c r="F343" s="139"/>
      <c r="G343" s="139"/>
      <c r="H343" s="139"/>
      <c r="I343" s="139"/>
      <c r="J343" s="139"/>
      <c r="K343" s="139"/>
      <c r="L343" s="243"/>
      <c r="M343" s="243"/>
      <c r="N343" s="139"/>
      <c r="O343" s="139"/>
      <c r="P343" s="139"/>
      <c r="Q343" s="147"/>
      <c r="R343" s="139"/>
      <c r="S343" s="139"/>
      <c r="T343" s="139"/>
      <c r="U343" s="139"/>
      <c r="V343" s="139"/>
      <c r="W343" s="139"/>
      <c r="X343" s="146"/>
      <c r="Y343" s="148"/>
      <c r="Z343" s="145"/>
      <c r="AA343" s="139"/>
      <c r="AB343" s="149"/>
      <c r="AC343" s="11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74"/>
      <c r="AR343" s="222"/>
    </row>
    <row r="344" spans="2:44" s="140" customFormat="1" ht="18" customHeight="1" x14ac:dyDescent="0.25">
      <c r="B344" s="145"/>
      <c r="C344" s="139"/>
      <c r="D344" s="146"/>
      <c r="E344" s="139"/>
      <c r="F344" s="139"/>
      <c r="G344" s="139"/>
      <c r="H344" s="139"/>
      <c r="I344" s="139"/>
      <c r="J344" s="139"/>
      <c r="K344" s="139"/>
      <c r="L344" s="243"/>
      <c r="M344" s="243"/>
      <c r="N344" s="139"/>
      <c r="O344" s="139"/>
      <c r="P344" s="139"/>
      <c r="Q344" s="147"/>
      <c r="R344" s="139"/>
      <c r="S344" s="139"/>
      <c r="T344" s="139"/>
      <c r="U344" s="139"/>
      <c r="V344" s="139"/>
      <c r="W344" s="139"/>
      <c r="X344" s="146"/>
      <c r="Y344" s="148"/>
      <c r="Z344" s="145"/>
      <c r="AA344" s="139"/>
      <c r="AB344" s="149"/>
      <c r="AC344" s="11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74"/>
      <c r="AR344" s="222"/>
    </row>
    <row r="345" spans="2:44" s="140" customFormat="1" ht="18" customHeight="1" x14ac:dyDescent="0.25">
      <c r="B345" s="145"/>
      <c r="C345" s="139"/>
      <c r="D345" s="146"/>
      <c r="E345" s="139"/>
      <c r="F345" s="139"/>
      <c r="G345" s="139"/>
      <c r="H345" s="139"/>
      <c r="I345" s="139"/>
      <c r="J345" s="139"/>
      <c r="K345" s="139"/>
      <c r="L345" s="243"/>
      <c r="M345" s="243"/>
      <c r="N345" s="139"/>
      <c r="O345" s="139"/>
      <c r="P345" s="139"/>
      <c r="Q345" s="147"/>
      <c r="R345" s="139"/>
      <c r="S345" s="139"/>
      <c r="T345" s="139"/>
      <c r="U345" s="139"/>
      <c r="V345" s="139"/>
      <c r="W345" s="139"/>
      <c r="X345" s="146"/>
      <c r="Y345" s="148"/>
      <c r="Z345" s="145"/>
      <c r="AA345" s="139"/>
      <c r="AB345" s="149"/>
      <c r="AC345" s="11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74"/>
      <c r="AR345" s="222"/>
    </row>
    <row r="346" spans="2:44" s="140" customFormat="1" ht="18" customHeight="1" x14ac:dyDescent="0.25">
      <c r="B346" s="145"/>
      <c r="C346" s="139"/>
      <c r="D346" s="146"/>
      <c r="E346" s="139"/>
      <c r="F346" s="139"/>
      <c r="G346" s="139"/>
      <c r="H346" s="139"/>
      <c r="I346" s="139"/>
      <c r="J346" s="139"/>
      <c r="K346" s="139"/>
      <c r="L346" s="243"/>
      <c r="M346" s="243"/>
      <c r="N346" s="139"/>
      <c r="O346" s="139"/>
      <c r="P346" s="139"/>
      <c r="Q346" s="147"/>
      <c r="R346" s="139"/>
      <c r="S346" s="139"/>
      <c r="T346" s="139"/>
      <c r="U346" s="139"/>
      <c r="V346" s="139"/>
      <c r="W346" s="139"/>
      <c r="X346" s="146"/>
      <c r="Y346" s="148"/>
      <c r="Z346" s="145"/>
      <c r="AA346" s="139"/>
      <c r="AB346" s="149"/>
      <c r="AC346" s="11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74"/>
      <c r="AR346" s="222"/>
    </row>
    <row r="347" spans="2:44" s="140" customFormat="1" ht="18" customHeight="1" x14ac:dyDescent="0.25">
      <c r="B347" s="145"/>
      <c r="C347" s="139"/>
      <c r="D347" s="146"/>
      <c r="E347" s="139"/>
      <c r="F347" s="139"/>
      <c r="G347" s="139"/>
      <c r="H347" s="139"/>
      <c r="I347" s="139"/>
      <c r="J347" s="139"/>
      <c r="K347" s="139"/>
      <c r="L347" s="243"/>
      <c r="M347" s="243"/>
      <c r="N347" s="139"/>
      <c r="O347" s="139"/>
      <c r="P347" s="139"/>
      <c r="Q347" s="147"/>
      <c r="R347" s="139"/>
      <c r="S347" s="139"/>
      <c r="T347" s="139"/>
      <c r="U347" s="139"/>
      <c r="V347" s="139"/>
      <c r="W347" s="139"/>
      <c r="X347" s="146"/>
      <c r="Y347" s="148"/>
      <c r="Z347" s="145"/>
      <c r="AA347" s="139"/>
      <c r="AB347" s="149"/>
      <c r="AC347" s="11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74"/>
      <c r="AR347" s="222"/>
    </row>
    <row r="348" spans="2:44" s="22" customFormat="1" ht="18" customHeight="1" x14ac:dyDescent="0.25">
      <c r="B348" s="145"/>
      <c r="C348" s="139"/>
      <c r="D348" s="146"/>
      <c r="E348" s="139"/>
      <c r="F348" s="139"/>
      <c r="G348" s="139"/>
      <c r="H348" s="139"/>
      <c r="I348" s="139"/>
      <c r="J348" s="139"/>
      <c r="K348" s="139"/>
      <c r="L348" s="243"/>
      <c r="M348" s="243"/>
      <c r="N348" s="139"/>
      <c r="O348" s="139"/>
      <c r="P348" s="139"/>
      <c r="Q348" s="147"/>
      <c r="R348" s="139"/>
      <c r="S348" s="139"/>
      <c r="T348" s="139"/>
      <c r="U348" s="139"/>
      <c r="V348" s="139"/>
      <c r="W348" s="139"/>
      <c r="X348" s="146"/>
      <c r="Y348" s="148"/>
      <c r="Z348" s="145"/>
      <c r="AA348" s="139"/>
      <c r="AB348" s="149"/>
      <c r="AC348" s="11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74"/>
      <c r="AR348" s="222"/>
    </row>
    <row r="349" spans="2:44" s="22" customFormat="1" ht="18" customHeight="1" x14ac:dyDescent="0.25">
      <c r="B349" s="145"/>
      <c r="C349" s="139"/>
      <c r="D349" s="146"/>
      <c r="E349" s="139"/>
      <c r="F349" s="139"/>
      <c r="G349" s="139"/>
      <c r="H349" s="139"/>
      <c r="I349" s="139"/>
      <c r="J349" s="139"/>
      <c r="K349" s="139"/>
      <c r="L349" s="243"/>
      <c r="M349" s="243"/>
      <c r="N349" s="139"/>
      <c r="O349" s="139"/>
      <c r="P349" s="139"/>
      <c r="Q349" s="147"/>
      <c r="R349" s="139"/>
      <c r="S349" s="139"/>
      <c r="T349" s="139"/>
      <c r="U349" s="139"/>
      <c r="V349" s="139"/>
      <c r="W349" s="139"/>
      <c r="X349" s="146"/>
      <c r="Y349" s="148"/>
      <c r="Z349" s="145"/>
      <c r="AA349" s="139"/>
      <c r="AB349" s="149"/>
      <c r="AC349" s="11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74"/>
      <c r="AR349" s="222"/>
    </row>
    <row r="350" spans="2:44" s="22" customFormat="1" ht="18" customHeight="1" x14ac:dyDescent="0.25">
      <c r="B350" s="145"/>
      <c r="C350" s="139"/>
      <c r="D350" s="146"/>
      <c r="E350" s="139"/>
      <c r="F350" s="139"/>
      <c r="G350" s="139"/>
      <c r="H350" s="139"/>
      <c r="I350" s="139"/>
      <c r="J350" s="139"/>
      <c r="K350" s="139"/>
      <c r="L350" s="243"/>
      <c r="M350" s="243"/>
      <c r="N350" s="139"/>
      <c r="O350" s="139"/>
      <c r="P350" s="139"/>
      <c r="Q350" s="147"/>
      <c r="R350" s="139"/>
      <c r="S350" s="139"/>
      <c r="T350" s="139"/>
      <c r="U350" s="139"/>
      <c r="V350" s="139"/>
      <c r="W350" s="139"/>
      <c r="X350" s="146"/>
      <c r="Y350" s="148"/>
      <c r="Z350" s="145"/>
      <c r="AA350" s="139"/>
      <c r="AB350" s="149"/>
      <c r="AC350" s="11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74"/>
      <c r="AR350" s="222"/>
    </row>
    <row r="351" spans="2:44" s="141" customFormat="1" ht="18" customHeight="1" x14ac:dyDescent="0.25">
      <c r="B351" s="145"/>
      <c r="C351" s="139"/>
      <c r="D351" s="146"/>
      <c r="E351" s="139"/>
      <c r="F351" s="139"/>
      <c r="G351" s="139"/>
      <c r="H351" s="139"/>
      <c r="I351" s="139"/>
      <c r="J351" s="139"/>
      <c r="K351" s="139"/>
      <c r="L351" s="243"/>
      <c r="M351" s="243"/>
      <c r="N351" s="139"/>
      <c r="O351" s="139"/>
      <c r="P351" s="139"/>
      <c r="Q351" s="147"/>
      <c r="R351" s="139"/>
      <c r="S351" s="139"/>
      <c r="T351" s="139"/>
      <c r="U351" s="139"/>
      <c r="V351" s="139"/>
      <c r="W351" s="139"/>
      <c r="X351" s="146"/>
      <c r="Y351" s="148"/>
      <c r="Z351" s="145"/>
      <c r="AA351" s="139"/>
      <c r="AB351" s="149"/>
      <c r="AC351" s="11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74"/>
      <c r="AR351" s="222"/>
    </row>
    <row r="352" spans="2:44" s="22" customFormat="1" ht="18" customHeight="1" x14ac:dyDescent="0.25">
      <c r="B352" s="145"/>
      <c r="C352" s="139"/>
      <c r="D352" s="146"/>
      <c r="E352" s="139"/>
      <c r="F352" s="139"/>
      <c r="G352" s="139"/>
      <c r="H352" s="139"/>
      <c r="I352" s="139"/>
      <c r="J352" s="139"/>
      <c r="K352" s="139"/>
      <c r="L352" s="243"/>
      <c r="M352" s="243"/>
      <c r="N352" s="139"/>
      <c r="O352" s="139"/>
      <c r="P352" s="139"/>
      <c r="Q352" s="147"/>
      <c r="R352" s="139"/>
      <c r="S352" s="139"/>
      <c r="T352" s="139"/>
      <c r="U352" s="139"/>
      <c r="V352" s="139"/>
      <c r="W352" s="139"/>
      <c r="X352" s="146"/>
      <c r="Y352" s="148"/>
      <c r="Z352" s="145"/>
      <c r="AA352" s="139"/>
      <c r="AB352" s="149"/>
      <c r="AC352" s="11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74"/>
      <c r="AR352" s="222"/>
    </row>
    <row r="353" spans="2:44" s="22" customFormat="1" ht="18" customHeight="1" x14ac:dyDescent="0.25">
      <c r="B353" s="145"/>
      <c r="C353" s="139"/>
      <c r="D353" s="146"/>
      <c r="E353" s="139"/>
      <c r="F353" s="139"/>
      <c r="G353" s="139"/>
      <c r="H353" s="139"/>
      <c r="I353" s="139"/>
      <c r="J353" s="139"/>
      <c r="K353" s="139"/>
      <c r="L353" s="243"/>
      <c r="M353" s="243"/>
      <c r="N353" s="139"/>
      <c r="O353" s="139"/>
      <c r="P353" s="139"/>
      <c r="Q353" s="147"/>
      <c r="R353" s="139"/>
      <c r="S353" s="139"/>
      <c r="T353" s="139"/>
      <c r="U353" s="139"/>
      <c r="V353" s="139"/>
      <c r="W353" s="139"/>
      <c r="X353" s="146"/>
      <c r="Y353" s="148"/>
      <c r="Z353" s="145"/>
      <c r="AA353" s="139"/>
      <c r="AB353" s="149"/>
      <c r="AC353" s="11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74"/>
      <c r="AR353" s="222"/>
    </row>
    <row r="354" spans="2:44" s="22" customFormat="1" ht="18" customHeight="1" x14ac:dyDescent="0.25">
      <c r="B354" s="145"/>
      <c r="C354" s="139"/>
      <c r="D354" s="146"/>
      <c r="E354" s="139"/>
      <c r="F354" s="139"/>
      <c r="G354" s="139"/>
      <c r="H354" s="139"/>
      <c r="I354" s="139"/>
      <c r="J354" s="139"/>
      <c r="K354" s="139"/>
      <c r="L354" s="243"/>
      <c r="M354" s="243"/>
      <c r="N354" s="139"/>
      <c r="O354" s="139"/>
      <c r="P354" s="139"/>
      <c r="Q354" s="147"/>
      <c r="R354" s="139"/>
      <c r="S354" s="139"/>
      <c r="T354" s="139"/>
      <c r="U354" s="139"/>
      <c r="V354" s="139"/>
      <c r="W354" s="139"/>
      <c r="X354" s="146"/>
      <c r="Y354" s="148"/>
      <c r="Z354" s="145"/>
      <c r="AA354" s="139"/>
      <c r="AB354" s="149"/>
      <c r="AC354" s="11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74"/>
      <c r="AR354" s="222"/>
    </row>
    <row r="355" spans="2:44" s="22" customFormat="1" ht="18" customHeight="1" x14ac:dyDescent="0.25">
      <c r="B355" s="145"/>
      <c r="C355" s="139"/>
      <c r="D355" s="146"/>
      <c r="E355" s="139"/>
      <c r="F355" s="139"/>
      <c r="G355" s="139"/>
      <c r="H355" s="139"/>
      <c r="I355" s="139"/>
      <c r="J355" s="139"/>
      <c r="K355" s="139"/>
      <c r="L355" s="243"/>
      <c r="M355" s="243"/>
      <c r="N355" s="139"/>
      <c r="O355" s="139"/>
      <c r="P355" s="139"/>
      <c r="Q355" s="147"/>
      <c r="R355" s="139"/>
      <c r="S355" s="139"/>
      <c r="T355" s="139"/>
      <c r="U355" s="139"/>
      <c r="V355" s="139"/>
      <c r="W355" s="139"/>
      <c r="X355" s="146"/>
      <c r="Y355" s="148"/>
      <c r="Z355" s="145"/>
      <c r="AA355" s="139"/>
      <c r="AB355" s="149"/>
      <c r="AC355" s="11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74"/>
      <c r="AR355" s="222"/>
    </row>
    <row r="356" spans="2:44" s="22" customFormat="1" ht="18" customHeight="1" x14ac:dyDescent="0.25">
      <c r="B356" s="145"/>
      <c r="C356" s="139"/>
      <c r="D356" s="146"/>
      <c r="E356" s="139"/>
      <c r="F356" s="139"/>
      <c r="G356" s="139"/>
      <c r="H356" s="139"/>
      <c r="I356" s="139"/>
      <c r="J356" s="139"/>
      <c r="K356" s="139"/>
      <c r="L356" s="243"/>
      <c r="M356" s="243"/>
      <c r="N356" s="139"/>
      <c r="O356" s="139"/>
      <c r="P356" s="139"/>
      <c r="Q356" s="147"/>
      <c r="R356" s="139"/>
      <c r="S356" s="139"/>
      <c r="T356" s="139"/>
      <c r="U356" s="139"/>
      <c r="V356" s="139"/>
      <c r="W356" s="139"/>
      <c r="X356" s="146"/>
      <c r="Y356" s="148"/>
      <c r="Z356" s="145"/>
      <c r="AA356" s="139"/>
      <c r="AB356" s="149"/>
      <c r="AC356" s="11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74"/>
      <c r="AR356" s="222"/>
    </row>
    <row r="357" spans="2:44" s="22" customFormat="1" ht="18" customHeight="1" x14ac:dyDescent="0.25">
      <c r="B357" s="145"/>
      <c r="C357" s="139"/>
      <c r="D357" s="146"/>
      <c r="E357" s="139"/>
      <c r="F357" s="139"/>
      <c r="G357" s="139"/>
      <c r="H357" s="139"/>
      <c r="I357" s="139"/>
      <c r="J357" s="139"/>
      <c r="K357" s="139"/>
      <c r="L357" s="243"/>
      <c r="M357" s="243"/>
      <c r="N357" s="139"/>
      <c r="O357" s="139"/>
      <c r="P357" s="139"/>
      <c r="Q357" s="147"/>
      <c r="R357" s="139"/>
      <c r="S357" s="139"/>
      <c r="T357" s="139"/>
      <c r="U357" s="139"/>
      <c r="V357" s="139"/>
      <c r="W357" s="139"/>
      <c r="X357" s="146"/>
      <c r="Y357" s="148"/>
      <c r="Z357" s="145"/>
      <c r="AA357" s="139"/>
      <c r="AB357" s="149"/>
      <c r="AC357" s="11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74"/>
      <c r="AR357" s="222"/>
    </row>
    <row r="358" spans="2:44" s="22" customFormat="1" ht="18" customHeight="1" x14ac:dyDescent="0.25">
      <c r="B358" s="145"/>
      <c r="C358" s="139"/>
      <c r="D358" s="146"/>
      <c r="E358" s="139"/>
      <c r="F358" s="139"/>
      <c r="G358" s="139"/>
      <c r="H358" s="139"/>
      <c r="I358" s="139"/>
      <c r="J358" s="139"/>
      <c r="K358" s="139"/>
      <c r="L358" s="243"/>
      <c r="M358" s="243"/>
      <c r="N358" s="139"/>
      <c r="O358" s="139"/>
      <c r="P358" s="139"/>
      <c r="Q358" s="147"/>
      <c r="R358" s="139"/>
      <c r="S358" s="139"/>
      <c r="T358" s="139"/>
      <c r="U358" s="139"/>
      <c r="V358" s="139"/>
      <c r="W358" s="139"/>
      <c r="X358" s="146"/>
      <c r="Y358" s="148"/>
      <c r="Z358" s="145"/>
      <c r="AA358" s="139"/>
      <c r="AB358" s="149"/>
      <c r="AC358" s="11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74"/>
      <c r="AR358" s="222"/>
    </row>
    <row r="359" spans="2:44" s="22" customFormat="1" ht="18" customHeight="1" x14ac:dyDescent="0.25">
      <c r="B359" s="145"/>
      <c r="C359" s="139"/>
      <c r="D359" s="146"/>
      <c r="E359" s="139"/>
      <c r="F359" s="139"/>
      <c r="G359" s="139"/>
      <c r="H359" s="139"/>
      <c r="I359" s="139"/>
      <c r="J359" s="139"/>
      <c r="K359" s="139"/>
      <c r="L359" s="243"/>
      <c r="M359" s="243"/>
      <c r="N359" s="139"/>
      <c r="O359" s="139"/>
      <c r="P359" s="139"/>
      <c r="Q359" s="147"/>
      <c r="R359" s="139"/>
      <c r="S359" s="139"/>
      <c r="T359" s="139"/>
      <c r="U359" s="139"/>
      <c r="V359" s="139"/>
      <c r="W359" s="139"/>
      <c r="X359" s="146"/>
      <c r="Y359" s="148"/>
      <c r="Z359" s="145"/>
      <c r="AA359" s="139"/>
      <c r="AB359" s="149"/>
      <c r="AC359" s="11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74"/>
      <c r="AR359" s="222"/>
    </row>
    <row r="360" spans="2:44" s="140" customFormat="1" ht="18" customHeight="1" x14ac:dyDescent="0.25">
      <c r="B360" s="145"/>
      <c r="C360" s="139"/>
      <c r="D360" s="146"/>
      <c r="E360" s="139"/>
      <c r="F360" s="139"/>
      <c r="G360" s="139"/>
      <c r="H360" s="139"/>
      <c r="I360" s="139"/>
      <c r="J360" s="139"/>
      <c r="K360" s="139"/>
      <c r="L360" s="243"/>
      <c r="M360" s="243"/>
      <c r="N360" s="139"/>
      <c r="O360" s="139"/>
      <c r="P360" s="139"/>
      <c r="Q360" s="147"/>
      <c r="R360" s="139"/>
      <c r="S360" s="139"/>
      <c r="T360" s="139"/>
      <c r="U360" s="139"/>
      <c r="V360" s="139"/>
      <c r="W360" s="139"/>
      <c r="X360" s="146"/>
      <c r="Y360" s="148"/>
      <c r="Z360" s="145"/>
      <c r="AA360" s="139"/>
      <c r="AB360" s="149"/>
      <c r="AC360" s="11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74"/>
      <c r="AR360" s="222"/>
    </row>
    <row r="361" spans="2:44" s="22" customFormat="1" ht="18" customHeight="1" x14ac:dyDescent="0.25">
      <c r="B361" s="145"/>
      <c r="C361" s="139"/>
      <c r="D361" s="146"/>
      <c r="E361" s="139"/>
      <c r="F361" s="139"/>
      <c r="G361" s="139"/>
      <c r="H361" s="139"/>
      <c r="I361" s="139"/>
      <c r="J361" s="139"/>
      <c r="K361" s="139"/>
      <c r="L361" s="243"/>
      <c r="M361" s="243"/>
      <c r="N361" s="139"/>
      <c r="O361" s="139"/>
      <c r="P361" s="139"/>
      <c r="Q361" s="147"/>
      <c r="R361" s="139"/>
      <c r="S361" s="139"/>
      <c r="T361" s="139"/>
      <c r="U361" s="139"/>
      <c r="V361" s="139"/>
      <c r="W361" s="139"/>
      <c r="X361" s="146"/>
      <c r="Y361" s="148"/>
      <c r="Z361" s="145"/>
      <c r="AA361" s="139"/>
      <c r="AB361" s="149"/>
      <c r="AC361" s="11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74"/>
      <c r="AR361" s="222"/>
    </row>
    <row r="362" spans="2:44" s="140" customFormat="1" ht="18" customHeight="1" x14ac:dyDescent="0.25">
      <c r="B362" s="145"/>
      <c r="C362" s="139"/>
      <c r="D362" s="146"/>
      <c r="E362" s="139"/>
      <c r="F362" s="139"/>
      <c r="G362" s="139"/>
      <c r="H362" s="139"/>
      <c r="I362" s="139"/>
      <c r="J362" s="139"/>
      <c r="K362" s="139"/>
      <c r="L362" s="243"/>
      <c r="M362" s="243"/>
      <c r="N362" s="139"/>
      <c r="O362" s="139"/>
      <c r="P362" s="139"/>
      <c r="Q362" s="147"/>
      <c r="R362" s="139"/>
      <c r="S362" s="139"/>
      <c r="T362" s="139"/>
      <c r="U362" s="139"/>
      <c r="V362" s="139"/>
      <c r="W362" s="139"/>
      <c r="X362" s="146"/>
      <c r="Y362" s="148"/>
      <c r="Z362" s="145"/>
      <c r="AA362" s="139"/>
      <c r="AB362" s="149"/>
      <c r="AC362" s="11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74"/>
      <c r="AR362" s="222"/>
    </row>
    <row r="363" spans="2:44" s="140" customFormat="1" ht="18" customHeight="1" x14ac:dyDescent="0.25">
      <c r="B363" s="145"/>
      <c r="C363" s="139"/>
      <c r="D363" s="146"/>
      <c r="E363" s="139"/>
      <c r="F363" s="139"/>
      <c r="G363" s="139"/>
      <c r="H363" s="139"/>
      <c r="I363" s="139"/>
      <c r="J363" s="139"/>
      <c r="K363" s="139"/>
      <c r="L363" s="243"/>
      <c r="M363" s="243"/>
      <c r="N363" s="139"/>
      <c r="O363" s="139"/>
      <c r="P363" s="139"/>
      <c r="Q363" s="147"/>
      <c r="R363" s="139"/>
      <c r="S363" s="139"/>
      <c r="T363" s="139"/>
      <c r="U363" s="139"/>
      <c r="V363" s="139"/>
      <c r="W363" s="139"/>
      <c r="X363" s="146"/>
      <c r="Y363" s="148"/>
      <c r="Z363" s="145"/>
      <c r="AA363" s="139"/>
      <c r="AB363" s="149"/>
      <c r="AC363" s="11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74"/>
      <c r="AR363" s="222"/>
    </row>
    <row r="364" spans="2:44" s="140" customFormat="1" ht="18" customHeight="1" x14ac:dyDescent="0.25">
      <c r="B364" s="145"/>
      <c r="C364" s="139"/>
      <c r="D364" s="146"/>
      <c r="E364" s="139"/>
      <c r="F364" s="139"/>
      <c r="G364" s="139"/>
      <c r="H364" s="139"/>
      <c r="I364" s="139"/>
      <c r="J364" s="139"/>
      <c r="K364" s="139"/>
      <c r="L364" s="243"/>
      <c r="M364" s="243"/>
      <c r="N364" s="139"/>
      <c r="O364" s="139"/>
      <c r="P364" s="139"/>
      <c r="Q364" s="147"/>
      <c r="R364" s="139"/>
      <c r="S364" s="139"/>
      <c r="T364" s="139"/>
      <c r="U364" s="139"/>
      <c r="V364" s="139"/>
      <c r="W364" s="139"/>
      <c r="X364" s="146"/>
      <c r="Y364" s="148"/>
      <c r="Z364" s="145"/>
      <c r="AA364" s="139"/>
      <c r="AB364" s="149"/>
      <c r="AC364" s="11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74"/>
      <c r="AR364" s="222"/>
    </row>
    <row r="365" spans="2:44" s="22" customFormat="1" ht="18" customHeight="1" x14ac:dyDescent="0.25">
      <c r="B365" s="145"/>
      <c r="C365" s="139"/>
      <c r="D365" s="146"/>
      <c r="E365" s="139"/>
      <c r="F365" s="139"/>
      <c r="G365" s="139"/>
      <c r="H365" s="139"/>
      <c r="I365" s="139"/>
      <c r="J365" s="139"/>
      <c r="K365" s="139"/>
      <c r="L365" s="243"/>
      <c r="M365" s="243"/>
      <c r="N365" s="139"/>
      <c r="O365" s="139"/>
      <c r="P365" s="139"/>
      <c r="Q365" s="147"/>
      <c r="R365" s="139"/>
      <c r="S365" s="139"/>
      <c r="T365" s="139"/>
      <c r="U365" s="139"/>
      <c r="V365" s="139"/>
      <c r="W365" s="139"/>
      <c r="X365" s="146"/>
      <c r="Y365" s="148"/>
      <c r="Z365" s="145"/>
      <c r="AA365" s="139"/>
      <c r="AB365" s="149"/>
      <c r="AC365" s="11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74"/>
      <c r="AR365" s="222"/>
    </row>
    <row r="366" spans="2:44" s="22" customFormat="1" ht="18" customHeight="1" x14ac:dyDescent="0.25">
      <c r="B366" s="145"/>
      <c r="C366" s="139"/>
      <c r="D366" s="146"/>
      <c r="E366" s="139"/>
      <c r="F366" s="139"/>
      <c r="G366" s="139"/>
      <c r="H366" s="139"/>
      <c r="I366" s="139"/>
      <c r="J366" s="139"/>
      <c r="K366" s="139"/>
      <c r="L366" s="243"/>
      <c r="M366" s="243"/>
      <c r="N366" s="139"/>
      <c r="O366" s="139"/>
      <c r="P366" s="139"/>
      <c r="Q366" s="147"/>
      <c r="R366" s="139"/>
      <c r="S366" s="139"/>
      <c r="T366" s="139"/>
      <c r="U366" s="139"/>
      <c r="V366" s="139"/>
      <c r="W366" s="139"/>
      <c r="X366" s="146"/>
      <c r="Y366" s="148"/>
      <c r="Z366" s="145"/>
      <c r="AA366" s="139"/>
      <c r="AB366" s="149"/>
      <c r="AC366" s="11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74"/>
      <c r="AR366" s="222"/>
    </row>
    <row r="367" spans="2:44" s="22" customFormat="1" ht="18" customHeight="1" x14ac:dyDescent="0.25">
      <c r="B367" s="145"/>
      <c r="C367" s="139"/>
      <c r="D367" s="146"/>
      <c r="E367" s="139"/>
      <c r="F367" s="139"/>
      <c r="G367" s="139"/>
      <c r="H367" s="139"/>
      <c r="I367" s="139"/>
      <c r="J367" s="139"/>
      <c r="K367" s="139"/>
      <c r="L367" s="243"/>
      <c r="M367" s="243"/>
      <c r="N367" s="139"/>
      <c r="O367" s="139"/>
      <c r="P367" s="139"/>
      <c r="Q367" s="147"/>
      <c r="R367" s="139"/>
      <c r="S367" s="139"/>
      <c r="T367" s="139"/>
      <c r="U367" s="139"/>
      <c r="V367" s="139"/>
      <c r="W367" s="139"/>
      <c r="X367" s="146"/>
      <c r="Y367" s="148"/>
      <c r="Z367" s="145"/>
      <c r="AA367" s="139"/>
      <c r="AB367" s="149"/>
      <c r="AC367" s="11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74"/>
      <c r="AR367" s="222"/>
    </row>
    <row r="368" spans="2:44" s="22" customFormat="1" ht="18" customHeight="1" x14ac:dyDescent="0.25">
      <c r="B368" s="145"/>
      <c r="C368" s="139"/>
      <c r="D368" s="146"/>
      <c r="E368" s="139"/>
      <c r="F368" s="139"/>
      <c r="G368" s="139"/>
      <c r="H368" s="139"/>
      <c r="I368" s="139"/>
      <c r="J368" s="139"/>
      <c r="K368" s="139"/>
      <c r="L368" s="243"/>
      <c r="M368" s="243"/>
      <c r="N368" s="139"/>
      <c r="O368" s="139"/>
      <c r="P368" s="139"/>
      <c r="Q368" s="147"/>
      <c r="R368" s="139"/>
      <c r="S368" s="139"/>
      <c r="T368" s="139"/>
      <c r="U368" s="139"/>
      <c r="V368" s="139"/>
      <c r="W368" s="139"/>
      <c r="X368" s="146"/>
      <c r="Y368" s="148"/>
      <c r="Z368" s="145"/>
      <c r="AA368" s="139"/>
      <c r="AB368" s="149"/>
      <c r="AC368" s="11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74"/>
      <c r="AR368" s="222"/>
    </row>
    <row r="369" spans="1:44" s="140" customFormat="1" ht="18" customHeight="1" x14ac:dyDescent="0.25">
      <c r="B369" s="145"/>
      <c r="C369" s="139"/>
      <c r="D369" s="146"/>
      <c r="E369" s="139"/>
      <c r="F369" s="139"/>
      <c r="G369" s="139"/>
      <c r="H369" s="139"/>
      <c r="I369" s="139"/>
      <c r="J369" s="139"/>
      <c r="K369" s="139"/>
      <c r="L369" s="243"/>
      <c r="M369" s="243"/>
      <c r="N369" s="139"/>
      <c r="O369" s="139"/>
      <c r="P369" s="139"/>
      <c r="Q369" s="147"/>
      <c r="R369" s="139"/>
      <c r="S369" s="139"/>
      <c r="T369" s="139"/>
      <c r="U369" s="139"/>
      <c r="V369" s="139"/>
      <c r="W369" s="139"/>
      <c r="X369" s="146"/>
      <c r="Y369" s="148"/>
      <c r="Z369" s="145"/>
      <c r="AA369" s="139"/>
      <c r="AB369" s="149"/>
      <c r="AC369" s="11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74"/>
      <c r="AR369" s="222"/>
    </row>
    <row r="370" spans="1:44" s="140" customFormat="1" ht="18" customHeight="1" x14ac:dyDescent="0.25">
      <c r="B370" s="145"/>
      <c r="C370" s="139"/>
      <c r="D370" s="146"/>
      <c r="E370" s="139"/>
      <c r="F370" s="139"/>
      <c r="G370" s="139"/>
      <c r="H370" s="139"/>
      <c r="I370" s="139"/>
      <c r="J370" s="139"/>
      <c r="K370" s="139"/>
      <c r="L370" s="243"/>
      <c r="M370" s="243"/>
      <c r="N370" s="139"/>
      <c r="O370" s="139"/>
      <c r="P370" s="139"/>
      <c r="Q370" s="147"/>
      <c r="R370" s="139"/>
      <c r="S370" s="139"/>
      <c r="T370" s="139"/>
      <c r="U370" s="139"/>
      <c r="V370" s="139"/>
      <c r="W370" s="139"/>
      <c r="X370" s="146"/>
      <c r="Y370" s="148"/>
      <c r="Z370" s="145"/>
      <c r="AA370" s="139"/>
      <c r="AB370" s="149"/>
      <c r="AC370" s="11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74"/>
      <c r="AR370" s="222"/>
    </row>
    <row r="371" spans="1:44" s="22" customFormat="1" ht="18" customHeight="1" x14ac:dyDescent="0.25">
      <c r="B371" s="145"/>
      <c r="C371" s="139"/>
      <c r="D371" s="146"/>
      <c r="E371" s="139"/>
      <c r="F371" s="139"/>
      <c r="G371" s="139"/>
      <c r="H371" s="139"/>
      <c r="I371" s="139"/>
      <c r="J371" s="139"/>
      <c r="K371" s="139"/>
      <c r="L371" s="243"/>
      <c r="M371" s="243"/>
      <c r="N371" s="139"/>
      <c r="O371" s="139"/>
      <c r="P371" s="139"/>
      <c r="Q371" s="147"/>
      <c r="R371" s="139"/>
      <c r="S371" s="139"/>
      <c r="T371" s="139"/>
      <c r="U371" s="139"/>
      <c r="V371" s="139"/>
      <c r="W371" s="139"/>
      <c r="X371" s="146"/>
      <c r="Y371" s="148"/>
      <c r="Z371" s="145"/>
      <c r="AA371" s="139"/>
      <c r="AB371" s="149"/>
      <c r="AC371" s="11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74"/>
      <c r="AR371" s="222"/>
    </row>
    <row r="372" spans="1:44" s="22" customFormat="1" ht="18" customHeight="1" x14ac:dyDescent="0.25">
      <c r="B372" s="145"/>
      <c r="C372" s="139"/>
      <c r="D372" s="146"/>
      <c r="E372" s="139"/>
      <c r="F372" s="139"/>
      <c r="G372" s="139"/>
      <c r="H372" s="139"/>
      <c r="I372" s="139"/>
      <c r="J372" s="139"/>
      <c r="K372" s="139"/>
      <c r="L372" s="243"/>
      <c r="M372" s="243"/>
      <c r="N372" s="139"/>
      <c r="O372" s="139"/>
      <c r="P372" s="139"/>
      <c r="Q372" s="147"/>
      <c r="R372" s="139"/>
      <c r="S372" s="139"/>
      <c r="T372" s="139"/>
      <c r="U372" s="139"/>
      <c r="V372" s="139"/>
      <c r="W372" s="139"/>
      <c r="X372" s="146"/>
      <c r="Y372" s="148"/>
      <c r="Z372" s="145"/>
      <c r="AA372" s="139"/>
      <c r="AB372" s="149"/>
      <c r="AC372" s="11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74"/>
      <c r="AR372" s="222"/>
    </row>
    <row r="373" spans="1:44" s="140" customFormat="1" ht="18" customHeight="1" x14ac:dyDescent="0.25">
      <c r="B373" s="145"/>
      <c r="C373" s="139"/>
      <c r="D373" s="146"/>
      <c r="E373" s="139"/>
      <c r="F373" s="139"/>
      <c r="G373" s="139"/>
      <c r="H373" s="139"/>
      <c r="I373" s="139"/>
      <c r="J373" s="139"/>
      <c r="K373" s="139"/>
      <c r="L373" s="243"/>
      <c r="M373" s="243"/>
      <c r="N373" s="139"/>
      <c r="O373" s="139"/>
      <c r="P373" s="139"/>
      <c r="Q373" s="147"/>
      <c r="R373" s="139"/>
      <c r="S373" s="139"/>
      <c r="T373" s="139"/>
      <c r="U373" s="139"/>
      <c r="V373" s="139"/>
      <c r="W373" s="139"/>
      <c r="X373" s="146"/>
      <c r="Y373" s="148"/>
      <c r="Z373" s="145"/>
      <c r="AA373" s="139"/>
      <c r="AB373" s="149"/>
      <c r="AC373" s="11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74"/>
      <c r="AR373" s="222"/>
    </row>
    <row r="374" spans="1:44" s="22" customFormat="1" ht="18" customHeight="1" x14ac:dyDescent="0.25">
      <c r="A374" s="22" t="s">
        <v>220</v>
      </c>
      <c r="B374" s="145"/>
      <c r="C374" s="139"/>
      <c r="D374" s="146"/>
      <c r="E374" s="139"/>
      <c r="F374" s="139"/>
      <c r="G374" s="139"/>
      <c r="H374" s="139"/>
      <c r="I374" s="139"/>
      <c r="J374" s="139"/>
      <c r="K374" s="139"/>
      <c r="L374" s="243"/>
      <c r="M374" s="243"/>
      <c r="N374" s="139"/>
      <c r="O374" s="139"/>
      <c r="P374" s="139"/>
      <c r="Q374" s="147"/>
      <c r="R374" s="139"/>
      <c r="S374" s="139"/>
      <c r="T374" s="139"/>
      <c r="U374" s="139"/>
      <c r="V374" s="139"/>
      <c r="W374" s="139"/>
      <c r="X374" s="146"/>
      <c r="Y374" s="148"/>
      <c r="Z374" s="145"/>
      <c r="AA374" s="139"/>
      <c r="AB374" s="149"/>
      <c r="AC374" s="11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74"/>
      <c r="AR374" s="222"/>
    </row>
    <row r="375" spans="1:44" s="22" customFormat="1" ht="18" customHeight="1" x14ac:dyDescent="0.25">
      <c r="B375" s="145"/>
      <c r="C375" s="139"/>
      <c r="D375" s="146"/>
      <c r="E375" s="139"/>
      <c r="F375" s="139"/>
      <c r="G375" s="139"/>
      <c r="H375" s="139"/>
      <c r="I375" s="139"/>
      <c r="J375" s="139"/>
      <c r="K375" s="139"/>
      <c r="L375" s="243"/>
      <c r="M375" s="243"/>
      <c r="N375" s="139"/>
      <c r="O375" s="139"/>
      <c r="P375" s="139"/>
      <c r="Q375" s="147"/>
      <c r="R375" s="139"/>
      <c r="S375" s="139"/>
      <c r="T375" s="139"/>
      <c r="U375" s="139"/>
      <c r="V375" s="139"/>
      <c r="W375" s="139"/>
      <c r="X375" s="146"/>
      <c r="Y375" s="148"/>
      <c r="Z375" s="145"/>
      <c r="AA375" s="139"/>
      <c r="AB375" s="149"/>
      <c r="AC375" s="11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74"/>
      <c r="AR375" s="222"/>
    </row>
    <row r="376" spans="1:44" s="22" customFormat="1" ht="18" customHeight="1" x14ac:dyDescent="0.25">
      <c r="B376" s="145"/>
      <c r="C376" s="139"/>
      <c r="D376" s="146"/>
      <c r="E376" s="139"/>
      <c r="F376" s="139"/>
      <c r="G376" s="139"/>
      <c r="H376" s="139"/>
      <c r="I376" s="139"/>
      <c r="J376" s="139"/>
      <c r="K376" s="139"/>
      <c r="L376" s="243"/>
      <c r="M376" s="243"/>
      <c r="N376" s="139"/>
      <c r="O376" s="139"/>
      <c r="P376" s="139"/>
      <c r="Q376" s="147"/>
      <c r="R376" s="139"/>
      <c r="S376" s="139"/>
      <c r="T376" s="139"/>
      <c r="U376" s="139"/>
      <c r="V376" s="139"/>
      <c r="W376" s="139"/>
      <c r="X376" s="146"/>
      <c r="Y376" s="148"/>
      <c r="Z376" s="145"/>
      <c r="AA376" s="139"/>
      <c r="AB376" s="149"/>
      <c r="AC376" s="11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74"/>
      <c r="AR376" s="222"/>
    </row>
    <row r="377" spans="1:44" s="22" customFormat="1" ht="18" customHeight="1" x14ac:dyDescent="0.25">
      <c r="B377" s="145"/>
      <c r="C377" s="139"/>
      <c r="D377" s="146"/>
      <c r="E377" s="139"/>
      <c r="F377" s="139"/>
      <c r="G377" s="139"/>
      <c r="H377" s="139"/>
      <c r="I377" s="139"/>
      <c r="J377" s="139"/>
      <c r="K377" s="139"/>
      <c r="L377" s="243"/>
      <c r="M377" s="243"/>
      <c r="N377" s="139"/>
      <c r="O377" s="139"/>
      <c r="P377" s="139"/>
      <c r="Q377" s="147"/>
      <c r="R377" s="139"/>
      <c r="S377" s="139"/>
      <c r="T377" s="139"/>
      <c r="U377" s="139"/>
      <c r="V377" s="139"/>
      <c r="W377" s="139"/>
      <c r="X377" s="146"/>
      <c r="Y377" s="148"/>
      <c r="Z377" s="145"/>
      <c r="AA377" s="139"/>
      <c r="AB377" s="149"/>
      <c r="AC377" s="11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74"/>
      <c r="AR377" s="222"/>
    </row>
    <row r="378" spans="1:44" s="22" customFormat="1" ht="18" customHeight="1" x14ac:dyDescent="0.25">
      <c r="B378" s="145"/>
      <c r="C378" s="139"/>
      <c r="D378" s="146"/>
      <c r="E378" s="139"/>
      <c r="F378" s="139"/>
      <c r="G378" s="139"/>
      <c r="H378" s="139"/>
      <c r="I378" s="139"/>
      <c r="J378" s="139"/>
      <c r="K378" s="139"/>
      <c r="L378" s="243"/>
      <c r="M378" s="243"/>
      <c r="N378" s="139"/>
      <c r="O378" s="139"/>
      <c r="P378" s="139"/>
      <c r="Q378" s="147"/>
      <c r="R378" s="139"/>
      <c r="S378" s="139"/>
      <c r="T378" s="139"/>
      <c r="U378" s="139"/>
      <c r="V378" s="139"/>
      <c r="W378" s="139"/>
      <c r="X378" s="146"/>
      <c r="Y378" s="148"/>
      <c r="Z378" s="145"/>
      <c r="AA378" s="139"/>
      <c r="AB378" s="149"/>
      <c r="AC378" s="11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74"/>
      <c r="AR378" s="222"/>
    </row>
    <row r="379" spans="1:44" s="22" customFormat="1" ht="18" customHeight="1" x14ac:dyDescent="0.25">
      <c r="B379" s="145"/>
      <c r="C379" s="139"/>
      <c r="D379" s="146"/>
      <c r="E379" s="139"/>
      <c r="F379" s="139"/>
      <c r="G379" s="139"/>
      <c r="H379" s="139"/>
      <c r="I379" s="139"/>
      <c r="J379" s="139"/>
      <c r="K379" s="139"/>
      <c r="L379" s="243"/>
      <c r="M379" s="243"/>
      <c r="N379" s="139"/>
      <c r="O379" s="139"/>
      <c r="P379" s="139"/>
      <c r="Q379" s="147"/>
      <c r="R379" s="139"/>
      <c r="S379" s="139"/>
      <c r="T379" s="139"/>
      <c r="U379" s="139"/>
      <c r="V379" s="139"/>
      <c r="W379" s="139"/>
      <c r="X379" s="146"/>
      <c r="Y379" s="148"/>
      <c r="Z379" s="145"/>
      <c r="AA379" s="139"/>
      <c r="AB379" s="149"/>
      <c r="AC379" s="11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74"/>
      <c r="AR379" s="222"/>
    </row>
    <row r="380" spans="1:44" s="22" customFormat="1" ht="18" customHeight="1" x14ac:dyDescent="0.25">
      <c r="B380" s="145"/>
      <c r="C380" s="139"/>
      <c r="D380" s="146"/>
      <c r="E380" s="139"/>
      <c r="F380" s="139"/>
      <c r="G380" s="139"/>
      <c r="H380" s="139"/>
      <c r="I380" s="139"/>
      <c r="J380" s="139"/>
      <c r="K380" s="139"/>
      <c r="L380" s="243"/>
      <c r="M380" s="243"/>
      <c r="N380" s="139"/>
      <c r="O380" s="139"/>
      <c r="P380" s="139"/>
      <c r="Q380" s="147"/>
      <c r="R380" s="139"/>
      <c r="S380" s="139"/>
      <c r="T380" s="139"/>
      <c r="U380" s="139"/>
      <c r="V380" s="139"/>
      <c r="W380" s="139"/>
      <c r="X380" s="146"/>
      <c r="Y380" s="148"/>
      <c r="Z380" s="145"/>
      <c r="AA380" s="139"/>
      <c r="AB380" s="149"/>
      <c r="AC380" s="11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74"/>
      <c r="AR380" s="222"/>
    </row>
    <row r="381" spans="1:44" s="141" customFormat="1" ht="18" customHeight="1" x14ac:dyDescent="0.25">
      <c r="B381" s="145"/>
      <c r="C381" s="139"/>
      <c r="D381" s="146"/>
      <c r="E381" s="139"/>
      <c r="F381" s="139"/>
      <c r="G381" s="139"/>
      <c r="H381" s="139"/>
      <c r="I381" s="139"/>
      <c r="J381" s="139"/>
      <c r="K381" s="139"/>
      <c r="L381" s="243"/>
      <c r="M381" s="243"/>
      <c r="N381" s="139"/>
      <c r="O381" s="139"/>
      <c r="P381" s="139"/>
      <c r="Q381" s="147"/>
      <c r="R381" s="139"/>
      <c r="S381" s="139"/>
      <c r="T381" s="139"/>
      <c r="U381" s="139"/>
      <c r="V381" s="139"/>
      <c r="W381" s="139"/>
      <c r="X381" s="146"/>
      <c r="Y381" s="148"/>
      <c r="Z381" s="145"/>
      <c r="AA381" s="139"/>
      <c r="AB381" s="149"/>
      <c r="AC381" s="11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74"/>
      <c r="AR381" s="222"/>
    </row>
    <row r="382" spans="1:44" s="22" customFormat="1" ht="18" customHeight="1" x14ac:dyDescent="0.25">
      <c r="B382" s="145"/>
      <c r="C382" s="139"/>
      <c r="D382" s="146"/>
      <c r="E382" s="139"/>
      <c r="F382" s="139"/>
      <c r="G382" s="139"/>
      <c r="H382" s="139"/>
      <c r="I382" s="139"/>
      <c r="J382" s="139"/>
      <c r="K382" s="139"/>
      <c r="L382" s="243"/>
      <c r="M382" s="243"/>
      <c r="N382" s="139"/>
      <c r="O382" s="139"/>
      <c r="P382" s="139"/>
      <c r="Q382" s="147"/>
      <c r="R382" s="139"/>
      <c r="S382" s="139"/>
      <c r="T382" s="139"/>
      <c r="U382" s="139"/>
      <c r="V382" s="139"/>
      <c r="W382" s="139"/>
      <c r="X382" s="146"/>
      <c r="Y382" s="148"/>
      <c r="Z382" s="145"/>
      <c r="AA382" s="139"/>
      <c r="AB382" s="149"/>
      <c r="AC382" s="11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74"/>
      <c r="AR382" s="222"/>
    </row>
    <row r="383" spans="1:44" s="22" customFormat="1" ht="18" customHeight="1" x14ac:dyDescent="0.25">
      <c r="B383" s="145"/>
      <c r="C383" s="139"/>
      <c r="D383" s="146"/>
      <c r="E383" s="139"/>
      <c r="F383" s="139"/>
      <c r="G383" s="139"/>
      <c r="H383" s="139"/>
      <c r="I383" s="139"/>
      <c r="J383" s="139"/>
      <c r="K383" s="139"/>
      <c r="L383" s="243"/>
      <c r="M383" s="243"/>
      <c r="N383" s="139"/>
      <c r="O383" s="139"/>
      <c r="P383" s="139"/>
      <c r="Q383" s="147"/>
      <c r="R383" s="139"/>
      <c r="S383" s="139"/>
      <c r="T383" s="139"/>
      <c r="U383" s="139"/>
      <c r="V383" s="139"/>
      <c r="W383" s="139"/>
      <c r="X383" s="146"/>
      <c r="Y383" s="148"/>
      <c r="Z383" s="145"/>
      <c r="AA383" s="139"/>
      <c r="AB383" s="149"/>
      <c r="AC383" s="11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74"/>
      <c r="AR383" s="222"/>
    </row>
    <row r="384" spans="1:44" s="22" customFormat="1" ht="18" customHeight="1" x14ac:dyDescent="0.25">
      <c r="B384" s="145"/>
      <c r="C384" s="139"/>
      <c r="D384" s="146"/>
      <c r="E384" s="139"/>
      <c r="F384" s="139"/>
      <c r="G384" s="139"/>
      <c r="H384" s="139"/>
      <c r="I384" s="139"/>
      <c r="J384" s="139"/>
      <c r="K384" s="139"/>
      <c r="L384" s="243"/>
      <c r="M384" s="243"/>
      <c r="N384" s="139"/>
      <c r="O384" s="139"/>
      <c r="P384" s="139"/>
      <c r="Q384" s="147"/>
      <c r="R384" s="139"/>
      <c r="S384" s="139"/>
      <c r="T384" s="139"/>
      <c r="U384" s="139"/>
      <c r="V384" s="139"/>
      <c r="W384" s="139"/>
      <c r="X384" s="146"/>
      <c r="Y384" s="148"/>
      <c r="Z384" s="145"/>
      <c r="AA384" s="139"/>
      <c r="AB384" s="149"/>
      <c r="AC384" s="11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74"/>
      <c r="AR384" s="222"/>
    </row>
    <row r="385" spans="2:44" s="22" customFormat="1" ht="18" customHeight="1" x14ac:dyDescent="0.25">
      <c r="B385" s="145"/>
      <c r="C385" s="139"/>
      <c r="D385" s="146"/>
      <c r="E385" s="139"/>
      <c r="F385" s="139"/>
      <c r="G385" s="139"/>
      <c r="H385" s="139"/>
      <c r="I385" s="139"/>
      <c r="J385" s="139"/>
      <c r="K385" s="139"/>
      <c r="L385" s="243"/>
      <c r="M385" s="243"/>
      <c r="N385" s="139"/>
      <c r="O385" s="139"/>
      <c r="P385" s="139"/>
      <c r="Q385" s="147"/>
      <c r="R385" s="139"/>
      <c r="S385" s="139"/>
      <c r="T385" s="139"/>
      <c r="U385" s="139"/>
      <c r="V385" s="139"/>
      <c r="W385" s="139"/>
      <c r="X385" s="146"/>
      <c r="Y385" s="148"/>
      <c r="Z385" s="145"/>
      <c r="AA385" s="139"/>
      <c r="AB385" s="149"/>
      <c r="AC385" s="11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74"/>
      <c r="AR385" s="222"/>
    </row>
    <row r="386" spans="2:44" s="22" customFormat="1" ht="18" customHeight="1" x14ac:dyDescent="0.25">
      <c r="B386" s="145"/>
      <c r="C386" s="139"/>
      <c r="D386" s="146"/>
      <c r="E386" s="139"/>
      <c r="F386" s="139"/>
      <c r="G386" s="139"/>
      <c r="H386" s="139"/>
      <c r="I386" s="139"/>
      <c r="J386" s="139"/>
      <c r="K386" s="139"/>
      <c r="L386" s="243"/>
      <c r="M386" s="243"/>
      <c r="N386" s="139"/>
      <c r="O386" s="139"/>
      <c r="P386" s="139"/>
      <c r="Q386" s="147"/>
      <c r="R386" s="139"/>
      <c r="S386" s="139"/>
      <c r="T386" s="139"/>
      <c r="U386" s="139"/>
      <c r="V386" s="139"/>
      <c r="W386" s="139"/>
      <c r="X386" s="146"/>
      <c r="Y386" s="148"/>
      <c r="Z386" s="145"/>
      <c r="AA386" s="139"/>
      <c r="AB386" s="149"/>
      <c r="AC386" s="11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74"/>
      <c r="AR386" s="222"/>
    </row>
    <row r="387" spans="2:44" s="22" customFormat="1" ht="18" customHeight="1" x14ac:dyDescent="0.25">
      <c r="B387" s="145"/>
      <c r="C387" s="139"/>
      <c r="D387" s="146"/>
      <c r="E387" s="139"/>
      <c r="F387" s="139"/>
      <c r="G387" s="139"/>
      <c r="H387" s="139"/>
      <c r="I387" s="139"/>
      <c r="J387" s="139"/>
      <c r="K387" s="139"/>
      <c r="L387" s="243"/>
      <c r="M387" s="243"/>
      <c r="N387" s="139"/>
      <c r="O387" s="139"/>
      <c r="P387" s="139"/>
      <c r="Q387" s="147"/>
      <c r="R387" s="139"/>
      <c r="S387" s="139"/>
      <c r="T387" s="139"/>
      <c r="U387" s="139"/>
      <c r="V387" s="139"/>
      <c r="W387" s="139"/>
      <c r="X387" s="146"/>
      <c r="Y387" s="148"/>
      <c r="Z387" s="145"/>
      <c r="AA387" s="139"/>
      <c r="AB387" s="149"/>
      <c r="AC387" s="11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74"/>
      <c r="AR387" s="222"/>
    </row>
    <row r="388" spans="2:44" s="22" customFormat="1" ht="18" customHeight="1" x14ac:dyDescent="0.25">
      <c r="B388" s="145"/>
      <c r="C388" s="139"/>
      <c r="D388" s="146"/>
      <c r="E388" s="139"/>
      <c r="F388" s="139"/>
      <c r="G388" s="139"/>
      <c r="H388" s="139"/>
      <c r="I388" s="139"/>
      <c r="J388" s="139"/>
      <c r="K388" s="139"/>
      <c r="L388" s="243"/>
      <c r="M388" s="243"/>
      <c r="N388" s="139"/>
      <c r="O388" s="139"/>
      <c r="P388" s="139"/>
      <c r="Q388" s="147"/>
      <c r="R388" s="139"/>
      <c r="S388" s="139"/>
      <c r="T388" s="139"/>
      <c r="U388" s="139"/>
      <c r="V388" s="139"/>
      <c r="W388" s="139"/>
      <c r="X388" s="146"/>
      <c r="Y388" s="148"/>
      <c r="Z388" s="145"/>
      <c r="AA388" s="139"/>
      <c r="AB388" s="149"/>
      <c r="AC388" s="11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74"/>
      <c r="AR388" s="222"/>
    </row>
    <row r="389" spans="2:44" s="22" customFormat="1" ht="18" customHeight="1" x14ac:dyDescent="0.25">
      <c r="B389" s="145"/>
      <c r="C389" s="139"/>
      <c r="D389" s="146"/>
      <c r="E389" s="139"/>
      <c r="F389" s="139"/>
      <c r="G389" s="139"/>
      <c r="H389" s="139"/>
      <c r="I389" s="139"/>
      <c r="J389" s="139"/>
      <c r="K389" s="139"/>
      <c r="L389" s="243"/>
      <c r="M389" s="243"/>
      <c r="N389" s="139"/>
      <c r="O389" s="139"/>
      <c r="P389" s="139"/>
      <c r="Q389" s="147"/>
      <c r="R389" s="139"/>
      <c r="S389" s="139"/>
      <c r="T389" s="139"/>
      <c r="U389" s="139"/>
      <c r="V389" s="139"/>
      <c r="W389" s="139"/>
      <c r="X389" s="146"/>
      <c r="Y389" s="148"/>
      <c r="Z389" s="145"/>
      <c r="AA389" s="139"/>
      <c r="AB389" s="149"/>
      <c r="AC389" s="11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74"/>
      <c r="AR389" s="222"/>
    </row>
    <row r="390" spans="2:44" s="22" customFormat="1" ht="18" customHeight="1" x14ac:dyDescent="0.25">
      <c r="B390" s="145"/>
      <c r="C390" s="139"/>
      <c r="D390" s="146"/>
      <c r="E390" s="139"/>
      <c r="F390" s="139"/>
      <c r="G390" s="139"/>
      <c r="H390" s="139"/>
      <c r="I390" s="139"/>
      <c r="J390" s="139"/>
      <c r="K390" s="139"/>
      <c r="L390" s="243"/>
      <c r="M390" s="243"/>
      <c r="N390" s="139"/>
      <c r="O390" s="139"/>
      <c r="P390" s="139"/>
      <c r="Q390" s="147"/>
      <c r="R390" s="139"/>
      <c r="S390" s="139"/>
      <c r="T390" s="139"/>
      <c r="U390" s="139"/>
      <c r="V390" s="139"/>
      <c r="W390" s="139"/>
      <c r="X390" s="146"/>
      <c r="Y390" s="148"/>
      <c r="Z390" s="145"/>
      <c r="AA390" s="139"/>
      <c r="AB390" s="149"/>
      <c r="AC390" s="11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74"/>
      <c r="AR390" s="222"/>
    </row>
    <row r="391" spans="2:44" s="22" customFormat="1" ht="18" customHeight="1" x14ac:dyDescent="0.25">
      <c r="B391" s="145"/>
      <c r="C391" s="139"/>
      <c r="D391" s="146"/>
      <c r="E391" s="139"/>
      <c r="F391" s="139"/>
      <c r="G391" s="139"/>
      <c r="H391" s="139"/>
      <c r="I391" s="139"/>
      <c r="J391" s="139"/>
      <c r="K391" s="139"/>
      <c r="L391" s="243"/>
      <c r="M391" s="243"/>
      <c r="N391" s="139"/>
      <c r="O391" s="139"/>
      <c r="P391" s="139"/>
      <c r="Q391" s="147"/>
      <c r="R391" s="139"/>
      <c r="S391" s="139"/>
      <c r="T391" s="139"/>
      <c r="U391" s="139"/>
      <c r="V391" s="139"/>
      <c r="W391" s="139"/>
      <c r="X391" s="146"/>
      <c r="Y391" s="148"/>
      <c r="Z391" s="145"/>
      <c r="AA391" s="139"/>
      <c r="AB391" s="149"/>
      <c r="AC391" s="11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74"/>
      <c r="AR391" s="222"/>
    </row>
    <row r="392" spans="2:44" s="22" customFormat="1" ht="18" customHeight="1" x14ac:dyDescent="0.25">
      <c r="B392" s="145"/>
      <c r="C392" s="139"/>
      <c r="D392" s="146"/>
      <c r="E392" s="139"/>
      <c r="F392" s="139"/>
      <c r="G392" s="139"/>
      <c r="H392" s="139"/>
      <c r="I392" s="139"/>
      <c r="J392" s="139"/>
      <c r="K392" s="139"/>
      <c r="L392" s="243"/>
      <c r="M392" s="243"/>
      <c r="N392" s="139"/>
      <c r="O392" s="139"/>
      <c r="P392" s="139"/>
      <c r="Q392" s="147"/>
      <c r="R392" s="139"/>
      <c r="S392" s="139"/>
      <c r="T392" s="139"/>
      <c r="U392" s="139"/>
      <c r="V392" s="139"/>
      <c r="W392" s="139"/>
      <c r="X392" s="146"/>
      <c r="Y392" s="148"/>
      <c r="Z392" s="145"/>
      <c r="AA392" s="139"/>
      <c r="AB392" s="149"/>
      <c r="AC392" s="11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74"/>
      <c r="AR392" s="222"/>
    </row>
    <row r="393" spans="2:44" s="22" customFormat="1" ht="18" customHeight="1" x14ac:dyDescent="0.25">
      <c r="B393" s="145"/>
      <c r="C393" s="139"/>
      <c r="D393" s="146"/>
      <c r="E393" s="139"/>
      <c r="F393" s="139"/>
      <c r="G393" s="139"/>
      <c r="H393" s="139"/>
      <c r="I393" s="139"/>
      <c r="J393" s="139"/>
      <c r="K393" s="139"/>
      <c r="L393" s="243"/>
      <c r="M393" s="243"/>
      <c r="N393" s="139"/>
      <c r="O393" s="139"/>
      <c r="P393" s="139"/>
      <c r="Q393" s="147"/>
      <c r="R393" s="139"/>
      <c r="S393" s="139"/>
      <c r="T393" s="139"/>
      <c r="U393" s="139"/>
      <c r="V393" s="139"/>
      <c r="W393" s="139"/>
      <c r="X393" s="146"/>
      <c r="Y393" s="148"/>
      <c r="Z393" s="145"/>
      <c r="AA393" s="139"/>
      <c r="AB393" s="149"/>
      <c r="AC393" s="11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74"/>
      <c r="AR393" s="222"/>
    </row>
    <row r="394" spans="2:44" s="22" customFormat="1" ht="18" customHeight="1" x14ac:dyDescent="0.25">
      <c r="B394" s="145"/>
      <c r="C394" s="139"/>
      <c r="D394" s="146"/>
      <c r="E394" s="139"/>
      <c r="F394" s="139"/>
      <c r="G394" s="139"/>
      <c r="H394" s="139"/>
      <c r="I394" s="139"/>
      <c r="J394" s="139"/>
      <c r="K394" s="139"/>
      <c r="L394" s="243"/>
      <c r="M394" s="243"/>
      <c r="N394" s="139"/>
      <c r="O394" s="139"/>
      <c r="P394" s="139"/>
      <c r="Q394" s="147"/>
      <c r="R394" s="139"/>
      <c r="S394" s="139"/>
      <c r="T394" s="139"/>
      <c r="U394" s="139"/>
      <c r="V394" s="139"/>
      <c r="W394" s="139"/>
      <c r="X394" s="146"/>
      <c r="Y394" s="148"/>
      <c r="Z394" s="145"/>
      <c r="AA394" s="139"/>
      <c r="AB394" s="149"/>
      <c r="AC394" s="11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74"/>
      <c r="AR394" s="222"/>
    </row>
    <row r="395" spans="2:44" s="140" customFormat="1" ht="18" customHeight="1" x14ac:dyDescent="0.25">
      <c r="B395" s="145"/>
      <c r="C395" s="139"/>
      <c r="D395" s="146"/>
      <c r="E395" s="139"/>
      <c r="F395" s="139"/>
      <c r="G395" s="139"/>
      <c r="H395" s="139"/>
      <c r="I395" s="139"/>
      <c r="J395" s="139"/>
      <c r="K395" s="139"/>
      <c r="L395" s="243"/>
      <c r="M395" s="243"/>
      <c r="N395" s="139"/>
      <c r="O395" s="139"/>
      <c r="P395" s="139"/>
      <c r="Q395" s="147"/>
      <c r="R395" s="139"/>
      <c r="S395" s="139"/>
      <c r="T395" s="139"/>
      <c r="U395" s="139"/>
      <c r="V395" s="139"/>
      <c r="W395" s="139"/>
      <c r="X395" s="146"/>
      <c r="Y395" s="148"/>
      <c r="Z395" s="145"/>
      <c r="AA395" s="139"/>
      <c r="AB395" s="149"/>
      <c r="AC395" s="11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74"/>
      <c r="AR395" s="222"/>
    </row>
    <row r="396" spans="2:44" s="22" customFormat="1" ht="18" customHeight="1" x14ac:dyDescent="0.25">
      <c r="B396" s="145"/>
      <c r="C396" s="139"/>
      <c r="D396" s="146"/>
      <c r="E396" s="139"/>
      <c r="F396" s="139"/>
      <c r="G396" s="139"/>
      <c r="H396" s="139"/>
      <c r="I396" s="139"/>
      <c r="J396" s="139"/>
      <c r="K396" s="139"/>
      <c r="L396" s="243"/>
      <c r="M396" s="243"/>
      <c r="N396" s="139"/>
      <c r="O396" s="139"/>
      <c r="P396" s="139"/>
      <c r="Q396" s="147"/>
      <c r="R396" s="139"/>
      <c r="S396" s="139"/>
      <c r="T396" s="139"/>
      <c r="U396" s="139"/>
      <c r="V396" s="139"/>
      <c r="W396" s="139"/>
      <c r="X396" s="146"/>
      <c r="Y396" s="148"/>
      <c r="Z396" s="145"/>
      <c r="AA396" s="139"/>
      <c r="AB396" s="149"/>
      <c r="AC396" s="11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74"/>
      <c r="AR396" s="222"/>
    </row>
    <row r="397" spans="2:44" s="22" customFormat="1" ht="18" customHeight="1" x14ac:dyDescent="0.25">
      <c r="B397" s="145"/>
      <c r="C397" s="139"/>
      <c r="D397" s="146"/>
      <c r="E397" s="139"/>
      <c r="F397" s="139"/>
      <c r="G397" s="139"/>
      <c r="H397" s="139"/>
      <c r="I397" s="139"/>
      <c r="J397" s="139"/>
      <c r="K397" s="139"/>
      <c r="L397" s="243"/>
      <c r="M397" s="243"/>
      <c r="N397" s="139"/>
      <c r="O397" s="139"/>
      <c r="P397" s="139"/>
      <c r="Q397" s="147"/>
      <c r="R397" s="139"/>
      <c r="S397" s="139"/>
      <c r="T397" s="139"/>
      <c r="U397" s="139"/>
      <c r="V397" s="139"/>
      <c r="W397" s="139"/>
      <c r="X397" s="146"/>
      <c r="Y397" s="148"/>
      <c r="Z397" s="145"/>
      <c r="AA397" s="139"/>
      <c r="AB397" s="149"/>
      <c r="AC397" s="11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74"/>
      <c r="AR397" s="222"/>
    </row>
    <row r="398" spans="2:44" s="22" customFormat="1" ht="18" customHeight="1" x14ac:dyDescent="0.25">
      <c r="B398" s="145"/>
      <c r="C398" s="139"/>
      <c r="D398" s="146"/>
      <c r="E398" s="139"/>
      <c r="F398" s="139"/>
      <c r="G398" s="139"/>
      <c r="H398" s="139"/>
      <c r="I398" s="139"/>
      <c r="J398" s="139"/>
      <c r="K398" s="139"/>
      <c r="L398" s="243"/>
      <c r="M398" s="243"/>
      <c r="N398" s="139"/>
      <c r="O398" s="139"/>
      <c r="P398" s="139"/>
      <c r="Q398" s="147"/>
      <c r="R398" s="139"/>
      <c r="S398" s="139"/>
      <c r="T398" s="139"/>
      <c r="U398" s="139"/>
      <c r="V398" s="139"/>
      <c r="W398" s="139"/>
      <c r="X398" s="146"/>
      <c r="Y398" s="148"/>
      <c r="Z398" s="145"/>
      <c r="AA398" s="139"/>
      <c r="AB398" s="149"/>
      <c r="AC398" s="11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74"/>
      <c r="AR398" s="222"/>
    </row>
    <row r="399" spans="2:44" s="22" customFormat="1" ht="18" customHeight="1" x14ac:dyDescent="0.25">
      <c r="B399" s="145"/>
      <c r="C399" s="139"/>
      <c r="D399" s="146"/>
      <c r="E399" s="139"/>
      <c r="F399" s="139"/>
      <c r="G399" s="139"/>
      <c r="H399" s="139"/>
      <c r="I399" s="139"/>
      <c r="J399" s="139"/>
      <c r="K399" s="139"/>
      <c r="L399" s="243"/>
      <c r="M399" s="243"/>
      <c r="N399" s="139"/>
      <c r="O399" s="139"/>
      <c r="P399" s="139"/>
      <c r="Q399" s="147"/>
      <c r="R399" s="139"/>
      <c r="S399" s="139"/>
      <c r="T399" s="139"/>
      <c r="U399" s="139"/>
      <c r="V399" s="139"/>
      <c r="W399" s="139"/>
      <c r="X399" s="146"/>
      <c r="Y399" s="148"/>
      <c r="Z399" s="145"/>
      <c r="AA399" s="139"/>
      <c r="AB399" s="149"/>
      <c r="AC399" s="11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74"/>
      <c r="AR399" s="222"/>
    </row>
    <row r="400" spans="2:44" s="22" customFormat="1" ht="18" customHeight="1" x14ac:dyDescent="0.25">
      <c r="B400" s="145"/>
      <c r="C400" s="139"/>
      <c r="D400" s="146"/>
      <c r="E400" s="139"/>
      <c r="F400" s="139"/>
      <c r="G400" s="139"/>
      <c r="H400" s="139"/>
      <c r="I400" s="139"/>
      <c r="J400" s="139"/>
      <c r="K400" s="139"/>
      <c r="L400" s="243"/>
      <c r="M400" s="243"/>
      <c r="N400" s="139"/>
      <c r="O400" s="139"/>
      <c r="P400" s="139"/>
      <c r="Q400" s="147"/>
      <c r="R400" s="139"/>
      <c r="S400" s="139"/>
      <c r="T400" s="139"/>
      <c r="U400" s="139"/>
      <c r="V400" s="139"/>
      <c r="W400" s="139"/>
      <c r="X400" s="146"/>
      <c r="Y400" s="148"/>
      <c r="Z400" s="145"/>
      <c r="AA400" s="139"/>
      <c r="AB400" s="149"/>
      <c r="AC400" s="11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74"/>
      <c r="AR400" s="222"/>
    </row>
    <row r="401" spans="2:44" s="22" customFormat="1" ht="18" customHeight="1" x14ac:dyDescent="0.25">
      <c r="B401" s="145"/>
      <c r="C401" s="139"/>
      <c r="D401" s="146"/>
      <c r="E401" s="139"/>
      <c r="F401" s="139"/>
      <c r="G401" s="139"/>
      <c r="H401" s="139"/>
      <c r="I401" s="139"/>
      <c r="J401" s="139"/>
      <c r="K401" s="139"/>
      <c r="L401" s="243"/>
      <c r="M401" s="243"/>
      <c r="N401" s="139"/>
      <c r="O401" s="139"/>
      <c r="P401" s="139"/>
      <c r="Q401" s="147"/>
      <c r="R401" s="139"/>
      <c r="S401" s="139"/>
      <c r="T401" s="139"/>
      <c r="U401" s="139"/>
      <c r="V401" s="139"/>
      <c r="W401" s="139"/>
      <c r="X401" s="146"/>
      <c r="Y401" s="148"/>
      <c r="Z401" s="145"/>
      <c r="AA401" s="139"/>
      <c r="AB401" s="149"/>
      <c r="AC401" s="11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74"/>
      <c r="AR401" s="222"/>
    </row>
    <row r="402" spans="2:44" s="22" customFormat="1" ht="18" customHeight="1" x14ac:dyDescent="0.25">
      <c r="B402" s="145"/>
      <c r="C402" s="139"/>
      <c r="D402" s="146"/>
      <c r="E402" s="139"/>
      <c r="F402" s="139"/>
      <c r="G402" s="139"/>
      <c r="H402" s="139"/>
      <c r="I402" s="139"/>
      <c r="J402" s="139"/>
      <c r="K402" s="139"/>
      <c r="L402" s="243"/>
      <c r="M402" s="243"/>
      <c r="N402" s="139"/>
      <c r="O402" s="139"/>
      <c r="P402" s="139"/>
      <c r="Q402" s="147"/>
      <c r="R402" s="139"/>
      <c r="S402" s="139"/>
      <c r="T402" s="139"/>
      <c r="U402" s="139"/>
      <c r="V402" s="139"/>
      <c r="W402" s="139"/>
      <c r="X402" s="146"/>
      <c r="Y402" s="148"/>
      <c r="Z402" s="145"/>
      <c r="AA402" s="139"/>
      <c r="AB402" s="149"/>
      <c r="AC402" s="11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74"/>
      <c r="AR402" s="222"/>
    </row>
    <row r="403" spans="2:44" s="22" customFormat="1" ht="18" customHeight="1" x14ac:dyDescent="0.25">
      <c r="B403" s="145"/>
      <c r="C403" s="139"/>
      <c r="D403" s="146"/>
      <c r="E403" s="139"/>
      <c r="F403" s="139"/>
      <c r="G403" s="139"/>
      <c r="H403" s="139"/>
      <c r="I403" s="139"/>
      <c r="J403" s="139"/>
      <c r="K403" s="139"/>
      <c r="L403" s="243"/>
      <c r="M403" s="243"/>
      <c r="N403" s="139"/>
      <c r="O403" s="139"/>
      <c r="P403" s="139"/>
      <c r="Q403" s="147"/>
      <c r="R403" s="139"/>
      <c r="S403" s="139"/>
      <c r="T403" s="139"/>
      <c r="U403" s="139"/>
      <c r="V403" s="139"/>
      <c r="W403" s="139"/>
      <c r="X403" s="146"/>
      <c r="Y403" s="148"/>
      <c r="Z403" s="145"/>
      <c r="AA403" s="139"/>
      <c r="AB403" s="149"/>
      <c r="AC403" s="11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74"/>
      <c r="AR403" s="222"/>
    </row>
    <row r="404" spans="2:44" s="22" customFormat="1" ht="18" customHeight="1" x14ac:dyDescent="0.25">
      <c r="B404" s="145"/>
      <c r="C404" s="139"/>
      <c r="D404" s="146"/>
      <c r="E404" s="139"/>
      <c r="F404" s="139"/>
      <c r="G404" s="139"/>
      <c r="H404" s="139"/>
      <c r="I404" s="139"/>
      <c r="J404" s="139"/>
      <c r="K404" s="139"/>
      <c r="L404" s="243"/>
      <c r="M404" s="243"/>
      <c r="N404" s="139"/>
      <c r="O404" s="139"/>
      <c r="P404" s="139"/>
      <c r="Q404" s="147"/>
      <c r="R404" s="139"/>
      <c r="S404" s="139"/>
      <c r="T404" s="139"/>
      <c r="U404" s="139"/>
      <c r="V404" s="139"/>
      <c r="W404" s="139"/>
      <c r="X404" s="146"/>
      <c r="Y404" s="148"/>
      <c r="Z404" s="145"/>
      <c r="AA404" s="139"/>
      <c r="AB404" s="149"/>
      <c r="AC404" s="11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74"/>
      <c r="AR404" s="222"/>
    </row>
    <row r="405" spans="2:44" s="22" customFormat="1" ht="18" customHeight="1" x14ac:dyDescent="0.25">
      <c r="B405" s="145"/>
      <c r="C405" s="139"/>
      <c r="D405" s="146"/>
      <c r="E405" s="139"/>
      <c r="F405" s="139"/>
      <c r="G405" s="139"/>
      <c r="H405" s="139"/>
      <c r="I405" s="139"/>
      <c r="J405" s="139"/>
      <c r="K405" s="139"/>
      <c r="L405" s="243"/>
      <c r="M405" s="243"/>
      <c r="N405" s="139"/>
      <c r="O405" s="139"/>
      <c r="P405" s="139"/>
      <c r="Q405" s="147"/>
      <c r="R405" s="139"/>
      <c r="S405" s="139"/>
      <c r="T405" s="139"/>
      <c r="U405" s="139"/>
      <c r="V405" s="139"/>
      <c r="W405" s="139"/>
      <c r="X405" s="146"/>
      <c r="Y405" s="148"/>
      <c r="Z405" s="145"/>
      <c r="AA405" s="139"/>
      <c r="AB405" s="149"/>
      <c r="AC405" s="11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74"/>
      <c r="AR405" s="222"/>
    </row>
    <row r="406" spans="2:44" s="22" customFormat="1" ht="18" customHeight="1" x14ac:dyDescent="0.25">
      <c r="B406" s="145"/>
      <c r="C406" s="139"/>
      <c r="D406" s="146"/>
      <c r="E406" s="139"/>
      <c r="F406" s="139"/>
      <c r="G406" s="139"/>
      <c r="H406" s="139"/>
      <c r="I406" s="139"/>
      <c r="J406" s="139"/>
      <c r="K406" s="139"/>
      <c r="L406" s="243"/>
      <c r="M406" s="243"/>
      <c r="N406" s="139"/>
      <c r="O406" s="139"/>
      <c r="P406" s="139"/>
      <c r="Q406" s="147"/>
      <c r="R406" s="139"/>
      <c r="S406" s="139"/>
      <c r="T406" s="139"/>
      <c r="U406" s="139"/>
      <c r="V406" s="139"/>
      <c r="W406" s="139"/>
      <c r="X406" s="146"/>
      <c r="Y406" s="148"/>
      <c r="Z406" s="145"/>
      <c r="AA406" s="139"/>
      <c r="AB406" s="149"/>
      <c r="AC406" s="11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74"/>
      <c r="AR406" s="222"/>
    </row>
    <row r="407" spans="2:44" s="22" customFormat="1" ht="18" customHeight="1" x14ac:dyDescent="0.25">
      <c r="B407" s="145"/>
      <c r="C407" s="139"/>
      <c r="D407" s="146"/>
      <c r="E407" s="139"/>
      <c r="F407" s="139"/>
      <c r="G407" s="139"/>
      <c r="H407" s="139"/>
      <c r="I407" s="139"/>
      <c r="J407" s="139"/>
      <c r="K407" s="139"/>
      <c r="L407" s="243"/>
      <c r="M407" s="243"/>
      <c r="N407" s="139"/>
      <c r="O407" s="139"/>
      <c r="P407" s="139"/>
      <c r="Q407" s="147"/>
      <c r="R407" s="139"/>
      <c r="S407" s="139"/>
      <c r="T407" s="139"/>
      <c r="U407" s="139"/>
      <c r="V407" s="139"/>
      <c r="W407" s="139"/>
      <c r="X407" s="146"/>
      <c r="Y407" s="148"/>
      <c r="Z407" s="145"/>
      <c r="AA407" s="139"/>
      <c r="AB407" s="149"/>
      <c r="AC407" s="11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74"/>
      <c r="AR407" s="222"/>
    </row>
    <row r="408" spans="2:44" s="22" customFormat="1" ht="18" customHeight="1" x14ac:dyDescent="0.25">
      <c r="B408" s="145"/>
      <c r="C408" s="139"/>
      <c r="D408" s="146"/>
      <c r="E408" s="139"/>
      <c r="F408" s="139"/>
      <c r="G408" s="139"/>
      <c r="H408" s="139"/>
      <c r="I408" s="139"/>
      <c r="J408" s="139"/>
      <c r="K408" s="139"/>
      <c r="L408" s="243"/>
      <c r="M408" s="243"/>
      <c r="N408" s="139"/>
      <c r="O408" s="139"/>
      <c r="P408" s="139"/>
      <c r="Q408" s="147"/>
      <c r="R408" s="139"/>
      <c r="S408" s="139"/>
      <c r="T408" s="139"/>
      <c r="U408" s="139"/>
      <c r="V408" s="139"/>
      <c r="W408" s="139"/>
      <c r="X408" s="146"/>
      <c r="Y408" s="148"/>
      <c r="Z408" s="145"/>
      <c r="AA408" s="139"/>
      <c r="AB408" s="149"/>
      <c r="AC408" s="11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74"/>
      <c r="AR408" s="222"/>
    </row>
    <row r="409" spans="2:44" s="22" customFormat="1" ht="18" customHeight="1" x14ac:dyDescent="0.25">
      <c r="B409" s="145"/>
      <c r="C409" s="139"/>
      <c r="D409" s="146"/>
      <c r="E409" s="139"/>
      <c r="F409" s="139"/>
      <c r="G409" s="139"/>
      <c r="H409" s="139"/>
      <c r="I409" s="139"/>
      <c r="J409" s="139"/>
      <c r="K409" s="139"/>
      <c r="L409" s="243"/>
      <c r="M409" s="243"/>
      <c r="N409" s="139"/>
      <c r="O409" s="139"/>
      <c r="P409" s="139"/>
      <c r="Q409" s="147"/>
      <c r="R409" s="139"/>
      <c r="S409" s="139"/>
      <c r="T409" s="139"/>
      <c r="U409" s="139"/>
      <c r="V409" s="139"/>
      <c r="W409" s="139"/>
      <c r="X409" s="146"/>
      <c r="Y409" s="148"/>
      <c r="Z409" s="145"/>
      <c r="AA409" s="139"/>
      <c r="AB409" s="149"/>
      <c r="AC409" s="11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74"/>
      <c r="AR409" s="222"/>
    </row>
    <row r="410" spans="2:44" s="22" customFormat="1" ht="18" customHeight="1" x14ac:dyDescent="0.25">
      <c r="B410" s="145"/>
      <c r="C410" s="139"/>
      <c r="D410" s="146"/>
      <c r="E410" s="139"/>
      <c r="F410" s="139"/>
      <c r="G410" s="139"/>
      <c r="H410" s="139"/>
      <c r="I410" s="139"/>
      <c r="J410" s="139"/>
      <c r="K410" s="139"/>
      <c r="L410" s="243"/>
      <c r="M410" s="243"/>
      <c r="N410" s="139"/>
      <c r="O410" s="139"/>
      <c r="P410" s="139"/>
      <c r="Q410" s="147"/>
      <c r="R410" s="139"/>
      <c r="S410" s="139"/>
      <c r="T410" s="139"/>
      <c r="U410" s="139"/>
      <c r="V410" s="139"/>
      <c r="W410" s="139"/>
      <c r="X410" s="146"/>
      <c r="Y410" s="148"/>
      <c r="Z410" s="145"/>
      <c r="AA410" s="139"/>
      <c r="AB410" s="149"/>
      <c r="AC410" s="11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74"/>
      <c r="AR410" s="222"/>
    </row>
    <row r="411" spans="2:44" s="22" customFormat="1" ht="18" customHeight="1" x14ac:dyDescent="0.25">
      <c r="B411" s="145"/>
      <c r="C411" s="139"/>
      <c r="D411" s="146"/>
      <c r="E411" s="139"/>
      <c r="F411" s="139"/>
      <c r="G411" s="139"/>
      <c r="H411" s="139"/>
      <c r="I411" s="139"/>
      <c r="J411" s="139"/>
      <c r="K411" s="139"/>
      <c r="L411" s="243"/>
      <c r="M411" s="243"/>
      <c r="N411" s="139"/>
      <c r="O411" s="139"/>
      <c r="P411" s="139"/>
      <c r="Q411" s="147"/>
      <c r="R411" s="139"/>
      <c r="S411" s="139"/>
      <c r="T411" s="139"/>
      <c r="U411" s="139"/>
      <c r="V411" s="139"/>
      <c r="W411" s="139"/>
      <c r="X411" s="146"/>
      <c r="Y411" s="148"/>
      <c r="Z411" s="145"/>
      <c r="AA411" s="139"/>
      <c r="AB411" s="149"/>
      <c r="AC411" s="11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74"/>
      <c r="AR411" s="222"/>
    </row>
    <row r="412" spans="2:44" s="141" customFormat="1" ht="18" customHeight="1" x14ac:dyDescent="0.25">
      <c r="B412" s="145"/>
      <c r="C412" s="139"/>
      <c r="D412" s="146"/>
      <c r="E412" s="139"/>
      <c r="F412" s="139"/>
      <c r="G412" s="139"/>
      <c r="H412" s="139"/>
      <c r="I412" s="139"/>
      <c r="J412" s="139"/>
      <c r="K412" s="139"/>
      <c r="L412" s="243"/>
      <c r="M412" s="243"/>
      <c r="N412" s="139"/>
      <c r="O412" s="139"/>
      <c r="P412" s="139"/>
      <c r="Q412" s="147"/>
      <c r="R412" s="139"/>
      <c r="S412" s="139"/>
      <c r="T412" s="139"/>
      <c r="U412" s="139"/>
      <c r="V412" s="139"/>
      <c r="W412" s="139"/>
      <c r="X412" s="146"/>
      <c r="Y412" s="148"/>
      <c r="Z412" s="145"/>
      <c r="AA412" s="139"/>
      <c r="AB412" s="149"/>
      <c r="AC412" s="11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74"/>
      <c r="AR412" s="222"/>
    </row>
    <row r="413" spans="2:44" s="140" customFormat="1" ht="18" customHeight="1" x14ac:dyDescent="0.25">
      <c r="B413" s="145"/>
      <c r="C413" s="139"/>
      <c r="D413" s="146"/>
      <c r="E413" s="139"/>
      <c r="F413" s="139"/>
      <c r="G413" s="139"/>
      <c r="H413" s="139"/>
      <c r="I413" s="139"/>
      <c r="J413" s="139"/>
      <c r="K413" s="139"/>
      <c r="L413" s="243"/>
      <c r="M413" s="243"/>
      <c r="N413" s="139"/>
      <c r="O413" s="139"/>
      <c r="P413" s="139"/>
      <c r="Q413" s="147"/>
      <c r="R413" s="139"/>
      <c r="S413" s="139"/>
      <c r="T413" s="139"/>
      <c r="U413" s="139"/>
      <c r="V413" s="139"/>
      <c r="W413" s="139"/>
      <c r="X413" s="146"/>
      <c r="Y413" s="148"/>
      <c r="Z413" s="145"/>
      <c r="AA413" s="139"/>
      <c r="AB413" s="149"/>
      <c r="AC413" s="11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74"/>
      <c r="AR413" s="222"/>
    </row>
    <row r="414" spans="2:44" s="22" customFormat="1" ht="18" customHeight="1" x14ac:dyDescent="0.25">
      <c r="B414" s="145"/>
      <c r="C414" s="139"/>
      <c r="D414" s="146"/>
      <c r="E414" s="139"/>
      <c r="F414" s="139"/>
      <c r="G414" s="139"/>
      <c r="H414" s="139"/>
      <c r="I414" s="139"/>
      <c r="J414" s="139"/>
      <c r="K414" s="139"/>
      <c r="L414" s="243"/>
      <c r="M414" s="243"/>
      <c r="N414" s="139"/>
      <c r="O414" s="139"/>
      <c r="P414" s="139"/>
      <c r="Q414" s="147"/>
      <c r="R414" s="139"/>
      <c r="S414" s="139"/>
      <c r="T414" s="139"/>
      <c r="U414" s="139"/>
      <c r="V414" s="139"/>
      <c r="W414" s="139"/>
      <c r="X414" s="146"/>
      <c r="Y414" s="148"/>
      <c r="Z414" s="145"/>
      <c r="AA414" s="139"/>
      <c r="AB414" s="149"/>
      <c r="AC414" s="11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74"/>
      <c r="AR414" s="222"/>
    </row>
    <row r="415" spans="2:44" s="141" customFormat="1" ht="18" customHeight="1" x14ac:dyDescent="0.25">
      <c r="B415" s="145"/>
      <c r="C415" s="139"/>
      <c r="D415" s="146"/>
      <c r="E415" s="139"/>
      <c r="F415" s="139"/>
      <c r="G415" s="139"/>
      <c r="H415" s="139"/>
      <c r="I415" s="139"/>
      <c r="J415" s="139"/>
      <c r="K415" s="139"/>
      <c r="L415" s="243"/>
      <c r="M415" s="243"/>
      <c r="N415" s="139"/>
      <c r="O415" s="139"/>
      <c r="P415" s="139"/>
      <c r="Q415" s="147"/>
      <c r="R415" s="139"/>
      <c r="S415" s="139"/>
      <c r="T415" s="139"/>
      <c r="U415" s="139"/>
      <c r="V415" s="139"/>
      <c r="W415" s="139"/>
      <c r="X415" s="146"/>
      <c r="Y415" s="148"/>
      <c r="Z415" s="145"/>
      <c r="AA415" s="139"/>
      <c r="AB415" s="149"/>
      <c r="AC415" s="11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74"/>
      <c r="AR415" s="222"/>
    </row>
    <row r="416" spans="2:44" s="22" customFormat="1" ht="18" customHeight="1" x14ac:dyDescent="0.25">
      <c r="B416" s="145"/>
      <c r="C416" s="139"/>
      <c r="D416" s="146"/>
      <c r="E416" s="139"/>
      <c r="F416" s="139"/>
      <c r="G416" s="139"/>
      <c r="H416" s="139"/>
      <c r="I416" s="139"/>
      <c r="J416" s="139"/>
      <c r="K416" s="139"/>
      <c r="L416" s="243"/>
      <c r="M416" s="243"/>
      <c r="N416" s="139"/>
      <c r="O416" s="139"/>
      <c r="P416" s="139"/>
      <c r="Q416" s="147"/>
      <c r="R416" s="139"/>
      <c r="S416" s="139"/>
      <c r="T416" s="139"/>
      <c r="U416" s="139"/>
      <c r="V416" s="139"/>
      <c r="W416" s="139"/>
      <c r="X416" s="146"/>
      <c r="Y416" s="148"/>
      <c r="Z416" s="145"/>
      <c r="AA416" s="139"/>
      <c r="AB416" s="149"/>
      <c r="AC416" s="11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74"/>
      <c r="AR416" s="222"/>
    </row>
    <row r="417" spans="2:44" s="22" customFormat="1" ht="18" customHeight="1" x14ac:dyDescent="0.25">
      <c r="B417" s="145"/>
      <c r="C417" s="139"/>
      <c r="D417" s="146"/>
      <c r="E417" s="139"/>
      <c r="F417" s="139"/>
      <c r="G417" s="139"/>
      <c r="H417" s="139"/>
      <c r="I417" s="139"/>
      <c r="J417" s="139"/>
      <c r="K417" s="139"/>
      <c r="L417" s="243"/>
      <c r="M417" s="243"/>
      <c r="N417" s="139"/>
      <c r="O417" s="139"/>
      <c r="P417" s="139"/>
      <c r="Q417" s="147"/>
      <c r="R417" s="139"/>
      <c r="S417" s="139"/>
      <c r="T417" s="139"/>
      <c r="U417" s="139"/>
      <c r="V417" s="139"/>
      <c r="W417" s="139"/>
      <c r="X417" s="146"/>
      <c r="Y417" s="148"/>
      <c r="Z417" s="145"/>
      <c r="AA417" s="139"/>
      <c r="AB417" s="149"/>
      <c r="AC417" s="11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74"/>
      <c r="AR417" s="222"/>
    </row>
    <row r="418" spans="2:44" s="22" customFormat="1" ht="18" customHeight="1" x14ac:dyDescent="0.25">
      <c r="B418" s="145"/>
      <c r="C418" s="139"/>
      <c r="D418" s="146"/>
      <c r="E418" s="139"/>
      <c r="F418" s="139"/>
      <c r="G418" s="139"/>
      <c r="H418" s="139"/>
      <c r="I418" s="139"/>
      <c r="J418" s="139"/>
      <c r="K418" s="139"/>
      <c r="L418" s="243"/>
      <c r="M418" s="243"/>
      <c r="N418" s="139"/>
      <c r="O418" s="139"/>
      <c r="P418" s="139"/>
      <c r="Q418" s="147"/>
      <c r="R418" s="139"/>
      <c r="S418" s="139"/>
      <c r="T418" s="139"/>
      <c r="U418" s="139"/>
      <c r="V418" s="139"/>
      <c r="W418" s="139"/>
      <c r="X418" s="146"/>
      <c r="Y418" s="148"/>
      <c r="Z418" s="145"/>
      <c r="AA418" s="139"/>
      <c r="AB418" s="149"/>
      <c r="AC418" s="11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74"/>
      <c r="AR418" s="222"/>
    </row>
    <row r="419" spans="2:44" s="22" customFormat="1" ht="18" customHeight="1" x14ac:dyDescent="0.25">
      <c r="B419" s="145"/>
      <c r="C419" s="139"/>
      <c r="D419" s="146"/>
      <c r="E419" s="139"/>
      <c r="F419" s="139"/>
      <c r="G419" s="139"/>
      <c r="H419" s="139"/>
      <c r="I419" s="139"/>
      <c r="J419" s="139"/>
      <c r="K419" s="139"/>
      <c r="L419" s="243"/>
      <c r="M419" s="243"/>
      <c r="N419" s="139"/>
      <c r="O419" s="139"/>
      <c r="P419" s="139"/>
      <c r="Q419" s="147"/>
      <c r="R419" s="139"/>
      <c r="S419" s="139"/>
      <c r="T419" s="139"/>
      <c r="U419" s="139"/>
      <c r="V419" s="139"/>
      <c r="W419" s="139"/>
      <c r="X419" s="146"/>
      <c r="Y419" s="148"/>
      <c r="Z419" s="145"/>
      <c r="AA419" s="139"/>
      <c r="AB419" s="149"/>
      <c r="AC419" s="11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74"/>
      <c r="AR419" s="222"/>
    </row>
    <row r="420" spans="2:44" s="22" customFormat="1" ht="18" customHeight="1" x14ac:dyDescent="0.25">
      <c r="B420" s="145"/>
      <c r="C420" s="139"/>
      <c r="D420" s="146"/>
      <c r="E420" s="139"/>
      <c r="F420" s="139"/>
      <c r="G420" s="139"/>
      <c r="H420" s="139"/>
      <c r="I420" s="139"/>
      <c r="J420" s="139"/>
      <c r="K420" s="139"/>
      <c r="L420" s="243"/>
      <c r="M420" s="243"/>
      <c r="N420" s="139"/>
      <c r="O420" s="139"/>
      <c r="P420" s="139"/>
      <c r="Q420" s="147"/>
      <c r="R420" s="139"/>
      <c r="S420" s="139"/>
      <c r="T420" s="139"/>
      <c r="U420" s="139"/>
      <c r="V420" s="139"/>
      <c r="W420" s="139"/>
      <c r="X420" s="146"/>
      <c r="Y420" s="148"/>
      <c r="Z420" s="145"/>
      <c r="AA420" s="139"/>
      <c r="AB420" s="149"/>
      <c r="AC420" s="11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74"/>
      <c r="AR420" s="222"/>
    </row>
    <row r="421" spans="2:44" s="22" customFormat="1" ht="18" customHeight="1" x14ac:dyDescent="0.25">
      <c r="B421" s="145"/>
      <c r="C421" s="139"/>
      <c r="D421" s="146"/>
      <c r="E421" s="139"/>
      <c r="F421" s="139"/>
      <c r="G421" s="139"/>
      <c r="H421" s="139"/>
      <c r="I421" s="139"/>
      <c r="J421" s="139"/>
      <c r="K421" s="139"/>
      <c r="L421" s="243"/>
      <c r="M421" s="243"/>
      <c r="N421" s="139"/>
      <c r="O421" s="139"/>
      <c r="P421" s="139"/>
      <c r="Q421" s="147"/>
      <c r="R421" s="139"/>
      <c r="S421" s="139"/>
      <c r="T421" s="139"/>
      <c r="U421" s="139"/>
      <c r="V421" s="139"/>
      <c r="W421" s="139"/>
      <c r="X421" s="146"/>
      <c r="Y421" s="148"/>
      <c r="Z421" s="145"/>
      <c r="AA421" s="139"/>
      <c r="AB421" s="149"/>
      <c r="AC421" s="11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74"/>
      <c r="AR421" s="222"/>
    </row>
    <row r="422" spans="2:44" s="141" customFormat="1" ht="18" customHeight="1" x14ac:dyDescent="0.25">
      <c r="B422" s="145"/>
      <c r="C422" s="139"/>
      <c r="D422" s="146"/>
      <c r="E422" s="139"/>
      <c r="F422" s="139"/>
      <c r="G422" s="139"/>
      <c r="H422" s="139"/>
      <c r="I422" s="139"/>
      <c r="J422" s="139"/>
      <c r="K422" s="139"/>
      <c r="L422" s="243"/>
      <c r="M422" s="243"/>
      <c r="N422" s="139"/>
      <c r="O422" s="139"/>
      <c r="P422" s="139"/>
      <c r="Q422" s="147"/>
      <c r="R422" s="139"/>
      <c r="S422" s="139"/>
      <c r="T422" s="139"/>
      <c r="U422" s="139"/>
      <c r="V422" s="139"/>
      <c r="W422" s="139"/>
      <c r="X422" s="146"/>
      <c r="Y422" s="148"/>
      <c r="Z422" s="145"/>
      <c r="AA422" s="139"/>
      <c r="AB422" s="149"/>
      <c r="AC422" s="11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74"/>
      <c r="AR422" s="222"/>
    </row>
    <row r="423" spans="2:44" s="22" customFormat="1" ht="18" customHeight="1" x14ac:dyDescent="0.25">
      <c r="B423" s="145"/>
      <c r="C423" s="139"/>
      <c r="D423" s="146"/>
      <c r="E423" s="139"/>
      <c r="F423" s="139"/>
      <c r="G423" s="139"/>
      <c r="H423" s="139"/>
      <c r="I423" s="139"/>
      <c r="J423" s="139"/>
      <c r="K423" s="139"/>
      <c r="L423" s="243"/>
      <c r="M423" s="243"/>
      <c r="N423" s="139"/>
      <c r="O423" s="139"/>
      <c r="P423" s="139"/>
      <c r="Q423" s="147"/>
      <c r="R423" s="139"/>
      <c r="S423" s="139"/>
      <c r="T423" s="139"/>
      <c r="U423" s="139"/>
      <c r="V423" s="139"/>
      <c r="W423" s="139"/>
      <c r="X423" s="146"/>
      <c r="Y423" s="148"/>
      <c r="Z423" s="145"/>
      <c r="AA423" s="139"/>
      <c r="AB423" s="149"/>
      <c r="AC423" s="11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74"/>
      <c r="AR423" s="222"/>
    </row>
    <row r="424" spans="2:44" s="22" customFormat="1" ht="18" customHeight="1" x14ac:dyDescent="0.25">
      <c r="B424" s="145"/>
      <c r="C424" s="139"/>
      <c r="D424" s="146"/>
      <c r="E424" s="139"/>
      <c r="F424" s="139"/>
      <c r="G424" s="139"/>
      <c r="H424" s="139"/>
      <c r="I424" s="139"/>
      <c r="J424" s="139"/>
      <c r="K424" s="139"/>
      <c r="L424" s="243"/>
      <c r="M424" s="243"/>
      <c r="N424" s="139"/>
      <c r="O424" s="139"/>
      <c r="P424" s="139"/>
      <c r="Q424" s="147"/>
      <c r="R424" s="139"/>
      <c r="S424" s="139"/>
      <c r="T424" s="139"/>
      <c r="U424" s="139"/>
      <c r="V424" s="139"/>
      <c r="W424" s="139"/>
      <c r="X424" s="146"/>
      <c r="Y424" s="148"/>
      <c r="Z424" s="145"/>
      <c r="AA424" s="139"/>
      <c r="AB424" s="149"/>
      <c r="AC424" s="11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74"/>
      <c r="AR424" s="222"/>
    </row>
    <row r="425" spans="2:44" s="141" customFormat="1" ht="18" customHeight="1" x14ac:dyDescent="0.25">
      <c r="B425" s="145"/>
      <c r="C425" s="139"/>
      <c r="D425" s="146"/>
      <c r="E425" s="139"/>
      <c r="F425" s="139"/>
      <c r="G425" s="139"/>
      <c r="H425" s="139"/>
      <c r="I425" s="139"/>
      <c r="J425" s="139"/>
      <c r="K425" s="139"/>
      <c r="L425" s="243"/>
      <c r="M425" s="243"/>
      <c r="N425" s="139"/>
      <c r="O425" s="139"/>
      <c r="P425" s="139"/>
      <c r="Q425" s="147"/>
      <c r="R425" s="139"/>
      <c r="S425" s="139"/>
      <c r="T425" s="139"/>
      <c r="U425" s="139"/>
      <c r="V425" s="139"/>
      <c r="W425" s="139"/>
      <c r="X425" s="146"/>
      <c r="Y425" s="148"/>
      <c r="Z425" s="145"/>
      <c r="AA425" s="139"/>
      <c r="AB425" s="149"/>
      <c r="AC425" s="11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74"/>
      <c r="AR425" s="222"/>
    </row>
    <row r="426" spans="2:44" s="22" customFormat="1" ht="18" customHeight="1" x14ac:dyDescent="0.25">
      <c r="B426" s="145"/>
      <c r="C426" s="139"/>
      <c r="D426" s="146"/>
      <c r="E426" s="139"/>
      <c r="F426" s="139"/>
      <c r="G426" s="139"/>
      <c r="H426" s="139"/>
      <c r="I426" s="139"/>
      <c r="J426" s="139"/>
      <c r="K426" s="139"/>
      <c r="L426" s="243"/>
      <c r="M426" s="243"/>
      <c r="N426" s="139"/>
      <c r="O426" s="139"/>
      <c r="P426" s="139"/>
      <c r="Q426" s="147"/>
      <c r="R426" s="139"/>
      <c r="S426" s="139"/>
      <c r="T426" s="139"/>
      <c r="U426" s="139"/>
      <c r="V426" s="139"/>
      <c r="W426" s="139"/>
      <c r="X426" s="146"/>
      <c r="Y426" s="148"/>
      <c r="Z426" s="145"/>
      <c r="AA426" s="139"/>
      <c r="AB426" s="149"/>
      <c r="AC426" s="11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74"/>
      <c r="AR426" s="222"/>
    </row>
    <row r="427" spans="2:44" s="22" customFormat="1" ht="18" customHeight="1" x14ac:dyDescent="0.25">
      <c r="B427" s="145"/>
      <c r="C427" s="139"/>
      <c r="D427" s="146"/>
      <c r="E427" s="139"/>
      <c r="F427" s="139"/>
      <c r="G427" s="139"/>
      <c r="H427" s="139"/>
      <c r="I427" s="139"/>
      <c r="J427" s="139"/>
      <c r="K427" s="139"/>
      <c r="L427" s="243"/>
      <c r="M427" s="243"/>
      <c r="N427" s="139"/>
      <c r="O427" s="139"/>
      <c r="P427" s="139"/>
      <c r="Q427" s="147"/>
      <c r="R427" s="139"/>
      <c r="S427" s="139"/>
      <c r="T427" s="139"/>
      <c r="U427" s="139"/>
      <c r="V427" s="139"/>
      <c r="W427" s="139"/>
      <c r="X427" s="146"/>
      <c r="Y427" s="148"/>
      <c r="Z427" s="145"/>
      <c r="AA427" s="139"/>
      <c r="AB427" s="149"/>
      <c r="AC427" s="11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74"/>
      <c r="AR427" s="222"/>
    </row>
    <row r="428" spans="2:44" s="22" customFormat="1" ht="18" customHeight="1" x14ac:dyDescent="0.25">
      <c r="B428" s="145"/>
      <c r="C428" s="139"/>
      <c r="D428" s="146"/>
      <c r="E428" s="139"/>
      <c r="F428" s="139"/>
      <c r="G428" s="139"/>
      <c r="H428" s="139"/>
      <c r="I428" s="139"/>
      <c r="J428" s="139"/>
      <c r="K428" s="139"/>
      <c r="L428" s="243"/>
      <c r="M428" s="243"/>
      <c r="N428" s="139"/>
      <c r="O428" s="139"/>
      <c r="P428" s="139"/>
      <c r="Q428" s="147"/>
      <c r="R428" s="139"/>
      <c r="S428" s="139"/>
      <c r="T428" s="139"/>
      <c r="U428" s="139"/>
      <c r="V428" s="139"/>
      <c r="W428" s="139"/>
      <c r="X428" s="146"/>
      <c r="Y428" s="148"/>
      <c r="Z428" s="145"/>
      <c r="AA428" s="139"/>
      <c r="AB428" s="149"/>
      <c r="AC428" s="11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74"/>
      <c r="AR428" s="222"/>
    </row>
    <row r="429" spans="2:44" s="22" customFormat="1" ht="18" customHeight="1" x14ac:dyDescent="0.25">
      <c r="B429" s="145"/>
      <c r="C429" s="139"/>
      <c r="D429" s="146"/>
      <c r="E429" s="139"/>
      <c r="F429" s="139"/>
      <c r="G429" s="139"/>
      <c r="H429" s="139"/>
      <c r="I429" s="139"/>
      <c r="J429" s="139"/>
      <c r="K429" s="139"/>
      <c r="L429" s="243"/>
      <c r="M429" s="243"/>
      <c r="N429" s="139"/>
      <c r="O429" s="139"/>
      <c r="P429" s="139"/>
      <c r="Q429" s="147"/>
      <c r="R429" s="139"/>
      <c r="S429" s="139"/>
      <c r="T429" s="139"/>
      <c r="U429" s="139"/>
      <c r="V429" s="139"/>
      <c r="W429" s="139"/>
      <c r="X429" s="146"/>
      <c r="Y429" s="148"/>
      <c r="Z429" s="145"/>
      <c r="AA429" s="139"/>
      <c r="AB429" s="149"/>
      <c r="AC429" s="11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74"/>
      <c r="AR429" s="222"/>
    </row>
    <row r="430" spans="2:44" s="22" customFormat="1" ht="18" customHeight="1" x14ac:dyDescent="0.25">
      <c r="B430" s="145"/>
      <c r="C430" s="139"/>
      <c r="D430" s="146"/>
      <c r="E430" s="139"/>
      <c r="F430" s="139"/>
      <c r="G430" s="139"/>
      <c r="H430" s="139"/>
      <c r="I430" s="139"/>
      <c r="J430" s="139"/>
      <c r="K430" s="139"/>
      <c r="L430" s="243"/>
      <c r="M430" s="243"/>
      <c r="N430" s="139"/>
      <c r="O430" s="139"/>
      <c r="P430" s="139"/>
      <c r="Q430" s="147"/>
      <c r="R430" s="139"/>
      <c r="S430" s="139"/>
      <c r="T430" s="139"/>
      <c r="U430" s="139"/>
      <c r="V430" s="139"/>
      <c r="W430" s="139"/>
      <c r="X430" s="146"/>
      <c r="Y430" s="148"/>
      <c r="Z430" s="145"/>
      <c r="AA430" s="139"/>
      <c r="AB430" s="149"/>
      <c r="AC430" s="11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74"/>
      <c r="AR430" s="222"/>
    </row>
    <row r="431" spans="2:44" s="22" customFormat="1" ht="18" customHeight="1" x14ac:dyDescent="0.25">
      <c r="B431" s="145"/>
      <c r="C431" s="139"/>
      <c r="D431" s="146"/>
      <c r="E431" s="139"/>
      <c r="F431" s="139"/>
      <c r="G431" s="139"/>
      <c r="H431" s="139"/>
      <c r="I431" s="139"/>
      <c r="J431" s="139"/>
      <c r="K431" s="139"/>
      <c r="L431" s="243"/>
      <c r="M431" s="243"/>
      <c r="N431" s="139"/>
      <c r="O431" s="139"/>
      <c r="P431" s="139"/>
      <c r="Q431" s="147"/>
      <c r="R431" s="139"/>
      <c r="S431" s="139"/>
      <c r="T431" s="139"/>
      <c r="U431" s="139"/>
      <c r="V431" s="139"/>
      <c r="W431" s="139"/>
      <c r="X431" s="146"/>
      <c r="Y431" s="148"/>
      <c r="Z431" s="145"/>
      <c r="AA431" s="139"/>
      <c r="AB431" s="149"/>
      <c r="AC431" s="11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74"/>
      <c r="AR431" s="222"/>
    </row>
    <row r="432" spans="2:44" s="22" customFormat="1" ht="18" customHeight="1" x14ac:dyDescent="0.25">
      <c r="B432" s="145"/>
      <c r="C432" s="139"/>
      <c r="D432" s="146"/>
      <c r="E432" s="139"/>
      <c r="F432" s="139"/>
      <c r="G432" s="139"/>
      <c r="H432" s="139"/>
      <c r="I432" s="139"/>
      <c r="J432" s="139"/>
      <c r="K432" s="139"/>
      <c r="L432" s="243"/>
      <c r="M432" s="243"/>
      <c r="N432" s="139"/>
      <c r="O432" s="139"/>
      <c r="P432" s="139"/>
      <c r="Q432" s="147"/>
      <c r="R432" s="139"/>
      <c r="S432" s="139"/>
      <c r="T432" s="139"/>
      <c r="U432" s="139"/>
      <c r="V432" s="139"/>
      <c r="W432" s="139"/>
      <c r="X432" s="146"/>
      <c r="Y432" s="148"/>
      <c r="Z432" s="145"/>
      <c r="AA432" s="139"/>
      <c r="AB432" s="149"/>
      <c r="AC432" s="11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74"/>
      <c r="AR432" s="222"/>
    </row>
    <row r="433" spans="2:44" s="22" customFormat="1" ht="18" customHeight="1" x14ac:dyDescent="0.25">
      <c r="B433" s="145"/>
      <c r="C433" s="139"/>
      <c r="D433" s="146"/>
      <c r="E433" s="139"/>
      <c r="F433" s="139"/>
      <c r="G433" s="139"/>
      <c r="H433" s="139"/>
      <c r="I433" s="139"/>
      <c r="J433" s="139"/>
      <c r="K433" s="139"/>
      <c r="L433" s="243"/>
      <c r="M433" s="243"/>
      <c r="N433" s="139"/>
      <c r="O433" s="139"/>
      <c r="P433" s="139"/>
      <c r="Q433" s="147"/>
      <c r="R433" s="139"/>
      <c r="S433" s="139"/>
      <c r="T433" s="139"/>
      <c r="U433" s="139"/>
      <c r="V433" s="139"/>
      <c r="W433" s="139"/>
      <c r="X433" s="146"/>
      <c r="Y433" s="148"/>
      <c r="Z433" s="145"/>
      <c r="AA433" s="139"/>
      <c r="AB433" s="149"/>
      <c r="AC433" s="11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74"/>
      <c r="AR433" s="222"/>
    </row>
    <row r="434" spans="2:44" s="22" customFormat="1" ht="18" customHeight="1" x14ac:dyDescent="0.25">
      <c r="B434" s="145"/>
      <c r="C434" s="139"/>
      <c r="D434" s="146"/>
      <c r="E434" s="139"/>
      <c r="F434" s="139"/>
      <c r="G434" s="139"/>
      <c r="H434" s="139"/>
      <c r="I434" s="139"/>
      <c r="J434" s="139"/>
      <c r="K434" s="139"/>
      <c r="L434" s="243"/>
      <c r="M434" s="243"/>
      <c r="N434" s="139"/>
      <c r="O434" s="139"/>
      <c r="P434" s="139"/>
      <c r="Q434" s="147"/>
      <c r="R434" s="139"/>
      <c r="S434" s="139"/>
      <c r="T434" s="139"/>
      <c r="U434" s="139"/>
      <c r="V434" s="139"/>
      <c r="W434" s="139"/>
      <c r="X434" s="146"/>
      <c r="Y434" s="148"/>
      <c r="Z434" s="145"/>
      <c r="AA434" s="139"/>
      <c r="AB434" s="149"/>
      <c r="AC434" s="11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74"/>
      <c r="AR434" s="222"/>
    </row>
    <row r="435" spans="2:44" s="22" customFormat="1" ht="18" customHeight="1" x14ac:dyDescent="0.25">
      <c r="B435" s="145"/>
      <c r="C435" s="139"/>
      <c r="D435" s="146"/>
      <c r="E435" s="139"/>
      <c r="F435" s="139"/>
      <c r="G435" s="139"/>
      <c r="H435" s="139"/>
      <c r="I435" s="139"/>
      <c r="J435" s="139"/>
      <c r="K435" s="139"/>
      <c r="L435" s="243"/>
      <c r="M435" s="243"/>
      <c r="N435" s="139"/>
      <c r="O435" s="139"/>
      <c r="P435" s="139"/>
      <c r="Q435" s="147"/>
      <c r="R435" s="139"/>
      <c r="S435" s="139"/>
      <c r="T435" s="139"/>
      <c r="U435" s="139"/>
      <c r="V435" s="139"/>
      <c r="W435" s="139"/>
      <c r="X435" s="146"/>
      <c r="Y435" s="148"/>
      <c r="Z435" s="145"/>
      <c r="AA435" s="139"/>
      <c r="AB435" s="149"/>
      <c r="AC435" s="11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74"/>
      <c r="AR435" s="222"/>
    </row>
    <row r="436" spans="2:44" s="140" customFormat="1" ht="18" customHeight="1" x14ac:dyDescent="0.25">
      <c r="B436" s="145"/>
      <c r="C436" s="139"/>
      <c r="D436" s="146"/>
      <c r="E436" s="139"/>
      <c r="F436" s="139"/>
      <c r="G436" s="139"/>
      <c r="H436" s="139"/>
      <c r="I436" s="139"/>
      <c r="J436" s="139"/>
      <c r="K436" s="139"/>
      <c r="L436" s="243"/>
      <c r="M436" s="243"/>
      <c r="N436" s="139"/>
      <c r="O436" s="139"/>
      <c r="P436" s="139"/>
      <c r="Q436" s="147"/>
      <c r="R436" s="139"/>
      <c r="S436" s="139"/>
      <c r="T436" s="139"/>
      <c r="U436" s="139"/>
      <c r="V436" s="139"/>
      <c r="W436" s="139"/>
      <c r="X436" s="146"/>
      <c r="Y436" s="148"/>
      <c r="Z436" s="145"/>
      <c r="AA436" s="139"/>
      <c r="AB436" s="149"/>
      <c r="AC436" s="11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74"/>
      <c r="AR436" s="222"/>
    </row>
    <row r="437" spans="2:44" s="140" customFormat="1" ht="18" customHeight="1" x14ac:dyDescent="0.25">
      <c r="B437" s="145"/>
      <c r="C437" s="139"/>
      <c r="D437" s="146"/>
      <c r="E437" s="139"/>
      <c r="F437" s="139"/>
      <c r="G437" s="139"/>
      <c r="H437" s="139"/>
      <c r="I437" s="139"/>
      <c r="J437" s="139"/>
      <c r="K437" s="139"/>
      <c r="L437" s="243"/>
      <c r="M437" s="243"/>
      <c r="N437" s="139"/>
      <c r="O437" s="139"/>
      <c r="P437" s="139"/>
      <c r="Q437" s="147"/>
      <c r="R437" s="139"/>
      <c r="S437" s="139"/>
      <c r="T437" s="139"/>
      <c r="U437" s="139"/>
      <c r="V437" s="139"/>
      <c r="W437" s="139"/>
      <c r="X437" s="146"/>
      <c r="Y437" s="148"/>
      <c r="Z437" s="145"/>
      <c r="AA437" s="139"/>
      <c r="AB437" s="149"/>
      <c r="AC437" s="11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74"/>
      <c r="AR437" s="222"/>
    </row>
    <row r="438" spans="2:44" s="22" customFormat="1" ht="18" customHeight="1" x14ac:dyDescent="0.25">
      <c r="B438" s="145"/>
      <c r="C438" s="139"/>
      <c r="D438" s="146"/>
      <c r="E438" s="139"/>
      <c r="F438" s="139"/>
      <c r="G438" s="139"/>
      <c r="H438" s="139"/>
      <c r="I438" s="139"/>
      <c r="J438" s="139"/>
      <c r="K438" s="139"/>
      <c r="L438" s="243"/>
      <c r="M438" s="243"/>
      <c r="N438" s="139"/>
      <c r="O438" s="139"/>
      <c r="P438" s="139"/>
      <c r="Q438" s="147"/>
      <c r="R438" s="139"/>
      <c r="S438" s="139"/>
      <c r="T438" s="139"/>
      <c r="U438" s="139"/>
      <c r="V438" s="139"/>
      <c r="W438" s="139"/>
      <c r="X438" s="146"/>
      <c r="Y438" s="148"/>
      <c r="Z438" s="145"/>
      <c r="AA438" s="139"/>
      <c r="AB438" s="149"/>
      <c r="AC438" s="11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74"/>
      <c r="AR438" s="222"/>
    </row>
    <row r="439" spans="2:44" s="22" customFormat="1" ht="18" customHeight="1" x14ac:dyDescent="0.25">
      <c r="B439" s="145"/>
      <c r="C439" s="139"/>
      <c r="D439" s="146"/>
      <c r="E439" s="139"/>
      <c r="F439" s="139"/>
      <c r="G439" s="139"/>
      <c r="H439" s="139"/>
      <c r="I439" s="139"/>
      <c r="J439" s="139"/>
      <c r="K439" s="139"/>
      <c r="L439" s="243"/>
      <c r="M439" s="243"/>
      <c r="N439" s="139"/>
      <c r="O439" s="139"/>
      <c r="P439" s="139"/>
      <c r="Q439" s="147"/>
      <c r="R439" s="139"/>
      <c r="S439" s="139"/>
      <c r="T439" s="139"/>
      <c r="U439" s="139"/>
      <c r="V439" s="139"/>
      <c r="W439" s="139"/>
      <c r="X439" s="146"/>
      <c r="Y439" s="148"/>
      <c r="Z439" s="145"/>
      <c r="AA439" s="139"/>
      <c r="AB439" s="149"/>
      <c r="AC439" s="11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74"/>
      <c r="AR439" s="222"/>
    </row>
    <row r="440" spans="2:44" s="22" customFormat="1" ht="18" customHeight="1" x14ac:dyDescent="0.25">
      <c r="B440" s="145"/>
      <c r="C440" s="139"/>
      <c r="D440" s="146"/>
      <c r="E440" s="139"/>
      <c r="F440" s="139"/>
      <c r="G440" s="139"/>
      <c r="H440" s="139"/>
      <c r="I440" s="139"/>
      <c r="J440" s="139"/>
      <c r="K440" s="139"/>
      <c r="L440" s="243"/>
      <c r="M440" s="243"/>
      <c r="N440" s="139"/>
      <c r="O440" s="139"/>
      <c r="P440" s="139"/>
      <c r="Q440" s="147"/>
      <c r="R440" s="139"/>
      <c r="S440" s="139"/>
      <c r="T440" s="139"/>
      <c r="U440" s="139"/>
      <c r="V440" s="139"/>
      <c r="W440" s="139"/>
      <c r="X440" s="146"/>
      <c r="Y440" s="148"/>
      <c r="Z440" s="145"/>
      <c r="AA440" s="139"/>
      <c r="AB440" s="149"/>
      <c r="AC440" s="11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74"/>
      <c r="AR440" s="222"/>
    </row>
    <row r="441" spans="2:44" s="22" customFormat="1" ht="18" customHeight="1" x14ac:dyDescent="0.25">
      <c r="B441" s="145"/>
      <c r="C441" s="139"/>
      <c r="D441" s="146"/>
      <c r="E441" s="139"/>
      <c r="F441" s="139"/>
      <c r="G441" s="139"/>
      <c r="H441" s="139"/>
      <c r="I441" s="139"/>
      <c r="J441" s="139"/>
      <c r="K441" s="139"/>
      <c r="L441" s="243"/>
      <c r="M441" s="243"/>
      <c r="N441" s="139"/>
      <c r="O441" s="139"/>
      <c r="P441" s="139"/>
      <c r="Q441" s="147"/>
      <c r="R441" s="139"/>
      <c r="S441" s="139"/>
      <c r="T441" s="139"/>
      <c r="U441" s="139"/>
      <c r="V441" s="139"/>
      <c r="W441" s="139"/>
      <c r="X441" s="146"/>
      <c r="Y441" s="148"/>
      <c r="Z441" s="145"/>
      <c r="AA441" s="139"/>
      <c r="AB441" s="149"/>
      <c r="AC441" s="11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74"/>
      <c r="AR441" s="222"/>
    </row>
    <row r="442" spans="2:44" s="22" customFormat="1" ht="18" customHeight="1" x14ac:dyDescent="0.25">
      <c r="B442" s="145"/>
      <c r="C442" s="139"/>
      <c r="D442" s="146"/>
      <c r="E442" s="139"/>
      <c r="F442" s="139"/>
      <c r="G442" s="139"/>
      <c r="H442" s="139"/>
      <c r="I442" s="139"/>
      <c r="J442" s="139"/>
      <c r="K442" s="139"/>
      <c r="L442" s="243"/>
      <c r="M442" s="243"/>
      <c r="N442" s="139"/>
      <c r="O442" s="139"/>
      <c r="P442" s="139"/>
      <c r="Q442" s="147"/>
      <c r="R442" s="139"/>
      <c r="S442" s="139"/>
      <c r="T442" s="139"/>
      <c r="U442" s="139"/>
      <c r="V442" s="139"/>
      <c r="W442" s="139"/>
      <c r="X442" s="146"/>
      <c r="Y442" s="148"/>
      <c r="Z442" s="145"/>
      <c r="AA442" s="139"/>
      <c r="AB442" s="149"/>
      <c r="AC442" s="11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74"/>
      <c r="AR442" s="222"/>
    </row>
    <row r="443" spans="2:44" s="22" customFormat="1" ht="18" customHeight="1" x14ac:dyDescent="0.25">
      <c r="B443" s="145"/>
      <c r="C443" s="139"/>
      <c r="D443" s="146"/>
      <c r="E443" s="139"/>
      <c r="F443" s="139"/>
      <c r="G443" s="139"/>
      <c r="H443" s="139"/>
      <c r="I443" s="139"/>
      <c r="J443" s="139"/>
      <c r="K443" s="139"/>
      <c r="L443" s="243"/>
      <c r="M443" s="243"/>
      <c r="N443" s="139"/>
      <c r="O443" s="139"/>
      <c r="P443" s="139"/>
      <c r="Q443" s="147"/>
      <c r="R443" s="139"/>
      <c r="S443" s="139"/>
      <c r="T443" s="139"/>
      <c r="U443" s="139"/>
      <c r="V443" s="139"/>
      <c r="W443" s="139"/>
      <c r="X443" s="146"/>
      <c r="Y443" s="148"/>
      <c r="Z443" s="145"/>
      <c r="AA443" s="139"/>
      <c r="AB443" s="149"/>
      <c r="AC443" s="11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74"/>
      <c r="AR443" s="222"/>
    </row>
    <row r="444" spans="2:44" s="22" customFormat="1" ht="18" customHeight="1" x14ac:dyDescent="0.25">
      <c r="B444" s="145"/>
      <c r="C444" s="139"/>
      <c r="D444" s="146"/>
      <c r="E444" s="139"/>
      <c r="F444" s="139"/>
      <c r="G444" s="139"/>
      <c r="H444" s="139"/>
      <c r="I444" s="139"/>
      <c r="J444" s="139"/>
      <c r="K444" s="139"/>
      <c r="L444" s="243"/>
      <c r="M444" s="243"/>
      <c r="N444" s="139"/>
      <c r="O444" s="139"/>
      <c r="P444" s="139"/>
      <c r="Q444" s="147"/>
      <c r="R444" s="139"/>
      <c r="S444" s="139"/>
      <c r="T444" s="139"/>
      <c r="U444" s="139"/>
      <c r="V444" s="139"/>
      <c r="W444" s="139"/>
      <c r="X444" s="146"/>
      <c r="Y444" s="148"/>
      <c r="Z444" s="145"/>
      <c r="AA444" s="139"/>
      <c r="AB444" s="149"/>
      <c r="AC444" s="11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74"/>
      <c r="AR444" s="222"/>
    </row>
    <row r="445" spans="2:44" s="22" customFormat="1" ht="18" customHeight="1" x14ac:dyDescent="0.25">
      <c r="B445" s="145"/>
      <c r="C445" s="139"/>
      <c r="D445" s="146"/>
      <c r="E445" s="139"/>
      <c r="F445" s="139"/>
      <c r="G445" s="139"/>
      <c r="H445" s="139"/>
      <c r="I445" s="139"/>
      <c r="J445" s="139"/>
      <c r="K445" s="139"/>
      <c r="L445" s="243"/>
      <c r="M445" s="243"/>
      <c r="N445" s="139"/>
      <c r="O445" s="139"/>
      <c r="P445" s="139"/>
      <c r="Q445" s="147"/>
      <c r="R445" s="139"/>
      <c r="S445" s="139"/>
      <c r="T445" s="139"/>
      <c r="U445" s="139"/>
      <c r="V445" s="139"/>
      <c r="W445" s="139"/>
      <c r="X445" s="146"/>
      <c r="Y445" s="148"/>
      <c r="Z445" s="145"/>
      <c r="AA445" s="139"/>
      <c r="AB445" s="149"/>
      <c r="AC445" s="11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74"/>
      <c r="AR445" s="222"/>
    </row>
    <row r="446" spans="2:44" s="22" customFormat="1" ht="18" customHeight="1" x14ac:dyDescent="0.25">
      <c r="B446" s="145"/>
      <c r="C446" s="139"/>
      <c r="D446" s="146"/>
      <c r="E446" s="139"/>
      <c r="F446" s="139"/>
      <c r="G446" s="139"/>
      <c r="H446" s="139"/>
      <c r="I446" s="139"/>
      <c r="J446" s="139"/>
      <c r="K446" s="139"/>
      <c r="L446" s="243"/>
      <c r="M446" s="243"/>
      <c r="N446" s="139"/>
      <c r="O446" s="139"/>
      <c r="P446" s="139"/>
      <c r="Q446" s="147"/>
      <c r="R446" s="139"/>
      <c r="S446" s="139"/>
      <c r="T446" s="139"/>
      <c r="U446" s="139"/>
      <c r="V446" s="139"/>
      <c r="W446" s="139"/>
      <c r="X446" s="146"/>
      <c r="Y446" s="148"/>
      <c r="Z446" s="145"/>
      <c r="AA446" s="139"/>
      <c r="AB446" s="149"/>
      <c r="AC446" s="11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74"/>
      <c r="AR446" s="222"/>
    </row>
    <row r="447" spans="2:44" s="22" customFormat="1" ht="18" customHeight="1" x14ac:dyDescent="0.25">
      <c r="B447" s="145"/>
      <c r="C447" s="139"/>
      <c r="D447" s="146"/>
      <c r="E447" s="139"/>
      <c r="F447" s="139"/>
      <c r="G447" s="139"/>
      <c r="H447" s="139"/>
      <c r="I447" s="139"/>
      <c r="J447" s="139"/>
      <c r="K447" s="139"/>
      <c r="L447" s="243"/>
      <c r="M447" s="243"/>
      <c r="N447" s="139"/>
      <c r="O447" s="139"/>
      <c r="P447" s="139"/>
      <c r="Q447" s="147"/>
      <c r="R447" s="139"/>
      <c r="S447" s="139"/>
      <c r="T447" s="139"/>
      <c r="U447" s="139"/>
      <c r="V447" s="139"/>
      <c r="W447" s="139"/>
      <c r="X447" s="146"/>
      <c r="Y447" s="148"/>
      <c r="Z447" s="145"/>
      <c r="AA447" s="139"/>
      <c r="AB447" s="149"/>
      <c r="AC447" s="11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74"/>
      <c r="AR447" s="222"/>
    </row>
    <row r="448" spans="2:44" s="141" customFormat="1" ht="18" customHeight="1" x14ac:dyDescent="0.25">
      <c r="B448" s="145"/>
      <c r="C448" s="139"/>
      <c r="D448" s="146"/>
      <c r="E448" s="139"/>
      <c r="F448" s="139"/>
      <c r="G448" s="139"/>
      <c r="H448" s="139"/>
      <c r="I448" s="139"/>
      <c r="J448" s="139"/>
      <c r="K448" s="139"/>
      <c r="L448" s="243"/>
      <c r="M448" s="243"/>
      <c r="N448" s="139"/>
      <c r="O448" s="139"/>
      <c r="P448" s="139"/>
      <c r="Q448" s="147"/>
      <c r="R448" s="139"/>
      <c r="S448" s="139"/>
      <c r="T448" s="139"/>
      <c r="U448" s="139"/>
      <c r="V448" s="139"/>
      <c r="W448" s="139"/>
      <c r="X448" s="146"/>
      <c r="Y448" s="148"/>
      <c r="Z448" s="145"/>
      <c r="AA448" s="139"/>
      <c r="AB448" s="149"/>
      <c r="AC448" s="11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74"/>
      <c r="AR448" s="222"/>
    </row>
    <row r="449" spans="2:44" s="22" customFormat="1" ht="18" customHeight="1" x14ac:dyDescent="0.25">
      <c r="B449" s="145"/>
      <c r="C449" s="139"/>
      <c r="D449" s="146"/>
      <c r="E449" s="139"/>
      <c r="F449" s="139"/>
      <c r="G449" s="139"/>
      <c r="H449" s="139"/>
      <c r="I449" s="139"/>
      <c r="J449" s="139"/>
      <c r="K449" s="139"/>
      <c r="L449" s="243"/>
      <c r="M449" s="243"/>
      <c r="N449" s="139"/>
      <c r="O449" s="139"/>
      <c r="P449" s="139"/>
      <c r="Q449" s="147"/>
      <c r="R449" s="139"/>
      <c r="S449" s="139"/>
      <c r="T449" s="139"/>
      <c r="U449" s="139"/>
      <c r="V449" s="139"/>
      <c r="W449" s="139"/>
      <c r="X449" s="146"/>
      <c r="Y449" s="148"/>
      <c r="Z449" s="145"/>
      <c r="AA449" s="139"/>
      <c r="AB449" s="149"/>
      <c r="AC449" s="11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74"/>
      <c r="AR449" s="222"/>
    </row>
    <row r="450" spans="2:44" s="22" customFormat="1" ht="18" customHeight="1" x14ac:dyDescent="0.25">
      <c r="B450" s="145"/>
      <c r="C450" s="139"/>
      <c r="D450" s="146"/>
      <c r="E450" s="139"/>
      <c r="F450" s="139"/>
      <c r="G450" s="139"/>
      <c r="H450" s="139"/>
      <c r="I450" s="139"/>
      <c r="J450" s="139"/>
      <c r="K450" s="139"/>
      <c r="L450" s="243"/>
      <c r="M450" s="243"/>
      <c r="N450" s="139"/>
      <c r="O450" s="139"/>
      <c r="P450" s="139"/>
      <c r="Q450" s="147"/>
      <c r="R450" s="139"/>
      <c r="S450" s="139"/>
      <c r="T450" s="139"/>
      <c r="U450" s="139"/>
      <c r="V450" s="139"/>
      <c r="W450" s="139"/>
      <c r="X450" s="146"/>
      <c r="Y450" s="148"/>
      <c r="Z450" s="145"/>
      <c r="AA450" s="139"/>
      <c r="AB450" s="149"/>
      <c r="AC450" s="11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74"/>
      <c r="AR450" s="222"/>
    </row>
    <row r="451" spans="2:44" s="22" customFormat="1" ht="18" customHeight="1" x14ac:dyDescent="0.25">
      <c r="B451" s="145"/>
      <c r="C451" s="139"/>
      <c r="D451" s="146"/>
      <c r="E451" s="139"/>
      <c r="F451" s="139"/>
      <c r="G451" s="139"/>
      <c r="H451" s="139"/>
      <c r="I451" s="139"/>
      <c r="J451" s="139"/>
      <c r="K451" s="139"/>
      <c r="L451" s="243"/>
      <c r="M451" s="243"/>
      <c r="N451" s="139"/>
      <c r="O451" s="139"/>
      <c r="P451" s="139"/>
      <c r="Q451" s="147"/>
      <c r="R451" s="139"/>
      <c r="S451" s="139"/>
      <c r="T451" s="139"/>
      <c r="U451" s="139"/>
      <c r="V451" s="139"/>
      <c r="W451" s="139"/>
      <c r="X451" s="146"/>
      <c r="Y451" s="148"/>
      <c r="Z451" s="145"/>
      <c r="AA451" s="139"/>
      <c r="AB451" s="149"/>
      <c r="AC451" s="11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74"/>
      <c r="AR451" s="222"/>
    </row>
    <row r="452" spans="2:44" s="22" customFormat="1" ht="18" customHeight="1" x14ac:dyDescent="0.25">
      <c r="B452" s="145"/>
      <c r="C452" s="139"/>
      <c r="D452" s="146"/>
      <c r="E452" s="139"/>
      <c r="F452" s="139"/>
      <c r="G452" s="139"/>
      <c r="H452" s="139"/>
      <c r="I452" s="139"/>
      <c r="J452" s="139"/>
      <c r="K452" s="139"/>
      <c r="L452" s="243"/>
      <c r="M452" s="243"/>
      <c r="N452" s="139"/>
      <c r="O452" s="139"/>
      <c r="P452" s="139"/>
      <c r="Q452" s="147"/>
      <c r="R452" s="139"/>
      <c r="S452" s="139"/>
      <c r="T452" s="139"/>
      <c r="U452" s="139"/>
      <c r="V452" s="139"/>
      <c r="W452" s="139"/>
      <c r="X452" s="146"/>
      <c r="Y452" s="148"/>
      <c r="Z452" s="145"/>
      <c r="AA452" s="139"/>
      <c r="AB452" s="149"/>
      <c r="AC452" s="11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74"/>
      <c r="AR452" s="222"/>
    </row>
    <row r="453" spans="2:44" s="22" customFormat="1" ht="18" customHeight="1" x14ac:dyDescent="0.25">
      <c r="B453" s="145"/>
      <c r="C453" s="139"/>
      <c r="D453" s="146"/>
      <c r="E453" s="139"/>
      <c r="F453" s="139"/>
      <c r="G453" s="139"/>
      <c r="H453" s="139"/>
      <c r="I453" s="139"/>
      <c r="J453" s="139"/>
      <c r="K453" s="139"/>
      <c r="L453" s="243"/>
      <c r="M453" s="243"/>
      <c r="N453" s="139"/>
      <c r="O453" s="139"/>
      <c r="P453" s="139"/>
      <c r="Q453" s="147"/>
      <c r="R453" s="139"/>
      <c r="S453" s="139"/>
      <c r="T453" s="139"/>
      <c r="U453" s="139"/>
      <c r="V453" s="139"/>
      <c r="W453" s="139"/>
      <c r="X453" s="146"/>
      <c r="Y453" s="148"/>
      <c r="Z453" s="145"/>
      <c r="AA453" s="139"/>
      <c r="AB453" s="149"/>
      <c r="AC453" s="11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74"/>
      <c r="AR453" s="222"/>
    </row>
    <row r="454" spans="2:44" s="22" customFormat="1" ht="18" customHeight="1" x14ac:dyDescent="0.25">
      <c r="B454" s="145"/>
      <c r="C454" s="139"/>
      <c r="D454" s="146"/>
      <c r="E454" s="139"/>
      <c r="F454" s="139"/>
      <c r="G454" s="139"/>
      <c r="H454" s="139"/>
      <c r="I454" s="139"/>
      <c r="J454" s="139"/>
      <c r="K454" s="139"/>
      <c r="L454" s="243"/>
      <c r="M454" s="243"/>
      <c r="N454" s="139"/>
      <c r="O454" s="139"/>
      <c r="P454" s="139"/>
      <c r="Q454" s="147"/>
      <c r="R454" s="139"/>
      <c r="S454" s="139"/>
      <c r="T454" s="139"/>
      <c r="U454" s="139"/>
      <c r="V454" s="139"/>
      <c r="W454" s="139"/>
      <c r="X454" s="146"/>
      <c r="Y454" s="148"/>
      <c r="Z454" s="145"/>
      <c r="AA454" s="139"/>
      <c r="AB454" s="149"/>
      <c r="AC454" s="11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74"/>
      <c r="AR454" s="222"/>
    </row>
    <row r="455" spans="2:44" s="22" customFormat="1" ht="18" customHeight="1" x14ac:dyDescent="0.25">
      <c r="B455" s="145"/>
      <c r="C455" s="139"/>
      <c r="D455" s="146"/>
      <c r="E455" s="139"/>
      <c r="F455" s="139"/>
      <c r="G455" s="139"/>
      <c r="H455" s="139"/>
      <c r="I455" s="139"/>
      <c r="J455" s="139"/>
      <c r="K455" s="139"/>
      <c r="L455" s="243"/>
      <c r="M455" s="243"/>
      <c r="N455" s="139"/>
      <c r="O455" s="139"/>
      <c r="P455" s="139"/>
      <c r="Q455" s="147"/>
      <c r="R455" s="139"/>
      <c r="S455" s="139"/>
      <c r="T455" s="139"/>
      <c r="U455" s="139"/>
      <c r="V455" s="139"/>
      <c r="W455" s="139"/>
      <c r="X455" s="146"/>
      <c r="Y455" s="148"/>
      <c r="Z455" s="145"/>
      <c r="AA455" s="139"/>
      <c r="AB455" s="149"/>
      <c r="AC455" s="11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74"/>
      <c r="AR455" s="222"/>
    </row>
    <row r="456" spans="2:44" s="22" customFormat="1" ht="18" customHeight="1" x14ac:dyDescent="0.25">
      <c r="B456" s="145"/>
      <c r="C456" s="139"/>
      <c r="D456" s="146"/>
      <c r="E456" s="139"/>
      <c r="F456" s="139"/>
      <c r="G456" s="139"/>
      <c r="H456" s="139"/>
      <c r="I456" s="139"/>
      <c r="J456" s="139"/>
      <c r="K456" s="139"/>
      <c r="L456" s="243"/>
      <c r="M456" s="243"/>
      <c r="N456" s="139"/>
      <c r="O456" s="139"/>
      <c r="P456" s="139"/>
      <c r="Q456" s="147"/>
      <c r="R456" s="139"/>
      <c r="S456" s="139"/>
      <c r="T456" s="139"/>
      <c r="U456" s="139"/>
      <c r="V456" s="139"/>
      <c r="W456" s="139"/>
      <c r="X456" s="146"/>
      <c r="Y456" s="148"/>
      <c r="Z456" s="145"/>
      <c r="AA456" s="139"/>
      <c r="AB456" s="149"/>
      <c r="AC456" s="11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74"/>
      <c r="AR456" s="222"/>
    </row>
    <row r="457" spans="2:44" s="22" customFormat="1" ht="18" customHeight="1" x14ac:dyDescent="0.25">
      <c r="B457" s="145"/>
      <c r="C457" s="139"/>
      <c r="D457" s="146"/>
      <c r="E457" s="139"/>
      <c r="F457" s="139"/>
      <c r="G457" s="139"/>
      <c r="H457" s="139"/>
      <c r="I457" s="139"/>
      <c r="J457" s="139"/>
      <c r="K457" s="139"/>
      <c r="L457" s="243"/>
      <c r="M457" s="243"/>
      <c r="N457" s="139"/>
      <c r="O457" s="139"/>
      <c r="P457" s="139"/>
      <c r="Q457" s="147"/>
      <c r="R457" s="139"/>
      <c r="S457" s="139"/>
      <c r="T457" s="139"/>
      <c r="U457" s="139"/>
      <c r="V457" s="139"/>
      <c r="W457" s="139"/>
      <c r="X457" s="146"/>
      <c r="Y457" s="148"/>
      <c r="Z457" s="145"/>
      <c r="AA457" s="139"/>
      <c r="AB457" s="149"/>
      <c r="AC457" s="11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74"/>
      <c r="AR457" s="222"/>
    </row>
    <row r="458" spans="2:44" s="22" customFormat="1" ht="18" customHeight="1" x14ac:dyDescent="0.25">
      <c r="B458" s="145"/>
      <c r="C458" s="139"/>
      <c r="D458" s="146"/>
      <c r="E458" s="139"/>
      <c r="F458" s="139"/>
      <c r="G458" s="139"/>
      <c r="H458" s="139"/>
      <c r="I458" s="139"/>
      <c r="J458" s="139"/>
      <c r="K458" s="139"/>
      <c r="L458" s="243"/>
      <c r="M458" s="243"/>
      <c r="N458" s="139"/>
      <c r="O458" s="139"/>
      <c r="P458" s="139"/>
      <c r="Q458" s="147"/>
      <c r="R458" s="139"/>
      <c r="S458" s="139"/>
      <c r="T458" s="139"/>
      <c r="U458" s="139"/>
      <c r="V458" s="139"/>
      <c r="W458" s="139"/>
      <c r="X458" s="146"/>
      <c r="Y458" s="148"/>
      <c r="Z458" s="145"/>
      <c r="AA458" s="139"/>
      <c r="AB458" s="149"/>
      <c r="AC458" s="11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74"/>
      <c r="AR458" s="222"/>
    </row>
    <row r="459" spans="2:44" s="22" customFormat="1" ht="18" customHeight="1" x14ac:dyDescent="0.25">
      <c r="B459" s="145"/>
      <c r="C459" s="139"/>
      <c r="D459" s="146"/>
      <c r="E459" s="139"/>
      <c r="F459" s="139"/>
      <c r="G459" s="139"/>
      <c r="H459" s="139"/>
      <c r="I459" s="139"/>
      <c r="J459" s="139"/>
      <c r="K459" s="139"/>
      <c r="L459" s="243"/>
      <c r="M459" s="243"/>
      <c r="N459" s="139"/>
      <c r="O459" s="139"/>
      <c r="P459" s="139"/>
      <c r="Q459" s="147"/>
      <c r="R459" s="139"/>
      <c r="S459" s="139"/>
      <c r="T459" s="139"/>
      <c r="U459" s="139"/>
      <c r="V459" s="139"/>
      <c r="W459" s="139"/>
      <c r="X459" s="146"/>
      <c r="Y459" s="148"/>
      <c r="Z459" s="145"/>
      <c r="AA459" s="139"/>
      <c r="AB459" s="149"/>
      <c r="AC459" s="11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74"/>
      <c r="AR459" s="222"/>
    </row>
    <row r="460" spans="2:44" s="22" customFormat="1" ht="18" customHeight="1" x14ac:dyDescent="0.25">
      <c r="B460" s="145"/>
      <c r="C460" s="139"/>
      <c r="D460" s="146"/>
      <c r="E460" s="139"/>
      <c r="F460" s="139"/>
      <c r="G460" s="139"/>
      <c r="H460" s="139"/>
      <c r="I460" s="139"/>
      <c r="J460" s="139"/>
      <c r="K460" s="139"/>
      <c r="L460" s="243"/>
      <c r="M460" s="243"/>
      <c r="N460" s="139"/>
      <c r="O460" s="139"/>
      <c r="P460" s="139"/>
      <c r="Q460" s="147"/>
      <c r="R460" s="139"/>
      <c r="S460" s="139"/>
      <c r="T460" s="139"/>
      <c r="U460" s="139"/>
      <c r="V460" s="139"/>
      <c r="W460" s="139"/>
      <c r="X460" s="146"/>
      <c r="Y460" s="148"/>
      <c r="Z460" s="145"/>
      <c r="AA460" s="139"/>
      <c r="AB460" s="149"/>
      <c r="AC460" s="11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74"/>
      <c r="AR460" s="222"/>
    </row>
    <row r="461" spans="2:44" s="22" customFormat="1" ht="18" customHeight="1" x14ac:dyDescent="0.25">
      <c r="B461" s="145"/>
      <c r="C461" s="139"/>
      <c r="D461" s="146"/>
      <c r="E461" s="139"/>
      <c r="F461" s="139"/>
      <c r="G461" s="139"/>
      <c r="H461" s="139"/>
      <c r="I461" s="139"/>
      <c r="J461" s="139"/>
      <c r="K461" s="139"/>
      <c r="L461" s="243"/>
      <c r="M461" s="243"/>
      <c r="N461" s="139"/>
      <c r="O461" s="139"/>
      <c r="P461" s="139"/>
      <c r="Q461" s="147"/>
      <c r="R461" s="139"/>
      <c r="S461" s="139"/>
      <c r="T461" s="139"/>
      <c r="U461" s="139"/>
      <c r="V461" s="139"/>
      <c r="W461" s="139"/>
      <c r="X461" s="146"/>
      <c r="Y461" s="148"/>
      <c r="Z461" s="145"/>
      <c r="AA461" s="139"/>
      <c r="AB461" s="149"/>
      <c r="AC461" s="11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74"/>
      <c r="AR461" s="222"/>
    </row>
    <row r="462" spans="2:44" s="22" customFormat="1" ht="18" customHeight="1" x14ac:dyDescent="0.25">
      <c r="B462" s="145"/>
      <c r="C462" s="139"/>
      <c r="D462" s="146"/>
      <c r="E462" s="139"/>
      <c r="F462" s="139"/>
      <c r="G462" s="139"/>
      <c r="H462" s="139"/>
      <c r="I462" s="139"/>
      <c r="J462" s="139"/>
      <c r="K462" s="139"/>
      <c r="L462" s="243"/>
      <c r="M462" s="243"/>
      <c r="N462" s="139"/>
      <c r="O462" s="139"/>
      <c r="P462" s="139"/>
      <c r="Q462" s="147"/>
      <c r="R462" s="139"/>
      <c r="S462" s="139"/>
      <c r="T462" s="139"/>
      <c r="U462" s="139"/>
      <c r="V462" s="139"/>
      <c r="W462" s="139"/>
      <c r="X462" s="146"/>
      <c r="Y462" s="148"/>
      <c r="Z462" s="145"/>
      <c r="AA462" s="139"/>
      <c r="AB462" s="149"/>
      <c r="AC462" s="11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74"/>
      <c r="AR462" s="222"/>
    </row>
    <row r="463" spans="2:44" s="22" customFormat="1" ht="18" customHeight="1" x14ac:dyDescent="0.25">
      <c r="B463" s="145"/>
      <c r="C463" s="139"/>
      <c r="D463" s="146"/>
      <c r="E463" s="139"/>
      <c r="F463" s="139"/>
      <c r="G463" s="139"/>
      <c r="H463" s="139"/>
      <c r="I463" s="139"/>
      <c r="J463" s="139"/>
      <c r="K463" s="139"/>
      <c r="L463" s="243"/>
      <c r="M463" s="243"/>
      <c r="N463" s="139"/>
      <c r="O463" s="139"/>
      <c r="P463" s="139"/>
      <c r="Q463" s="147"/>
      <c r="R463" s="139"/>
      <c r="S463" s="139"/>
      <c r="T463" s="139"/>
      <c r="U463" s="139"/>
      <c r="V463" s="139"/>
      <c r="W463" s="139"/>
      <c r="X463" s="146"/>
      <c r="Y463" s="148"/>
      <c r="Z463" s="145"/>
      <c r="AA463" s="139"/>
      <c r="AB463" s="149"/>
      <c r="AC463" s="11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74"/>
      <c r="AR463" s="222"/>
    </row>
    <row r="464" spans="2:44" s="22" customFormat="1" ht="18" customHeight="1" x14ac:dyDescent="0.25">
      <c r="B464" s="145"/>
      <c r="C464" s="139"/>
      <c r="D464" s="146"/>
      <c r="E464" s="139"/>
      <c r="F464" s="139"/>
      <c r="G464" s="139"/>
      <c r="H464" s="139"/>
      <c r="I464" s="139"/>
      <c r="J464" s="139"/>
      <c r="K464" s="139"/>
      <c r="L464" s="243"/>
      <c r="M464" s="243"/>
      <c r="N464" s="139"/>
      <c r="O464" s="139"/>
      <c r="P464" s="139"/>
      <c r="Q464" s="147"/>
      <c r="R464" s="139"/>
      <c r="S464" s="139"/>
      <c r="T464" s="139"/>
      <c r="U464" s="139"/>
      <c r="V464" s="139"/>
      <c r="W464" s="139"/>
      <c r="X464" s="146"/>
      <c r="Y464" s="148"/>
      <c r="Z464" s="145"/>
      <c r="AA464" s="139"/>
      <c r="AB464" s="149"/>
      <c r="AC464" s="11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74"/>
      <c r="AR464" s="222"/>
    </row>
    <row r="465" spans="2:44" s="140" customFormat="1" ht="18" customHeight="1" x14ac:dyDescent="0.25">
      <c r="B465" s="145"/>
      <c r="C465" s="139"/>
      <c r="D465" s="146"/>
      <c r="E465" s="139"/>
      <c r="F465" s="139"/>
      <c r="G465" s="139"/>
      <c r="H465" s="139"/>
      <c r="I465" s="139"/>
      <c r="J465" s="139"/>
      <c r="K465" s="139"/>
      <c r="L465" s="243"/>
      <c r="M465" s="243"/>
      <c r="N465" s="139"/>
      <c r="O465" s="139"/>
      <c r="P465" s="139"/>
      <c r="Q465" s="147"/>
      <c r="R465" s="139"/>
      <c r="S465" s="139"/>
      <c r="T465" s="139"/>
      <c r="U465" s="139"/>
      <c r="V465" s="139"/>
      <c r="W465" s="139"/>
      <c r="X465" s="146"/>
      <c r="Y465" s="148"/>
      <c r="Z465" s="145"/>
      <c r="AA465" s="139"/>
      <c r="AB465" s="149"/>
      <c r="AC465" s="11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74"/>
      <c r="AR465" s="222"/>
    </row>
    <row r="466" spans="2:44" s="22" customFormat="1" ht="18" customHeight="1" x14ac:dyDescent="0.25">
      <c r="B466" s="145"/>
      <c r="C466" s="139"/>
      <c r="D466" s="146"/>
      <c r="E466" s="139"/>
      <c r="F466" s="139"/>
      <c r="G466" s="139"/>
      <c r="H466" s="139"/>
      <c r="I466" s="139"/>
      <c r="J466" s="139"/>
      <c r="K466" s="139"/>
      <c r="L466" s="243"/>
      <c r="M466" s="243"/>
      <c r="N466" s="139"/>
      <c r="O466" s="139"/>
      <c r="P466" s="139"/>
      <c r="Q466" s="147"/>
      <c r="R466" s="139"/>
      <c r="S466" s="139"/>
      <c r="T466" s="139"/>
      <c r="U466" s="139"/>
      <c r="V466" s="139"/>
      <c r="W466" s="139"/>
      <c r="X466" s="146"/>
      <c r="Y466" s="148"/>
      <c r="Z466" s="145"/>
      <c r="AA466" s="139"/>
      <c r="AB466" s="149"/>
      <c r="AC466" s="11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74"/>
      <c r="AR466" s="222"/>
    </row>
    <row r="467" spans="2:44" s="22" customFormat="1" ht="18" customHeight="1" x14ac:dyDescent="0.25">
      <c r="B467" s="145"/>
      <c r="C467" s="139"/>
      <c r="D467" s="146"/>
      <c r="E467" s="139"/>
      <c r="F467" s="139"/>
      <c r="G467" s="139"/>
      <c r="H467" s="139"/>
      <c r="I467" s="139"/>
      <c r="J467" s="139"/>
      <c r="K467" s="139"/>
      <c r="L467" s="243"/>
      <c r="M467" s="243"/>
      <c r="N467" s="139"/>
      <c r="O467" s="139"/>
      <c r="P467" s="139"/>
      <c r="Q467" s="147"/>
      <c r="R467" s="139"/>
      <c r="S467" s="139"/>
      <c r="T467" s="139"/>
      <c r="U467" s="139"/>
      <c r="V467" s="139"/>
      <c r="W467" s="139"/>
      <c r="X467" s="146"/>
      <c r="Y467" s="148"/>
      <c r="Z467" s="145"/>
      <c r="AA467" s="139"/>
      <c r="AB467" s="149"/>
      <c r="AC467" s="11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74"/>
      <c r="AR467" s="222"/>
    </row>
    <row r="468" spans="2:44" s="22" customFormat="1" ht="18" customHeight="1" x14ac:dyDescent="0.25">
      <c r="B468" s="145"/>
      <c r="C468" s="139"/>
      <c r="D468" s="146"/>
      <c r="E468" s="139"/>
      <c r="F468" s="139"/>
      <c r="G468" s="139"/>
      <c r="H468" s="139"/>
      <c r="I468" s="139"/>
      <c r="J468" s="139"/>
      <c r="K468" s="139"/>
      <c r="L468" s="243"/>
      <c r="M468" s="243"/>
      <c r="N468" s="139"/>
      <c r="O468" s="139"/>
      <c r="P468" s="139"/>
      <c r="Q468" s="147"/>
      <c r="R468" s="139"/>
      <c r="S468" s="139"/>
      <c r="T468" s="139"/>
      <c r="U468" s="139"/>
      <c r="V468" s="139"/>
      <c r="W468" s="139"/>
      <c r="X468" s="146"/>
      <c r="Y468" s="148"/>
      <c r="Z468" s="145"/>
      <c r="AA468" s="139"/>
      <c r="AB468" s="149"/>
      <c r="AC468" s="11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74"/>
      <c r="AR468" s="222"/>
    </row>
    <row r="469" spans="2:44" s="22" customFormat="1" ht="18" customHeight="1" x14ac:dyDescent="0.25">
      <c r="B469" s="145"/>
      <c r="C469" s="139"/>
      <c r="D469" s="146"/>
      <c r="E469" s="139"/>
      <c r="F469" s="139"/>
      <c r="G469" s="139"/>
      <c r="H469" s="139"/>
      <c r="I469" s="139"/>
      <c r="J469" s="139"/>
      <c r="K469" s="139"/>
      <c r="L469" s="243"/>
      <c r="M469" s="243"/>
      <c r="N469" s="139"/>
      <c r="O469" s="139"/>
      <c r="P469" s="139"/>
      <c r="Q469" s="147"/>
      <c r="R469" s="139"/>
      <c r="S469" s="139"/>
      <c r="T469" s="139"/>
      <c r="U469" s="139"/>
      <c r="V469" s="139"/>
      <c r="W469" s="139"/>
      <c r="X469" s="146"/>
      <c r="Y469" s="148"/>
      <c r="Z469" s="145"/>
      <c r="AA469" s="139"/>
      <c r="AB469" s="149"/>
      <c r="AC469" s="11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74"/>
      <c r="AR469" s="222"/>
    </row>
    <row r="470" spans="2:44" s="22" customFormat="1" ht="18" customHeight="1" x14ac:dyDescent="0.25">
      <c r="B470" s="145"/>
      <c r="C470" s="139"/>
      <c r="D470" s="146"/>
      <c r="E470" s="139"/>
      <c r="F470" s="139"/>
      <c r="G470" s="139"/>
      <c r="H470" s="139"/>
      <c r="I470" s="139"/>
      <c r="J470" s="139"/>
      <c r="K470" s="139"/>
      <c r="L470" s="243"/>
      <c r="M470" s="243"/>
      <c r="N470" s="139"/>
      <c r="O470" s="139"/>
      <c r="P470" s="139"/>
      <c r="Q470" s="147"/>
      <c r="R470" s="139"/>
      <c r="S470" s="139"/>
      <c r="T470" s="139"/>
      <c r="U470" s="139"/>
      <c r="V470" s="139"/>
      <c r="W470" s="139"/>
      <c r="X470" s="146"/>
      <c r="Y470" s="148"/>
      <c r="Z470" s="145"/>
      <c r="AA470" s="139"/>
      <c r="AB470" s="149"/>
      <c r="AC470" s="11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74"/>
      <c r="AR470" s="222"/>
    </row>
    <row r="471" spans="2:44" s="22" customFormat="1" ht="18" customHeight="1" x14ac:dyDescent="0.25">
      <c r="B471" s="145"/>
      <c r="C471" s="139"/>
      <c r="D471" s="146"/>
      <c r="E471" s="139"/>
      <c r="F471" s="139"/>
      <c r="G471" s="139"/>
      <c r="H471" s="139"/>
      <c r="I471" s="139"/>
      <c r="J471" s="139"/>
      <c r="K471" s="139"/>
      <c r="L471" s="243"/>
      <c r="M471" s="243"/>
      <c r="N471" s="139"/>
      <c r="O471" s="139"/>
      <c r="P471" s="139"/>
      <c r="Q471" s="147"/>
      <c r="R471" s="139"/>
      <c r="S471" s="139"/>
      <c r="T471" s="139"/>
      <c r="U471" s="139"/>
      <c r="V471" s="139"/>
      <c r="W471" s="139"/>
      <c r="X471" s="146"/>
      <c r="Y471" s="148"/>
      <c r="Z471" s="145"/>
      <c r="AA471" s="139"/>
      <c r="AB471" s="149"/>
      <c r="AC471" s="11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74"/>
      <c r="AR471" s="222"/>
    </row>
    <row r="472" spans="2:44" s="22" customFormat="1" ht="18" customHeight="1" x14ac:dyDescent="0.25">
      <c r="B472" s="145"/>
      <c r="C472" s="139"/>
      <c r="D472" s="146"/>
      <c r="E472" s="139"/>
      <c r="F472" s="139"/>
      <c r="G472" s="139"/>
      <c r="H472" s="139"/>
      <c r="I472" s="139"/>
      <c r="J472" s="139"/>
      <c r="K472" s="139"/>
      <c r="L472" s="243"/>
      <c r="M472" s="243"/>
      <c r="N472" s="139"/>
      <c r="O472" s="139"/>
      <c r="P472" s="139"/>
      <c r="Q472" s="147"/>
      <c r="R472" s="139"/>
      <c r="S472" s="139"/>
      <c r="T472" s="139"/>
      <c r="U472" s="139"/>
      <c r="V472" s="139"/>
      <c r="W472" s="139"/>
      <c r="X472" s="146"/>
      <c r="Y472" s="148"/>
      <c r="Z472" s="145"/>
      <c r="AA472" s="139"/>
      <c r="AB472" s="149"/>
      <c r="AC472" s="11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74"/>
      <c r="AR472" s="222"/>
    </row>
    <row r="473" spans="2:44" s="22" customFormat="1" ht="18" customHeight="1" x14ac:dyDescent="0.25">
      <c r="B473" s="145"/>
      <c r="C473" s="139"/>
      <c r="D473" s="146"/>
      <c r="E473" s="139"/>
      <c r="F473" s="139"/>
      <c r="G473" s="139"/>
      <c r="H473" s="139"/>
      <c r="I473" s="139"/>
      <c r="J473" s="139"/>
      <c r="K473" s="139"/>
      <c r="L473" s="243"/>
      <c r="M473" s="243"/>
      <c r="N473" s="139"/>
      <c r="O473" s="139"/>
      <c r="P473" s="139"/>
      <c r="Q473" s="147"/>
      <c r="R473" s="139"/>
      <c r="S473" s="139"/>
      <c r="T473" s="139"/>
      <c r="U473" s="139"/>
      <c r="V473" s="139"/>
      <c r="W473" s="139"/>
      <c r="X473" s="146"/>
      <c r="Y473" s="148"/>
      <c r="Z473" s="145"/>
      <c r="AA473" s="139"/>
      <c r="AB473" s="149"/>
      <c r="AC473" s="11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74"/>
      <c r="AR473" s="222"/>
    </row>
    <row r="474" spans="2:44" s="22" customFormat="1" ht="18" customHeight="1" x14ac:dyDescent="0.25">
      <c r="B474" s="145"/>
      <c r="C474" s="139"/>
      <c r="D474" s="146"/>
      <c r="E474" s="139"/>
      <c r="F474" s="139"/>
      <c r="G474" s="139"/>
      <c r="H474" s="139"/>
      <c r="I474" s="139"/>
      <c r="J474" s="139"/>
      <c r="K474" s="139"/>
      <c r="L474" s="243"/>
      <c r="M474" s="243"/>
      <c r="N474" s="139"/>
      <c r="O474" s="139"/>
      <c r="P474" s="139"/>
      <c r="Q474" s="147"/>
      <c r="R474" s="139"/>
      <c r="S474" s="139"/>
      <c r="T474" s="139"/>
      <c r="U474" s="139"/>
      <c r="V474" s="139"/>
      <c r="W474" s="139"/>
      <c r="X474" s="146"/>
      <c r="Y474" s="148"/>
      <c r="Z474" s="145"/>
      <c r="AA474" s="139"/>
      <c r="AB474" s="149"/>
      <c r="AC474" s="11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74"/>
      <c r="AR474" s="222"/>
    </row>
    <row r="475" spans="2:44" s="22" customFormat="1" ht="18" customHeight="1" x14ac:dyDescent="0.25">
      <c r="B475" s="145"/>
      <c r="C475" s="139"/>
      <c r="D475" s="146"/>
      <c r="E475" s="139"/>
      <c r="F475" s="139"/>
      <c r="G475" s="139"/>
      <c r="H475" s="139"/>
      <c r="I475" s="139"/>
      <c r="J475" s="139"/>
      <c r="K475" s="139"/>
      <c r="L475" s="243"/>
      <c r="M475" s="243"/>
      <c r="N475" s="139"/>
      <c r="O475" s="139"/>
      <c r="P475" s="139"/>
      <c r="Q475" s="147"/>
      <c r="R475" s="139"/>
      <c r="S475" s="139"/>
      <c r="T475" s="139"/>
      <c r="U475" s="139"/>
      <c r="V475" s="139"/>
      <c r="W475" s="139"/>
      <c r="X475" s="146"/>
      <c r="Y475" s="148"/>
      <c r="Z475" s="145"/>
      <c r="AA475" s="139"/>
      <c r="AB475" s="149"/>
      <c r="AC475" s="11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74"/>
      <c r="AR475" s="222"/>
    </row>
    <row r="476" spans="2:44" s="141" customFormat="1" ht="18" customHeight="1" x14ac:dyDescent="0.25">
      <c r="B476" s="145"/>
      <c r="C476" s="139"/>
      <c r="D476" s="146"/>
      <c r="E476" s="139"/>
      <c r="F476" s="139"/>
      <c r="G476" s="139"/>
      <c r="H476" s="139"/>
      <c r="I476" s="139"/>
      <c r="J476" s="139"/>
      <c r="K476" s="139"/>
      <c r="L476" s="243"/>
      <c r="M476" s="243"/>
      <c r="N476" s="139"/>
      <c r="O476" s="139"/>
      <c r="P476" s="139"/>
      <c r="Q476" s="147"/>
      <c r="R476" s="139"/>
      <c r="S476" s="139"/>
      <c r="T476" s="139"/>
      <c r="U476" s="139"/>
      <c r="V476" s="139"/>
      <c r="W476" s="139"/>
      <c r="X476" s="146"/>
      <c r="Y476" s="148"/>
      <c r="Z476" s="145"/>
      <c r="AA476" s="139"/>
      <c r="AB476" s="149"/>
      <c r="AC476" s="11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74"/>
      <c r="AR476" s="222"/>
    </row>
    <row r="477" spans="2:44" s="22" customFormat="1" ht="18" customHeight="1" x14ac:dyDescent="0.25">
      <c r="B477" s="145"/>
      <c r="C477" s="139"/>
      <c r="D477" s="146"/>
      <c r="E477" s="139"/>
      <c r="F477" s="139"/>
      <c r="G477" s="139"/>
      <c r="H477" s="139"/>
      <c r="I477" s="139"/>
      <c r="J477" s="139"/>
      <c r="K477" s="139"/>
      <c r="L477" s="243"/>
      <c r="M477" s="243"/>
      <c r="N477" s="139"/>
      <c r="O477" s="139"/>
      <c r="P477" s="139"/>
      <c r="Q477" s="147"/>
      <c r="R477" s="139"/>
      <c r="S477" s="139"/>
      <c r="T477" s="139"/>
      <c r="U477" s="139"/>
      <c r="V477" s="139"/>
      <c r="W477" s="139"/>
      <c r="X477" s="146"/>
      <c r="Y477" s="148"/>
      <c r="Z477" s="145"/>
      <c r="AA477" s="139"/>
      <c r="AB477" s="149"/>
      <c r="AC477" s="11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74"/>
      <c r="AR477" s="222"/>
    </row>
    <row r="478" spans="2:44" s="141" customFormat="1" ht="18" customHeight="1" x14ac:dyDescent="0.25">
      <c r="B478" s="145"/>
      <c r="C478" s="139"/>
      <c r="D478" s="146"/>
      <c r="E478" s="139"/>
      <c r="F478" s="139"/>
      <c r="G478" s="139"/>
      <c r="H478" s="139"/>
      <c r="I478" s="139"/>
      <c r="J478" s="139"/>
      <c r="K478" s="139"/>
      <c r="L478" s="243"/>
      <c r="M478" s="243"/>
      <c r="N478" s="139"/>
      <c r="O478" s="139"/>
      <c r="P478" s="139"/>
      <c r="Q478" s="147"/>
      <c r="R478" s="139"/>
      <c r="S478" s="139"/>
      <c r="T478" s="139"/>
      <c r="U478" s="139"/>
      <c r="V478" s="139"/>
      <c r="W478" s="139"/>
      <c r="X478" s="146"/>
      <c r="Y478" s="148"/>
      <c r="Z478" s="145"/>
      <c r="AA478" s="139"/>
      <c r="AB478" s="149"/>
      <c r="AC478" s="11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74"/>
      <c r="AR478" s="222"/>
    </row>
    <row r="479" spans="2:44" s="141" customFormat="1" ht="18" customHeight="1" x14ac:dyDescent="0.25">
      <c r="B479" s="145"/>
      <c r="C479" s="139"/>
      <c r="D479" s="146"/>
      <c r="E479" s="139"/>
      <c r="F479" s="139"/>
      <c r="G479" s="139"/>
      <c r="H479" s="139"/>
      <c r="I479" s="139"/>
      <c r="J479" s="139"/>
      <c r="K479" s="139"/>
      <c r="L479" s="243"/>
      <c r="M479" s="243"/>
      <c r="N479" s="139"/>
      <c r="O479" s="139"/>
      <c r="P479" s="139"/>
      <c r="Q479" s="147"/>
      <c r="R479" s="139"/>
      <c r="S479" s="139"/>
      <c r="T479" s="139"/>
      <c r="U479" s="139"/>
      <c r="V479" s="139"/>
      <c r="W479" s="139"/>
      <c r="X479" s="146"/>
      <c r="Y479" s="148"/>
      <c r="Z479" s="145"/>
      <c r="AA479" s="139"/>
      <c r="AB479" s="149"/>
      <c r="AC479" s="11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74"/>
      <c r="AR479" s="222"/>
    </row>
    <row r="480" spans="2:44" s="141" customFormat="1" ht="18" customHeight="1" x14ac:dyDescent="0.25">
      <c r="B480" s="145"/>
      <c r="C480" s="139"/>
      <c r="D480" s="146"/>
      <c r="E480" s="139"/>
      <c r="F480" s="139"/>
      <c r="G480" s="139"/>
      <c r="H480" s="139"/>
      <c r="I480" s="139"/>
      <c r="J480" s="139"/>
      <c r="K480" s="139"/>
      <c r="L480" s="243"/>
      <c r="M480" s="243"/>
      <c r="N480" s="139"/>
      <c r="O480" s="139"/>
      <c r="P480" s="139"/>
      <c r="Q480" s="147"/>
      <c r="R480" s="139"/>
      <c r="S480" s="139"/>
      <c r="T480" s="139"/>
      <c r="U480" s="139"/>
      <c r="V480" s="139"/>
      <c r="W480" s="139"/>
      <c r="X480" s="146"/>
      <c r="Y480" s="148"/>
      <c r="Z480" s="145"/>
      <c r="AA480" s="139"/>
      <c r="AB480" s="149"/>
      <c r="AC480" s="11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74"/>
      <c r="AR480" s="222"/>
    </row>
    <row r="481" spans="2:44" s="141" customFormat="1" ht="18" customHeight="1" x14ac:dyDescent="0.25">
      <c r="B481" s="145"/>
      <c r="C481" s="139"/>
      <c r="D481" s="146"/>
      <c r="E481" s="139"/>
      <c r="F481" s="139"/>
      <c r="G481" s="139"/>
      <c r="H481" s="139"/>
      <c r="I481" s="139"/>
      <c r="J481" s="139"/>
      <c r="K481" s="139"/>
      <c r="L481" s="243"/>
      <c r="M481" s="243"/>
      <c r="N481" s="139"/>
      <c r="O481" s="139"/>
      <c r="P481" s="139"/>
      <c r="Q481" s="147"/>
      <c r="R481" s="139"/>
      <c r="S481" s="139"/>
      <c r="T481" s="139"/>
      <c r="U481" s="139"/>
      <c r="V481" s="139"/>
      <c r="W481" s="139"/>
      <c r="X481" s="146"/>
      <c r="Y481" s="148"/>
      <c r="Z481" s="145"/>
      <c r="AA481" s="139"/>
      <c r="AB481" s="149"/>
      <c r="AC481" s="11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74"/>
      <c r="AR481" s="222"/>
    </row>
    <row r="482" spans="2:44" s="141" customFormat="1" ht="18" customHeight="1" x14ac:dyDescent="0.25">
      <c r="B482" s="145"/>
      <c r="C482" s="139"/>
      <c r="D482" s="146"/>
      <c r="E482" s="139"/>
      <c r="F482" s="139"/>
      <c r="G482" s="139"/>
      <c r="H482" s="139"/>
      <c r="I482" s="139"/>
      <c r="J482" s="139"/>
      <c r="K482" s="139"/>
      <c r="L482" s="243"/>
      <c r="M482" s="243"/>
      <c r="N482" s="139"/>
      <c r="O482" s="139"/>
      <c r="P482" s="139"/>
      <c r="Q482" s="147"/>
      <c r="R482" s="139"/>
      <c r="S482" s="139"/>
      <c r="T482" s="139"/>
      <c r="U482" s="139"/>
      <c r="V482" s="139"/>
      <c r="W482" s="139"/>
      <c r="X482" s="146"/>
      <c r="Y482" s="148"/>
      <c r="Z482" s="145"/>
      <c r="AA482" s="139"/>
      <c r="AB482" s="149"/>
      <c r="AC482" s="11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74"/>
      <c r="AR482" s="222"/>
    </row>
    <row r="483" spans="2:44" s="22" customFormat="1" ht="18" customHeight="1" x14ac:dyDescent="0.25">
      <c r="B483" s="145"/>
      <c r="C483" s="139"/>
      <c r="D483" s="146"/>
      <c r="E483" s="139"/>
      <c r="F483" s="139"/>
      <c r="G483" s="139"/>
      <c r="H483" s="139"/>
      <c r="I483" s="139"/>
      <c r="J483" s="139"/>
      <c r="K483" s="139"/>
      <c r="L483" s="243"/>
      <c r="M483" s="243"/>
      <c r="N483" s="139"/>
      <c r="O483" s="139"/>
      <c r="P483" s="139"/>
      <c r="Q483" s="147"/>
      <c r="R483" s="139"/>
      <c r="S483" s="139"/>
      <c r="T483" s="139"/>
      <c r="U483" s="139"/>
      <c r="V483" s="139"/>
      <c r="W483" s="139"/>
      <c r="X483" s="146"/>
      <c r="Y483" s="148"/>
      <c r="Z483" s="145"/>
      <c r="AA483" s="139"/>
      <c r="AB483" s="149"/>
      <c r="AC483" s="11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74"/>
      <c r="AR483" s="222"/>
    </row>
    <row r="484" spans="2:44" s="22" customFormat="1" ht="18" customHeight="1" x14ac:dyDescent="0.25">
      <c r="B484" s="145"/>
      <c r="C484" s="139"/>
      <c r="D484" s="146"/>
      <c r="E484" s="139"/>
      <c r="F484" s="139"/>
      <c r="G484" s="139"/>
      <c r="H484" s="139"/>
      <c r="I484" s="139"/>
      <c r="J484" s="139"/>
      <c r="K484" s="139"/>
      <c r="L484" s="243"/>
      <c r="M484" s="243"/>
      <c r="N484" s="139"/>
      <c r="O484" s="139"/>
      <c r="P484" s="139"/>
      <c r="Q484" s="147"/>
      <c r="R484" s="139"/>
      <c r="S484" s="139"/>
      <c r="T484" s="139"/>
      <c r="U484" s="139"/>
      <c r="V484" s="139"/>
      <c r="W484" s="139"/>
      <c r="X484" s="146"/>
      <c r="Y484" s="148"/>
      <c r="Z484" s="145"/>
      <c r="AA484" s="139"/>
      <c r="AB484" s="149"/>
      <c r="AC484" s="11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74"/>
      <c r="AR484" s="222"/>
    </row>
    <row r="485" spans="2:44" s="22" customFormat="1" ht="18" customHeight="1" x14ac:dyDescent="0.25">
      <c r="B485" s="145"/>
      <c r="C485" s="139"/>
      <c r="D485" s="146"/>
      <c r="E485" s="139"/>
      <c r="F485" s="139"/>
      <c r="G485" s="139"/>
      <c r="H485" s="139"/>
      <c r="I485" s="139"/>
      <c r="J485" s="139"/>
      <c r="K485" s="139"/>
      <c r="L485" s="243"/>
      <c r="M485" s="243"/>
      <c r="N485" s="139"/>
      <c r="O485" s="139"/>
      <c r="P485" s="139"/>
      <c r="Q485" s="147"/>
      <c r="R485" s="139"/>
      <c r="S485" s="139"/>
      <c r="T485" s="139"/>
      <c r="U485" s="139"/>
      <c r="V485" s="139"/>
      <c r="W485" s="139"/>
      <c r="X485" s="146"/>
      <c r="Y485" s="148"/>
      <c r="Z485" s="145"/>
      <c r="AA485" s="139"/>
      <c r="AB485" s="149"/>
      <c r="AC485" s="11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74"/>
      <c r="AR485" s="222"/>
    </row>
    <row r="486" spans="2:44" s="141" customFormat="1" ht="18" customHeight="1" x14ac:dyDescent="0.25">
      <c r="B486" s="145"/>
      <c r="C486" s="139"/>
      <c r="D486" s="146"/>
      <c r="E486" s="139"/>
      <c r="F486" s="139"/>
      <c r="G486" s="139"/>
      <c r="H486" s="139"/>
      <c r="I486" s="139"/>
      <c r="J486" s="139"/>
      <c r="K486" s="139"/>
      <c r="L486" s="243"/>
      <c r="M486" s="243"/>
      <c r="N486" s="139"/>
      <c r="O486" s="139"/>
      <c r="P486" s="139"/>
      <c r="Q486" s="147"/>
      <c r="R486" s="139"/>
      <c r="S486" s="139"/>
      <c r="T486" s="139"/>
      <c r="U486" s="139"/>
      <c r="V486" s="139"/>
      <c r="W486" s="139"/>
      <c r="X486" s="146"/>
      <c r="Y486" s="148"/>
      <c r="Z486" s="145"/>
      <c r="AA486" s="139"/>
      <c r="AB486" s="149"/>
      <c r="AC486" s="11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74"/>
      <c r="AR486" s="222"/>
    </row>
    <row r="487" spans="2:44" s="22" customFormat="1" ht="18" customHeight="1" x14ac:dyDescent="0.25">
      <c r="B487" s="145"/>
      <c r="C487" s="139"/>
      <c r="D487" s="146"/>
      <c r="E487" s="139"/>
      <c r="F487" s="139"/>
      <c r="G487" s="139"/>
      <c r="H487" s="139"/>
      <c r="I487" s="139"/>
      <c r="J487" s="139"/>
      <c r="K487" s="139"/>
      <c r="L487" s="243"/>
      <c r="M487" s="243"/>
      <c r="N487" s="139"/>
      <c r="O487" s="139"/>
      <c r="P487" s="139"/>
      <c r="Q487" s="147"/>
      <c r="R487" s="139"/>
      <c r="S487" s="139"/>
      <c r="T487" s="139"/>
      <c r="U487" s="139"/>
      <c r="V487" s="139"/>
      <c r="W487" s="139"/>
      <c r="X487" s="146"/>
      <c r="Y487" s="148"/>
      <c r="Z487" s="145"/>
      <c r="AA487" s="139"/>
      <c r="AB487" s="149"/>
      <c r="AC487" s="11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74"/>
      <c r="AR487" s="222"/>
    </row>
    <row r="488" spans="2:44" s="22" customFormat="1" ht="18" customHeight="1" x14ac:dyDescent="0.25">
      <c r="B488" s="145"/>
      <c r="C488" s="139"/>
      <c r="D488" s="146"/>
      <c r="E488" s="139"/>
      <c r="F488" s="139"/>
      <c r="G488" s="139"/>
      <c r="H488" s="139"/>
      <c r="I488" s="139"/>
      <c r="J488" s="139"/>
      <c r="K488" s="139"/>
      <c r="L488" s="243"/>
      <c r="M488" s="243"/>
      <c r="N488" s="139"/>
      <c r="O488" s="139"/>
      <c r="P488" s="139"/>
      <c r="Q488" s="147"/>
      <c r="R488" s="139"/>
      <c r="S488" s="139"/>
      <c r="T488" s="139"/>
      <c r="U488" s="139"/>
      <c r="V488" s="139"/>
      <c r="W488" s="139"/>
      <c r="X488" s="146"/>
      <c r="Y488" s="148"/>
      <c r="Z488" s="145"/>
      <c r="AA488" s="139"/>
      <c r="AB488" s="149"/>
      <c r="AC488" s="11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74"/>
      <c r="AR488" s="222"/>
    </row>
    <row r="489" spans="2:44" s="140" customFormat="1" ht="18" customHeight="1" x14ac:dyDescent="0.25">
      <c r="B489" s="145"/>
      <c r="C489" s="139"/>
      <c r="D489" s="146"/>
      <c r="E489" s="139"/>
      <c r="F489" s="139"/>
      <c r="G489" s="139"/>
      <c r="H489" s="139"/>
      <c r="I489" s="139"/>
      <c r="J489" s="139"/>
      <c r="K489" s="139"/>
      <c r="L489" s="243"/>
      <c r="M489" s="243"/>
      <c r="N489" s="139"/>
      <c r="O489" s="139"/>
      <c r="P489" s="139"/>
      <c r="Q489" s="147"/>
      <c r="R489" s="139"/>
      <c r="S489" s="139"/>
      <c r="T489" s="139"/>
      <c r="U489" s="139"/>
      <c r="V489" s="139"/>
      <c r="W489" s="139"/>
      <c r="X489" s="146"/>
      <c r="Y489" s="148"/>
      <c r="Z489" s="145"/>
      <c r="AA489" s="139"/>
      <c r="AB489" s="149"/>
      <c r="AC489" s="11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74"/>
      <c r="AR489" s="222"/>
    </row>
    <row r="490" spans="2:44" s="141" customFormat="1" ht="18" customHeight="1" x14ac:dyDescent="0.25">
      <c r="B490" s="145"/>
      <c r="C490" s="139"/>
      <c r="D490" s="146"/>
      <c r="E490" s="139"/>
      <c r="F490" s="139"/>
      <c r="G490" s="139"/>
      <c r="H490" s="139"/>
      <c r="I490" s="139"/>
      <c r="J490" s="139"/>
      <c r="K490" s="139"/>
      <c r="L490" s="243"/>
      <c r="M490" s="243"/>
      <c r="N490" s="139"/>
      <c r="O490" s="139"/>
      <c r="P490" s="139"/>
      <c r="Q490" s="147"/>
      <c r="R490" s="139"/>
      <c r="S490" s="139"/>
      <c r="T490" s="139"/>
      <c r="U490" s="139"/>
      <c r="V490" s="139"/>
      <c r="W490" s="139"/>
      <c r="X490" s="146"/>
      <c r="Y490" s="148"/>
      <c r="Z490" s="145"/>
      <c r="AA490" s="139"/>
      <c r="AB490" s="149"/>
      <c r="AC490" s="11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74"/>
      <c r="AR490" s="222"/>
    </row>
    <row r="491" spans="2:44" s="22" customFormat="1" ht="18" customHeight="1" x14ac:dyDescent="0.25">
      <c r="B491" s="145"/>
      <c r="C491" s="139"/>
      <c r="D491" s="146"/>
      <c r="E491" s="139"/>
      <c r="F491" s="139"/>
      <c r="G491" s="139"/>
      <c r="H491" s="139"/>
      <c r="I491" s="139"/>
      <c r="J491" s="139"/>
      <c r="K491" s="139"/>
      <c r="L491" s="243"/>
      <c r="M491" s="243"/>
      <c r="N491" s="139"/>
      <c r="O491" s="139"/>
      <c r="P491" s="139"/>
      <c r="Q491" s="147"/>
      <c r="R491" s="139"/>
      <c r="S491" s="139"/>
      <c r="T491" s="139"/>
      <c r="U491" s="139"/>
      <c r="V491" s="139"/>
      <c r="W491" s="139"/>
      <c r="X491" s="146"/>
      <c r="Y491" s="148"/>
      <c r="Z491" s="145"/>
      <c r="AA491" s="139"/>
      <c r="AB491" s="149"/>
      <c r="AC491" s="11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74"/>
      <c r="AR491" s="222"/>
    </row>
    <row r="492" spans="2:44" s="22" customFormat="1" ht="18" customHeight="1" x14ac:dyDescent="0.25">
      <c r="B492" s="145"/>
      <c r="C492" s="139"/>
      <c r="D492" s="146"/>
      <c r="E492" s="139"/>
      <c r="F492" s="139"/>
      <c r="G492" s="139"/>
      <c r="H492" s="139"/>
      <c r="I492" s="139"/>
      <c r="J492" s="139"/>
      <c r="K492" s="139"/>
      <c r="L492" s="243"/>
      <c r="M492" s="243"/>
      <c r="N492" s="139"/>
      <c r="O492" s="139"/>
      <c r="P492" s="139"/>
      <c r="Q492" s="147"/>
      <c r="R492" s="139"/>
      <c r="S492" s="139"/>
      <c r="T492" s="139"/>
      <c r="U492" s="139"/>
      <c r="V492" s="139"/>
      <c r="W492" s="139"/>
      <c r="X492" s="146"/>
      <c r="Y492" s="148"/>
      <c r="Z492" s="145"/>
      <c r="AA492" s="139"/>
      <c r="AB492" s="149"/>
      <c r="AC492" s="11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74"/>
      <c r="AR492" s="222"/>
    </row>
    <row r="493" spans="2:44" s="22" customFormat="1" ht="18" customHeight="1" x14ac:dyDescent="0.25">
      <c r="B493" s="145"/>
      <c r="C493" s="139"/>
      <c r="D493" s="146"/>
      <c r="E493" s="139"/>
      <c r="F493" s="139"/>
      <c r="G493" s="139"/>
      <c r="H493" s="139"/>
      <c r="I493" s="139"/>
      <c r="J493" s="139"/>
      <c r="K493" s="139"/>
      <c r="L493" s="243"/>
      <c r="M493" s="243"/>
      <c r="N493" s="139"/>
      <c r="O493" s="139"/>
      <c r="P493" s="139"/>
      <c r="Q493" s="147"/>
      <c r="R493" s="139"/>
      <c r="S493" s="139"/>
      <c r="T493" s="139"/>
      <c r="U493" s="139"/>
      <c r="V493" s="139"/>
      <c r="W493" s="139"/>
      <c r="X493" s="146"/>
      <c r="Y493" s="148"/>
      <c r="Z493" s="145"/>
      <c r="AA493" s="139"/>
      <c r="AB493" s="149"/>
      <c r="AC493" s="11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74"/>
      <c r="AR493" s="222"/>
    </row>
    <row r="494" spans="2:44" s="22" customFormat="1" ht="18" customHeight="1" x14ac:dyDescent="0.25">
      <c r="B494" s="145"/>
      <c r="C494" s="139"/>
      <c r="D494" s="146"/>
      <c r="E494" s="139"/>
      <c r="F494" s="139"/>
      <c r="G494" s="139"/>
      <c r="H494" s="139"/>
      <c r="I494" s="139"/>
      <c r="J494" s="139"/>
      <c r="K494" s="139"/>
      <c r="L494" s="243"/>
      <c r="M494" s="243"/>
      <c r="N494" s="139"/>
      <c r="O494" s="139"/>
      <c r="P494" s="139"/>
      <c r="Q494" s="147"/>
      <c r="R494" s="139"/>
      <c r="S494" s="139"/>
      <c r="T494" s="139"/>
      <c r="U494" s="139"/>
      <c r="V494" s="139"/>
      <c r="W494" s="139"/>
      <c r="X494" s="146"/>
      <c r="Y494" s="148"/>
      <c r="Z494" s="145"/>
      <c r="AA494" s="139"/>
      <c r="AB494" s="149"/>
      <c r="AC494" s="11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74"/>
      <c r="AR494" s="222"/>
    </row>
    <row r="495" spans="2:44" s="22" customFormat="1" ht="18" customHeight="1" x14ac:dyDescent="0.25">
      <c r="B495" s="145"/>
      <c r="C495" s="139"/>
      <c r="D495" s="146"/>
      <c r="E495" s="139"/>
      <c r="F495" s="139"/>
      <c r="G495" s="139"/>
      <c r="H495" s="139"/>
      <c r="I495" s="139"/>
      <c r="J495" s="139"/>
      <c r="K495" s="139"/>
      <c r="L495" s="243"/>
      <c r="M495" s="243"/>
      <c r="N495" s="139"/>
      <c r="O495" s="139"/>
      <c r="P495" s="139"/>
      <c r="Q495" s="147"/>
      <c r="R495" s="139"/>
      <c r="S495" s="139"/>
      <c r="T495" s="139"/>
      <c r="U495" s="139"/>
      <c r="V495" s="139"/>
      <c r="W495" s="139"/>
      <c r="X495" s="146"/>
      <c r="Y495" s="148"/>
      <c r="Z495" s="145"/>
      <c r="AA495" s="139"/>
      <c r="AB495" s="149"/>
      <c r="AC495" s="11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74"/>
      <c r="AR495" s="222"/>
    </row>
    <row r="496" spans="2:44" s="140" customFormat="1" ht="18" customHeight="1" x14ac:dyDescent="0.25">
      <c r="B496" s="145"/>
      <c r="C496" s="139"/>
      <c r="D496" s="146"/>
      <c r="E496" s="139"/>
      <c r="F496" s="139"/>
      <c r="G496" s="139"/>
      <c r="H496" s="139"/>
      <c r="I496" s="139"/>
      <c r="J496" s="139"/>
      <c r="K496" s="139"/>
      <c r="L496" s="243"/>
      <c r="M496" s="243"/>
      <c r="N496" s="139"/>
      <c r="O496" s="139"/>
      <c r="P496" s="139"/>
      <c r="Q496" s="147"/>
      <c r="R496" s="139"/>
      <c r="S496" s="139"/>
      <c r="T496" s="139"/>
      <c r="U496" s="139"/>
      <c r="V496" s="139"/>
      <c r="W496" s="139"/>
      <c r="X496" s="146"/>
      <c r="Y496" s="148"/>
      <c r="Z496" s="145"/>
      <c r="AA496" s="139"/>
      <c r="AB496" s="149"/>
      <c r="AC496" s="11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74"/>
      <c r="AR496" s="222"/>
    </row>
    <row r="497" spans="2:44" s="140" customFormat="1" ht="18" customHeight="1" x14ac:dyDescent="0.25">
      <c r="B497" s="145"/>
      <c r="C497" s="139"/>
      <c r="D497" s="146"/>
      <c r="E497" s="139"/>
      <c r="F497" s="139"/>
      <c r="G497" s="139"/>
      <c r="H497" s="139"/>
      <c r="I497" s="139"/>
      <c r="J497" s="139"/>
      <c r="K497" s="139"/>
      <c r="L497" s="243"/>
      <c r="M497" s="243"/>
      <c r="N497" s="139"/>
      <c r="O497" s="139"/>
      <c r="P497" s="139"/>
      <c r="Q497" s="147"/>
      <c r="R497" s="139"/>
      <c r="S497" s="139"/>
      <c r="T497" s="139"/>
      <c r="U497" s="139"/>
      <c r="V497" s="139"/>
      <c r="W497" s="139"/>
      <c r="X497" s="146"/>
      <c r="Y497" s="148"/>
      <c r="Z497" s="145"/>
      <c r="AA497" s="139"/>
      <c r="AB497" s="149"/>
      <c r="AC497" s="11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74"/>
      <c r="AR497" s="222"/>
    </row>
    <row r="498" spans="2:44" s="140" customFormat="1" ht="18" customHeight="1" x14ac:dyDescent="0.25">
      <c r="B498" s="145"/>
      <c r="C498" s="139"/>
      <c r="D498" s="146"/>
      <c r="E498" s="139"/>
      <c r="F498" s="139"/>
      <c r="G498" s="139"/>
      <c r="H498" s="139"/>
      <c r="I498" s="139"/>
      <c r="J498" s="139"/>
      <c r="K498" s="139"/>
      <c r="L498" s="243"/>
      <c r="M498" s="243"/>
      <c r="N498" s="139"/>
      <c r="O498" s="139"/>
      <c r="P498" s="139"/>
      <c r="Q498" s="147"/>
      <c r="R498" s="139"/>
      <c r="S498" s="139"/>
      <c r="T498" s="139"/>
      <c r="U498" s="139"/>
      <c r="V498" s="139"/>
      <c r="W498" s="139"/>
      <c r="X498" s="146"/>
      <c r="Y498" s="148"/>
      <c r="Z498" s="145"/>
      <c r="AA498" s="139"/>
      <c r="AB498" s="149"/>
      <c r="AC498" s="11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74"/>
      <c r="AR498" s="222"/>
    </row>
    <row r="499" spans="2:44" s="140" customFormat="1" ht="18" customHeight="1" x14ac:dyDescent="0.25">
      <c r="B499" s="145"/>
      <c r="C499" s="139"/>
      <c r="D499" s="146"/>
      <c r="E499" s="139"/>
      <c r="F499" s="139"/>
      <c r="G499" s="139"/>
      <c r="H499" s="139"/>
      <c r="I499" s="139"/>
      <c r="J499" s="139"/>
      <c r="K499" s="139"/>
      <c r="L499" s="243"/>
      <c r="M499" s="243"/>
      <c r="N499" s="139"/>
      <c r="O499" s="139"/>
      <c r="P499" s="139"/>
      <c r="Q499" s="147"/>
      <c r="R499" s="139"/>
      <c r="S499" s="139"/>
      <c r="T499" s="139"/>
      <c r="U499" s="139"/>
      <c r="V499" s="139"/>
      <c r="W499" s="139"/>
      <c r="X499" s="146"/>
      <c r="Y499" s="148"/>
      <c r="Z499" s="145"/>
      <c r="AA499" s="139"/>
      <c r="AB499" s="149"/>
      <c r="AC499" s="11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74"/>
      <c r="AR499" s="222"/>
    </row>
    <row r="500" spans="2:44" s="140" customFormat="1" ht="18" customHeight="1" x14ac:dyDescent="0.25">
      <c r="B500" s="145"/>
      <c r="C500" s="139"/>
      <c r="D500" s="146"/>
      <c r="E500" s="139"/>
      <c r="F500" s="139"/>
      <c r="G500" s="139"/>
      <c r="H500" s="139"/>
      <c r="I500" s="139"/>
      <c r="J500" s="139"/>
      <c r="K500" s="139"/>
      <c r="L500" s="243"/>
      <c r="M500" s="243"/>
      <c r="N500" s="139"/>
      <c r="O500" s="139"/>
      <c r="P500" s="139"/>
      <c r="Q500" s="147"/>
      <c r="R500" s="139"/>
      <c r="S500" s="139"/>
      <c r="T500" s="139"/>
      <c r="U500" s="139"/>
      <c r="V500" s="139"/>
      <c r="W500" s="139"/>
      <c r="X500" s="146"/>
      <c r="Y500" s="148"/>
      <c r="Z500" s="145"/>
      <c r="AA500" s="139"/>
      <c r="AB500" s="149"/>
      <c r="AC500" s="11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74"/>
      <c r="AR500" s="222"/>
    </row>
    <row r="501" spans="2:44" s="140" customFormat="1" ht="18" customHeight="1" x14ac:dyDescent="0.25">
      <c r="B501" s="145"/>
      <c r="C501" s="139"/>
      <c r="D501" s="146"/>
      <c r="E501" s="139"/>
      <c r="F501" s="139"/>
      <c r="G501" s="139"/>
      <c r="H501" s="139"/>
      <c r="I501" s="139"/>
      <c r="J501" s="139"/>
      <c r="K501" s="139"/>
      <c r="L501" s="243"/>
      <c r="M501" s="243"/>
      <c r="N501" s="139"/>
      <c r="O501" s="139"/>
      <c r="P501" s="139"/>
      <c r="Q501" s="147"/>
      <c r="R501" s="139"/>
      <c r="S501" s="139"/>
      <c r="T501" s="139"/>
      <c r="U501" s="139"/>
      <c r="V501" s="139"/>
      <c r="W501" s="139"/>
      <c r="X501" s="146"/>
      <c r="Y501" s="148"/>
      <c r="Z501" s="145"/>
      <c r="AA501" s="139"/>
      <c r="AB501" s="149"/>
      <c r="AC501" s="11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74"/>
      <c r="AR501" s="222"/>
    </row>
    <row r="502" spans="2:44" s="140" customFormat="1" ht="18" customHeight="1" x14ac:dyDescent="0.25">
      <c r="B502" s="145"/>
      <c r="C502" s="139"/>
      <c r="D502" s="146"/>
      <c r="E502" s="139"/>
      <c r="F502" s="139"/>
      <c r="G502" s="139"/>
      <c r="H502" s="139"/>
      <c r="I502" s="139"/>
      <c r="J502" s="139"/>
      <c r="K502" s="139"/>
      <c r="L502" s="243"/>
      <c r="M502" s="243"/>
      <c r="N502" s="139"/>
      <c r="O502" s="139"/>
      <c r="P502" s="139"/>
      <c r="Q502" s="147"/>
      <c r="R502" s="139"/>
      <c r="S502" s="139"/>
      <c r="T502" s="139"/>
      <c r="U502" s="139"/>
      <c r="V502" s="139"/>
      <c r="W502" s="139"/>
      <c r="X502" s="146"/>
      <c r="Y502" s="148"/>
      <c r="Z502" s="145"/>
      <c r="AA502" s="139"/>
      <c r="AB502" s="149"/>
      <c r="AC502" s="11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74"/>
      <c r="AR502" s="222"/>
    </row>
    <row r="503" spans="2:44" s="140" customFormat="1" ht="18" customHeight="1" x14ac:dyDescent="0.25">
      <c r="B503" s="145"/>
      <c r="C503" s="139"/>
      <c r="D503" s="146"/>
      <c r="E503" s="139"/>
      <c r="F503" s="139"/>
      <c r="G503" s="139"/>
      <c r="H503" s="139"/>
      <c r="I503" s="139"/>
      <c r="J503" s="139"/>
      <c r="K503" s="139"/>
      <c r="L503" s="243"/>
      <c r="M503" s="243"/>
      <c r="N503" s="139"/>
      <c r="O503" s="139"/>
      <c r="P503" s="139"/>
      <c r="Q503" s="147"/>
      <c r="R503" s="139"/>
      <c r="S503" s="139"/>
      <c r="T503" s="139"/>
      <c r="U503" s="139"/>
      <c r="V503" s="139"/>
      <c r="W503" s="139"/>
      <c r="X503" s="146"/>
      <c r="Y503" s="148"/>
      <c r="Z503" s="145"/>
      <c r="AA503" s="139"/>
      <c r="AB503" s="149"/>
      <c r="AC503" s="11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74"/>
      <c r="AR503" s="222"/>
    </row>
    <row r="504" spans="2:44" s="140" customFormat="1" ht="18" customHeight="1" x14ac:dyDescent="0.25">
      <c r="B504" s="145"/>
      <c r="C504" s="139"/>
      <c r="D504" s="146"/>
      <c r="E504" s="139"/>
      <c r="F504" s="139"/>
      <c r="G504" s="139"/>
      <c r="H504" s="139"/>
      <c r="I504" s="139"/>
      <c r="J504" s="139"/>
      <c r="K504" s="139"/>
      <c r="L504" s="243"/>
      <c r="M504" s="243"/>
      <c r="N504" s="139"/>
      <c r="O504" s="139"/>
      <c r="P504" s="139"/>
      <c r="Q504" s="147"/>
      <c r="R504" s="139"/>
      <c r="S504" s="139"/>
      <c r="T504" s="139"/>
      <c r="U504" s="139"/>
      <c r="V504" s="139"/>
      <c r="W504" s="139"/>
      <c r="X504" s="146"/>
      <c r="Y504" s="148"/>
      <c r="Z504" s="145"/>
      <c r="AA504" s="139"/>
      <c r="AB504" s="149"/>
      <c r="AC504" s="11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74"/>
      <c r="AR504" s="222"/>
    </row>
    <row r="505" spans="2:44" s="140" customFormat="1" ht="18" customHeight="1" x14ac:dyDescent="0.25">
      <c r="B505" s="145"/>
      <c r="C505" s="139"/>
      <c r="D505" s="146"/>
      <c r="E505" s="139"/>
      <c r="F505" s="139"/>
      <c r="G505" s="139"/>
      <c r="H505" s="139"/>
      <c r="I505" s="139"/>
      <c r="J505" s="139"/>
      <c r="K505" s="139"/>
      <c r="L505" s="243"/>
      <c r="M505" s="243"/>
      <c r="N505" s="139"/>
      <c r="O505" s="139"/>
      <c r="P505" s="139"/>
      <c r="Q505" s="147"/>
      <c r="R505" s="139"/>
      <c r="S505" s="139"/>
      <c r="T505" s="139"/>
      <c r="U505" s="139"/>
      <c r="V505" s="139"/>
      <c r="W505" s="139"/>
      <c r="X505" s="146"/>
      <c r="Y505" s="148"/>
      <c r="Z505" s="145"/>
      <c r="AA505" s="139"/>
      <c r="AB505" s="149"/>
      <c r="AC505" s="11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74"/>
      <c r="AR505" s="222"/>
    </row>
    <row r="506" spans="2:44" s="140" customFormat="1" ht="18" customHeight="1" x14ac:dyDescent="0.25">
      <c r="B506" s="145"/>
      <c r="C506" s="139"/>
      <c r="D506" s="146"/>
      <c r="E506" s="139"/>
      <c r="F506" s="139"/>
      <c r="G506" s="139"/>
      <c r="H506" s="139"/>
      <c r="I506" s="139"/>
      <c r="J506" s="139"/>
      <c r="K506" s="139"/>
      <c r="L506" s="243"/>
      <c r="M506" s="243"/>
      <c r="N506" s="139"/>
      <c r="O506" s="139"/>
      <c r="P506" s="139"/>
      <c r="Q506" s="147"/>
      <c r="R506" s="139"/>
      <c r="S506" s="139"/>
      <c r="T506" s="139"/>
      <c r="U506" s="139"/>
      <c r="V506" s="139"/>
      <c r="W506" s="139"/>
      <c r="X506" s="146"/>
      <c r="Y506" s="148"/>
      <c r="Z506" s="145"/>
      <c r="AA506" s="139"/>
      <c r="AB506" s="149"/>
      <c r="AC506" s="11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74"/>
      <c r="AR506" s="222"/>
    </row>
    <row r="507" spans="2:44" s="22" customFormat="1" ht="18" customHeight="1" x14ac:dyDescent="0.25">
      <c r="B507" s="145"/>
      <c r="C507" s="139"/>
      <c r="D507" s="146"/>
      <c r="E507" s="139"/>
      <c r="F507" s="139"/>
      <c r="G507" s="139"/>
      <c r="H507" s="139"/>
      <c r="I507" s="139"/>
      <c r="J507" s="139"/>
      <c r="K507" s="139"/>
      <c r="L507" s="243"/>
      <c r="M507" s="243"/>
      <c r="N507" s="139"/>
      <c r="O507" s="139"/>
      <c r="P507" s="139"/>
      <c r="Q507" s="147"/>
      <c r="R507" s="139"/>
      <c r="S507" s="139"/>
      <c r="T507" s="139"/>
      <c r="U507" s="139"/>
      <c r="V507" s="139"/>
      <c r="W507" s="139"/>
      <c r="X507" s="146"/>
      <c r="Y507" s="148"/>
      <c r="Z507" s="145"/>
      <c r="AA507" s="139"/>
      <c r="AB507" s="149"/>
      <c r="AC507" s="11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74"/>
      <c r="AR507" s="222"/>
    </row>
    <row r="508" spans="2:44" s="22" customFormat="1" ht="18" customHeight="1" x14ac:dyDescent="0.25">
      <c r="B508" s="145"/>
      <c r="C508" s="139"/>
      <c r="D508" s="146"/>
      <c r="E508" s="139"/>
      <c r="F508" s="139"/>
      <c r="G508" s="139"/>
      <c r="H508" s="139"/>
      <c r="I508" s="139"/>
      <c r="J508" s="139"/>
      <c r="K508" s="139"/>
      <c r="L508" s="243"/>
      <c r="M508" s="243"/>
      <c r="N508" s="139"/>
      <c r="O508" s="139"/>
      <c r="P508" s="139"/>
      <c r="Q508" s="147"/>
      <c r="R508" s="139"/>
      <c r="S508" s="139"/>
      <c r="T508" s="139"/>
      <c r="U508" s="139"/>
      <c r="V508" s="139"/>
      <c r="W508" s="139"/>
      <c r="X508" s="146"/>
      <c r="Y508" s="148"/>
      <c r="Z508" s="145"/>
      <c r="AA508" s="139"/>
      <c r="AB508" s="149"/>
      <c r="AC508" s="11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74"/>
      <c r="AR508" s="222"/>
    </row>
    <row r="509" spans="2:44" s="22" customFormat="1" ht="18" customHeight="1" x14ac:dyDescent="0.25">
      <c r="B509" s="145"/>
      <c r="C509" s="139"/>
      <c r="D509" s="146"/>
      <c r="E509" s="139"/>
      <c r="F509" s="139"/>
      <c r="G509" s="139"/>
      <c r="H509" s="139"/>
      <c r="I509" s="139"/>
      <c r="J509" s="139"/>
      <c r="K509" s="139"/>
      <c r="L509" s="243"/>
      <c r="M509" s="243"/>
      <c r="N509" s="139"/>
      <c r="O509" s="139"/>
      <c r="P509" s="139"/>
      <c r="Q509" s="147"/>
      <c r="R509" s="139"/>
      <c r="S509" s="139"/>
      <c r="T509" s="139"/>
      <c r="U509" s="139"/>
      <c r="V509" s="139"/>
      <c r="W509" s="139"/>
      <c r="X509" s="146"/>
      <c r="Y509" s="148"/>
      <c r="Z509" s="145"/>
      <c r="AA509" s="139"/>
      <c r="AB509" s="149"/>
      <c r="AC509" s="11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74"/>
      <c r="AR509" s="222"/>
    </row>
    <row r="510" spans="2:44" s="22" customFormat="1" ht="18" customHeight="1" x14ac:dyDescent="0.25">
      <c r="B510" s="145"/>
      <c r="C510" s="139"/>
      <c r="D510" s="146"/>
      <c r="E510" s="139"/>
      <c r="F510" s="139"/>
      <c r="G510" s="139"/>
      <c r="H510" s="139"/>
      <c r="I510" s="139"/>
      <c r="J510" s="139"/>
      <c r="K510" s="139"/>
      <c r="L510" s="243"/>
      <c r="M510" s="243"/>
      <c r="N510" s="139"/>
      <c r="O510" s="139"/>
      <c r="P510" s="139"/>
      <c r="Q510" s="147"/>
      <c r="R510" s="139"/>
      <c r="S510" s="139"/>
      <c r="T510" s="139"/>
      <c r="U510" s="139"/>
      <c r="V510" s="139"/>
      <c r="W510" s="139"/>
      <c r="X510" s="146"/>
      <c r="Y510" s="148"/>
      <c r="Z510" s="145"/>
      <c r="AA510" s="139"/>
      <c r="AB510" s="149"/>
      <c r="AC510" s="11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74"/>
      <c r="AR510" s="222"/>
    </row>
    <row r="511" spans="2:44" s="22" customFormat="1" ht="18" customHeight="1" x14ac:dyDescent="0.25">
      <c r="B511" s="145"/>
      <c r="C511" s="139"/>
      <c r="D511" s="146"/>
      <c r="E511" s="139"/>
      <c r="F511" s="139"/>
      <c r="G511" s="139"/>
      <c r="H511" s="139"/>
      <c r="I511" s="139"/>
      <c r="J511" s="139"/>
      <c r="K511" s="139"/>
      <c r="L511" s="243"/>
      <c r="M511" s="243"/>
      <c r="N511" s="139"/>
      <c r="O511" s="139"/>
      <c r="P511" s="139"/>
      <c r="Q511" s="147"/>
      <c r="R511" s="139"/>
      <c r="S511" s="139"/>
      <c r="T511" s="139"/>
      <c r="U511" s="139"/>
      <c r="V511" s="139"/>
      <c r="W511" s="139"/>
      <c r="X511" s="146"/>
      <c r="Y511" s="148"/>
      <c r="Z511" s="145"/>
      <c r="AA511" s="139"/>
      <c r="AB511" s="149"/>
      <c r="AC511" s="11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74"/>
      <c r="AR511" s="222"/>
    </row>
    <row r="512" spans="2:44" s="22" customFormat="1" ht="18" customHeight="1" x14ac:dyDescent="0.25">
      <c r="B512" s="145"/>
      <c r="C512" s="139"/>
      <c r="D512" s="146"/>
      <c r="E512" s="139"/>
      <c r="F512" s="139"/>
      <c r="G512" s="139"/>
      <c r="H512" s="139"/>
      <c r="I512" s="139"/>
      <c r="J512" s="139"/>
      <c r="K512" s="139"/>
      <c r="L512" s="243"/>
      <c r="M512" s="243"/>
      <c r="N512" s="139"/>
      <c r="O512" s="139"/>
      <c r="P512" s="139"/>
      <c r="Q512" s="147"/>
      <c r="R512" s="139"/>
      <c r="S512" s="139"/>
      <c r="T512" s="139"/>
      <c r="U512" s="139"/>
      <c r="V512" s="139"/>
      <c r="W512" s="139"/>
      <c r="X512" s="146"/>
      <c r="Y512" s="148"/>
      <c r="Z512" s="145"/>
      <c r="AA512" s="139"/>
      <c r="AB512" s="149"/>
      <c r="AC512" s="11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74"/>
      <c r="AR512" s="222"/>
    </row>
    <row r="513" spans="2:44" s="22" customFormat="1" ht="18" customHeight="1" x14ac:dyDescent="0.25">
      <c r="B513" s="145"/>
      <c r="C513" s="139"/>
      <c r="D513" s="146"/>
      <c r="E513" s="139"/>
      <c r="F513" s="139"/>
      <c r="G513" s="139"/>
      <c r="H513" s="139"/>
      <c r="I513" s="139"/>
      <c r="J513" s="139"/>
      <c r="K513" s="139"/>
      <c r="L513" s="243"/>
      <c r="M513" s="243"/>
      <c r="N513" s="139"/>
      <c r="O513" s="139"/>
      <c r="P513" s="139"/>
      <c r="Q513" s="147"/>
      <c r="R513" s="139"/>
      <c r="S513" s="139"/>
      <c r="T513" s="139"/>
      <c r="U513" s="139"/>
      <c r="V513" s="139"/>
      <c r="W513" s="139"/>
      <c r="X513" s="146"/>
      <c r="Y513" s="148"/>
      <c r="Z513" s="145"/>
      <c r="AA513" s="139"/>
      <c r="AB513" s="149"/>
      <c r="AC513" s="11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74"/>
      <c r="AR513" s="222"/>
    </row>
    <row r="514" spans="2:44" s="22" customFormat="1" ht="18" customHeight="1" x14ac:dyDescent="0.25">
      <c r="B514" s="145"/>
      <c r="C514" s="139"/>
      <c r="D514" s="146"/>
      <c r="E514" s="139"/>
      <c r="F514" s="139"/>
      <c r="G514" s="139"/>
      <c r="H514" s="139"/>
      <c r="I514" s="139"/>
      <c r="J514" s="139"/>
      <c r="K514" s="139"/>
      <c r="L514" s="243"/>
      <c r="M514" s="243"/>
      <c r="N514" s="139"/>
      <c r="O514" s="139"/>
      <c r="P514" s="139"/>
      <c r="Q514" s="147"/>
      <c r="R514" s="139"/>
      <c r="S514" s="139"/>
      <c r="T514" s="139"/>
      <c r="U514" s="139"/>
      <c r="V514" s="139"/>
      <c r="W514" s="139"/>
      <c r="X514" s="146"/>
      <c r="Y514" s="148"/>
      <c r="Z514" s="145"/>
      <c r="AA514" s="139"/>
      <c r="AB514" s="149"/>
      <c r="AC514" s="11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74"/>
      <c r="AR514" s="222"/>
    </row>
    <row r="515" spans="2:44" s="22" customFormat="1" ht="18" customHeight="1" x14ac:dyDescent="0.25">
      <c r="B515" s="145"/>
      <c r="C515" s="139"/>
      <c r="D515" s="146"/>
      <c r="E515" s="139"/>
      <c r="F515" s="139"/>
      <c r="G515" s="139"/>
      <c r="H515" s="139"/>
      <c r="I515" s="139"/>
      <c r="J515" s="139"/>
      <c r="K515" s="139"/>
      <c r="L515" s="243"/>
      <c r="M515" s="243"/>
      <c r="N515" s="139"/>
      <c r="O515" s="139"/>
      <c r="P515" s="139"/>
      <c r="Q515" s="147"/>
      <c r="R515" s="139"/>
      <c r="S515" s="139"/>
      <c r="T515" s="139"/>
      <c r="U515" s="139"/>
      <c r="V515" s="139"/>
      <c r="W515" s="139"/>
      <c r="X515" s="146"/>
      <c r="Y515" s="148"/>
      <c r="Z515" s="145"/>
      <c r="AA515" s="139"/>
      <c r="AB515" s="149"/>
      <c r="AC515" s="11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74"/>
      <c r="AR515" s="222"/>
    </row>
    <row r="516" spans="2:44" s="22" customFormat="1" ht="18" customHeight="1" x14ac:dyDescent="0.25">
      <c r="B516" s="145"/>
      <c r="C516" s="139"/>
      <c r="D516" s="146"/>
      <c r="E516" s="139"/>
      <c r="F516" s="139"/>
      <c r="G516" s="139"/>
      <c r="H516" s="139"/>
      <c r="I516" s="139"/>
      <c r="J516" s="139"/>
      <c r="K516" s="139"/>
      <c r="L516" s="243"/>
      <c r="M516" s="243"/>
      <c r="N516" s="139"/>
      <c r="O516" s="139"/>
      <c r="P516" s="139"/>
      <c r="Q516" s="147"/>
      <c r="R516" s="139"/>
      <c r="S516" s="139"/>
      <c r="T516" s="139"/>
      <c r="U516" s="139"/>
      <c r="V516" s="139"/>
      <c r="W516" s="139"/>
      <c r="X516" s="146"/>
      <c r="Y516" s="148"/>
      <c r="Z516" s="145"/>
      <c r="AA516" s="139"/>
      <c r="AB516" s="149"/>
      <c r="AC516" s="11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74"/>
      <c r="AR516" s="222"/>
    </row>
    <row r="517" spans="2:44" s="140" customFormat="1" ht="18" customHeight="1" x14ac:dyDescent="0.25">
      <c r="B517" s="145"/>
      <c r="C517" s="139"/>
      <c r="D517" s="146"/>
      <c r="E517" s="139"/>
      <c r="F517" s="139"/>
      <c r="G517" s="139"/>
      <c r="H517" s="139"/>
      <c r="I517" s="139"/>
      <c r="J517" s="139"/>
      <c r="K517" s="139"/>
      <c r="L517" s="243"/>
      <c r="M517" s="243"/>
      <c r="N517" s="139"/>
      <c r="O517" s="139"/>
      <c r="P517" s="139"/>
      <c r="Q517" s="147"/>
      <c r="R517" s="139"/>
      <c r="S517" s="139"/>
      <c r="T517" s="139"/>
      <c r="U517" s="139"/>
      <c r="V517" s="139"/>
      <c r="W517" s="139"/>
      <c r="X517" s="146"/>
      <c r="Y517" s="148"/>
      <c r="Z517" s="145"/>
      <c r="AA517" s="139"/>
      <c r="AB517" s="149"/>
      <c r="AC517" s="11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74"/>
      <c r="AR517" s="222"/>
    </row>
    <row r="518" spans="2:44" s="22" customFormat="1" ht="18" customHeight="1" x14ac:dyDescent="0.25">
      <c r="B518" s="145"/>
      <c r="C518" s="139"/>
      <c r="D518" s="146"/>
      <c r="E518" s="139"/>
      <c r="F518" s="139"/>
      <c r="G518" s="139"/>
      <c r="H518" s="139"/>
      <c r="I518" s="139"/>
      <c r="J518" s="139"/>
      <c r="K518" s="139"/>
      <c r="L518" s="243"/>
      <c r="M518" s="243"/>
      <c r="N518" s="139"/>
      <c r="O518" s="139"/>
      <c r="P518" s="139"/>
      <c r="Q518" s="147"/>
      <c r="R518" s="139"/>
      <c r="S518" s="139"/>
      <c r="T518" s="139"/>
      <c r="U518" s="139"/>
      <c r="V518" s="139"/>
      <c r="W518" s="139"/>
      <c r="X518" s="146"/>
      <c r="Y518" s="148"/>
      <c r="Z518" s="145"/>
      <c r="AA518" s="139"/>
      <c r="AB518" s="149"/>
      <c r="AC518" s="11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74"/>
      <c r="AR518" s="222"/>
    </row>
    <row r="519" spans="2:44" s="22" customFormat="1" ht="18" customHeight="1" x14ac:dyDescent="0.25">
      <c r="B519" s="145"/>
      <c r="C519" s="139"/>
      <c r="D519" s="146"/>
      <c r="E519" s="139"/>
      <c r="F519" s="139"/>
      <c r="G519" s="139"/>
      <c r="H519" s="139"/>
      <c r="I519" s="139"/>
      <c r="J519" s="139"/>
      <c r="K519" s="139"/>
      <c r="L519" s="243"/>
      <c r="M519" s="243"/>
      <c r="N519" s="139"/>
      <c r="O519" s="139"/>
      <c r="P519" s="139"/>
      <c r="Q519" s="147"/>
      <c r="R519" s="139"/>
      <c r="S519" s="139"/>
      <c r="T519" s="139"/>
      <c r="U519" s="139"/>
      <c r="V519" s="139"/>
      <c r="W519" s="139"/>
      <c r="X519" s="146"/>
      <c r="Y519" s="148"/>
      <c r="Z519" s="145"/>
      <c r="AA519" s="139"/>
      <c r="AB519" s="149"/>
      <c r="AC519" s="11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74"/>
      <c r="AR519" s="222"/>
    </row>
    <row r="520" spans="2:44" s="22" customFormat="1" ht="18" customHeight="1" x14ac:dyDescent="0.25">
      <c r="B520" s="145"/>
      <c r="C520" s="139"/>
      <c r="D520" s="146"/>
      <c r="E520" s="139"/>
      <c r="F520" s="139"/>
      <c r="G520" s="139"/>
      <c r="H520" s="139"/>
      <c r="I520" s="139"/>
      <c r="J520" s="139"/>
      <c r="K520" s="139"/>
      <c r="L520" s="243"/>
      <c r="M520" s="243"/>
      <c r="N520" s="139"/>
      <c r="O520" s="139"/>
      <c r="P520" s="139"/>
      <c r="Q520" s="147"/>
      <c r="R520" s="139"/>
      <c r="S520" s="139"/>
      <c r="T520" s="139"/>
      <c r="U520" s="139"/>
      <c r="V520" s="139"/>
      <c r="W520" s="139"/>
      <c r="X520" s="146"/>
      <c r="Y520" s="148"/>
      <c r="Z520" s="145"/>
      <c r="AA520" s="139"/>
      <c r="AB520" s="149"/>
      <c r="AC520" s="11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74"/>
      <c r="AR520" s="222"/>
    </row>
    <row r="521" spans="2:44" s="22" customFormat="1" ht="18" customHeight="1" x14ac:dyDescent="0.25">
      <c r="B521" s="145"/>
      <c r="C521" s="139"/>
      <c r="D521" s="146"/>
      <c r="E521" s="139"/>
      <c r="F521" s="139"/>
      <c r="G521" s="139"/>
      <c r="H521" s="139"/>
      <c r="I521" s="139"/>
      <c r="J521" s="139"/>
      <c r="K521" s="139"/>
      <c r="L521" s="243"/>
      <c r="M521" s="243"/>
      <c r="N521" s="139"/>
      <c r="O521" s="139"/>
      <c r="P521" s="139"/>
      <c r="Q521" s="147"/>
      <c r="R521" s="139"/>
      <c r="S521" s="139"/>
      <c r="T521" s="139"/>
      <c r="U521" s="139"/>
      <c r="V521" s="139"/>
      <c r="W521" s="139"/>
      <c r="X521" s="146"/>
      <c r="Y521" s="148"/>
      <c r="Z521" s="145"/>
      <c r="AA521" s="139"/>
      <c r="AB521" s="149"/>
      <c r="AC521" s="11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74"/>
      <c r="AR521" s="222"/>
    </row>
    <row r="522" spans="2:44" s="22" customFormat="1" ht="18" customHeight="1" x14ac:dyDescent="0.25">
      <c r="B522" s="145"/>
      <c r="C522" s="139"/>
      <c r="D522" s="146"/>
      <c r="E522" s="139"/>
      <c r="F522" s="139"/>
      <c r="G522" s="139"/>
      <c r="H522" s="139"/>
      <c r="I522" s="139"/>
      <c r="J522" s="139"/>
      <c r="K522" s="139"/>
      <c r="L522" s="243"/>
      <c r="M522" s="243"/>
      <c r="N522" s="139"/>
      <c r="O522" s="139"/>
      <c r="P522" s="139"/>
      <c r="Q522" s="147"/>
      <c r="R522" s="139"/>
      <c r="S522" s="139"/>
      <c r="T522" s="139"/>
      <c r="U522" s="139"/>
      <c r="V522" s="139"/>
      <c r="W522" s="139"/>
      <c r="X522" s="146"/>
      <c r="Y522" s="148"/>
      <c r="Z522" s="145"/>
      <c r="AA522" s="139"/>
      <c r="AB522" s="149"/>
      <c r="AC522" s="11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74"/>
      <c r="AR522" s="222"/>
    </row>
    <row r="523" spans="2:44" s="22" customFormat="1" ht="18" customHeight="1" x14ac:dyDescent="0.25">
      <c r="B523" s="145"/>
      <c r="C523" s="139"/>
      <c r="D523" s="146"/>
      <c r="E523" s="139"/>
      <c r="F523" s="139"/>
      <c r="G523" s="139"/>
      <c r="H523" s="139"/>
      <c r="I523" s="139"/>
      <c r="J523" s="139"/>
      <c r="K523" s="139"/>
      <c r="L523" s="243"/>
      <c r="M523" s="243"/>
      <c r="N523" s="139"/>
      <c r="O523" s="139"/>
      <c r="P523" s="139"/>
      <c r="Q523" s="147"/>
      <c r="R523" s="139"/>
      <c r="S523" s="139"/>
      <c r="T523" s="139"/>
      <c r="U523" s="139"/>
      <c r="V523" s="139"/>
      <c r="W523" s="139"/>
      <c r="X523" s="146"/>
      <c r="Y523" s="148"/>
      <c r="Z523" s="145"/>
      <c r="AA523" s="139"/>
      <c r="AB523" s="149"/>
      <c r="AC523" s="11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74"/>
      <c r="AR523" s="222"/>
    </row>
    <row r="524" spans="2:44" s="22" customFormat="1" ht="18" customHeight="1" x14ac:dyDescent="0.25">
      <c r="B524" s="145"/>
      <c r="C524" s="139"/>
      <c r="D524" s="146"/>
      <c r="E524" s="139"/>
      <c r="F524" s="139"/>
      <c r="G524" s="139"/>
      <c r="H524" s="139"/>
      <c r="I524" s="139"/>
      <c r="J524" s="139"/>
      <c r="K524" s="139"/>
      <c r="L524" s="243"/>
      <c r="M524" s="243"/>
      <c r="N524" s="139"/>
      <c r="O524" s="139"/>
      <c r="P524" s="139"/>
      <c r="Q524" s="147"/>
      <c r="R524" s="139"/>
      <c r="S524" s="139"/>
      <c r="T524" s="139"/>
      <c r="U524" s="139"/>
      <c r="V524" s="139"/>
      <c r="W524" s="139"/>
      <c r="X524" s="146"/>
      <c r="Y524" s="148"/>
      <c r="Z524" s="145"/>
      <c r="AA524" s="139"/>
      <c r="AB524" s="149"/>
      <c r="AC524" s="11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74"/>
      <c r="AR524" s="222"/>
    </row>
    <row r="525" spans="2:44" s="22" customFormat="1" ht="18" customHeight="1" x14ac:dyDescent="0.25">
      <c r="B525" s="145"/>
      <c r="C525" s="139"/>
      <c r="D525" s="146"/>
      <c r="E525" s="139"/>
      <c r="F525" s="139"/>
      <c r="G525" s="139"/>
      <c r="H525" s="139"/>
      <c r="I525" s="139"/>
      <c r="J525" s="139"/>
      <c r="K525" s="139"/>
      <c r="L525" s="243"/>
      <c r="M525" s="243"/>
      <c r="N525" s="139"/>
      <c r="O525" s="139"/>
      <c r="P525" s="139"/>
      <c r="Q525" s="147"/>
      <c r="R525" s="139"/>
      <c r="S525" s="139"/>
      <c r="T525" s="139"/>
      <c r="U525" s="139"/>
      <c r="V525" s="139"/>
      <c r="W525" s="139"/>
      <c r="X525" s="146"/>
      <c r="Y525" s="148"/>
      <c r="Z525" s="145"/>
      <c r="AA525" s="139"/>
      <c r="AB525" s="149"/>
      <c r="AC525" s="11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74"/>
      <c r="AR525" s="222"/>
    </row>
    <row r="526" spans="2:44" s="22" customFormat="1" ht="18" customHeight="1" x14ac:dyDescent="0.25">
      <c r="B526" s="145"/>
      <c r="C526" s="139"/>
      <c r="D526" s="146"/>
      <c r="E526" s="139"/>
      <c r="F526" s="139"/>
      <c r="G526" s="139"/>
      <c r="H526" s="139"/>
      <c r="I526" s="139"/>
      <c r="J526" s="139"/>
      <c r="K526" s="139"/>
      <c r="L526" s="243"/>
      <c r="M526" s="243"/>
      <c r="N526" s="139"/>
      <c r="O526" s="139"/>
      <c r="P526" s="139"/>
      <c r="Q526" s="147"/>
      <c r="R526" s="139"/>
      <c r="S526" s="139"/>
      <c r="T526" s="139"/>
      <c r="U526" s="139"/>
      <c r="V526" s="139"/>
      <c r="W526" s="139"/>
      <c r="X526" s="146"/>
      <c r="Y526" s="148"/>
      <c r="Z526" s="145"/>
      <c r="AA526" s="139"/>
      <c r="AB526" s="149"/>
      <c r="AC526" s="11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74"/>
      <c r="AR526" s="222"/>
    </row>
    <row r="527" spans="2:44" s="22" customFormat="1" ht="18" customHeight="1" x14ac:dyDescent="0.25">
      <c r="B527" s="145"/>
      <c r="C527" s="139"/>
      <c r="D527" s="146"/>
      <c r="E527" s="139"/>
      <c r="F527" s="139"/>
      <c r="G527" s="139"/>
      <c r="H527" s="139"/>
      <c r="I527" s="139"/>
      <c r="J527" s="139"/>
      <c r="K527" s="139"/>
      <c r="L527" s="243"/>
      <c r="M527" s="243"/>
      <c r="N527" s="139"/>
      <c r="O527" s="139"/>
      <c r="P527" s="139"/>
      <c r="Q527" s="147"/>
      <c r="R527" s="139"/>
      <c r="S527" s="139"/>
      <c r="T527" s="139"/>
      <c r="U527" s="139"/>
      <c r="V527" s="139"/>
      <c r="W527" s="139"/>
      <c r="X527" s="146"/>
      <c r="Y527" s="148"/>
      <c r="Z527" s="145"/>
      <c r="AA527" s="139"/>
      <c r="AB527" s="149"/>
      <c r="AC527" s="11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74"/>
      <c r="AR527" s="222"/>
    </row>
    <row r="528" spans="2:44" s="22" customFormat="1" ht="18" customHeight="1" x14ac:dyDescent="0.25">
      <c r="B528" s="145"/>
      <c r="C528" s="139"/>
      <c r="D528" s="146"/>
      <c r="E528" s="139"/>
      <c r="F528" s="139"/>
      <c r="G528" s="139"/>
      <c r="H528" s="139"/>
      <c r="I528" s="139"/>
      <c r="J528" s="139"/>
      <c r="K528" s="139"/>
      <c r="L528" s="243"/>
      <c r="M528" s="243"/>
      <c r="N528" s="139"/>
      <c r="O528" s="139"/>
      <c r="P528" s="139"/>
      <c r="Q528" s="147"/>
      <c r="R528" s="139"/>
      <c r="S528" s="139"/>
      <c r="T528" s="139"/>
      <c r="U528" s="139"/>
      <c r="V528" s="139"/>
      <c r="W528" s="139"/>
      <c r="X528" s="146"/>
      <c r="Y528" s="148"/>
      <c r="Z528" s="145"/>
      <c r="AA528" s="139"/>
      <c r="AB528" s="149"/>
      <c r="AC528" s="11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74"/>
      <c r="AR528" s="222"/>
    </row>
    <row r="529" spans="2:44" s="22" customFormat="1" ht="18" customHeight="1" x14ac:dyDescent="0.25">
      <c r="B529" s="145"/>
      <c r="C529" s="139"/>
      <c r="D529" s="146"/>
      <c r="E529" s="139"/>
      <c r="F529" s="139"/>
      <c r="G529" s="139"/>
      <c r="H529" s="139"/>
      <c r="I529" s="139"/>
      <c r="J529" s="139"/>
      <c r="K529" s="139"/>
      <c r="L529" s="243"/>
      <c r="M529" s="243"/>
      <c r="N529" s="139"/>
      <c r="O529" s="139"/>
      <c r="P529" s="139"/>
      <c r="Q529" s="147"/>
      <c r="R529" s="139"/>
      <c r="S529" s="139"/>
      <c r="T529" s="139"/>
      <c r="U529" s="139"/>
      <c r="V529" s="139"/>
      <c r="W529" s="139"/>
      <c r="X529" s="146"/>
      <c r="Y529" s="148"/>
      <c r="Z529" s="145"/>
      <c r="AA529" s="139"/>
      <c r="AB529" s="149"/>
      <c r="AC529" s="11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74"/>
      <c r="AR529" s="222"/>
    </row>
    <row r="530" spans="2:44" s="22" customFormat="1" ht="18" customHeight="1" x14ac:dyDescent="0.25">
      <c r="B530" s="145"/>
      <c r="C530" s="139"/>
      <c r="D530" s="146"/>
      <c r="E530" s="139"/>
      <c r="F530" s="139"/>
      <c r="G530" s="139"/>
      <c r="H530" s="139"/>
      <c r="I530" s="139"/>
      <c r="J530" s="139"/>
      <c r="K530" s="139"/>
      <c r="L530" s="243"/>
      <c r="M530" s="243"/>
      <c r="N530" s="139"/>
      <c r="O530" s="139"/>
      <c r="P530" s="139"/>
      <c r="Q530" s="147"/>
      <c r="R530" s="139"/>
      <c r="S530" s="139"/>
      <c r="T530" s="139"/>
      <c r="U530" s="139"/>
      <c r="V530" s="139"/>
      <c r="W530" s="139"/>
      <c r="X530" s="146"/>
      <c r="Y530" s="148"/>
      <c r="Z530" s="145"/>
      <c r="AA530" s="139"/>
      <c r="AB530" s="149"/>
      <c r="AC530" s="11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74"/>
      <c r="AR530" s="222"/>
    </row>
    <row r="531" spans="2:44" s="22" customFormat="1" ht="18" customHeight="1" x14ac:dyDescent="0.25">
      <c r="B531" s="145"/>
      <c r="C531" s="139"/>
      <c r="D531" s="146"/>
      <c r="E531" s="139"/>
      <c r="F531" s="139"/>
      <c r="G531" s="139"/>
      <c r="H531" s="139"/>
      <c r="I531" s="139"/>
      <c r="J531" s="139"/>
      <c r="K531" s="139"/>
      <c r="L531" s="243"/>
      <c r="M531" s="243"/>
      <c r="N531" s="139"/>
      <c r="O531" s="139"/>
      <c r="P531" s="139"/>
      <c r="Q531" s="147"/>
      <c r="R531" s="139"/>
      <c r="S531" s="139"/>
      <c r="T531" s="139"/>
      <c r="U531" s="139"/>
      <c r="V531" s="139"/>
      <c r="W531" s="139"/>
      <c r="X531" s="146"/>
      <c r="Y531" s="148"/>
      <c r="Z531" s="145"/>
      <c r="AA531" s="139"/>
      <c r="AB531" s="149"/>
      <c r="AC531" s="11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74"/>
      <c r="AR531" s="222"/>
    </row>
    <row r="532" spans="2:44" s="22" customFormat="1" ht="18" customHeight="1" x14ac:dyDescent="0.25">
      <c r="B532" s="145"/>
      <c r="C532" s="139"/>
      <c r="D532" s="146"/>
      <c r="E532" s="139"/>
      <c r="F532" s="139"/>
      <c r="G532" s="139"/>
      <c r="H532" s="139"/>
      <c r="I532" s="139"/>
      <c r="J532" s="139"/>
      <c r="K532" s="139"/>
      <c r="L532" s="243"/>
      <c r="M532" s="243"/>
      <c r="N532" s="139"/>
      <c r="O532" s="139"/>
      <c r="P532" s="139"/>
      <c r="Q532" s="147"/>
      <c r="R532" s="139"/>
      <c r="S532" s="139"/>
      <c r="T532" s="139"/>
      <c r="U532" s="139"/>
      <c r="V532" s="139"/>
      <c r="W532" s="139"/>
      <c r="X532" s="146"/>
      <c r="Y532" s="148"/>
      <c r="Z532" s="145"/>
      <c r="AA532" s="139"/>
      <c r="AB532" s="149"/>
      <c r="AC532" s="11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74"/>
      <c r="AR532" s="222"/>
    </row>
    <row r="533" spans="2:44" s="22" customFormat="1" ht="18" customHeight="1" x14ac:dyDescent="0.25">
      <c r="B533" s="145"/>
      <c r="C533" s="139"/>
      <c r="D533" s="146"/>
      <c r="E533" s="139"/>
      <c r="F533" s="139"/>
      <c r="G533" s="139"/>
      <c r="H533" s="139"/>
      <c r="I533" s="139"/>
      <c r="J533" s="139"/>
      <c r="K533" s="139"/>
      <c r="L533" s="243"/>
      <c r="M533" s="243"/>
      <c r="N533" s="139"/>
      <c r="O533" s="139"/>
      <c r="P533" s="139"/>
      <c r="Q533" s="147"/>
      <c r="R533" s="139"/>
      <c r="S533" s="139"/>
      <c r="T533" s="139"/>
      <c r="U533" s="139"/>
      <c r="V533" s="139"/>
      <c r="W533" s="139"/>
      <c r="X533" s="146"/>
      <c r="Y533" s="148"/>
      <c r="Z533" s="145"/>
      <c r="AA533" s="139"/>
      <c r="AB533" s="149"/>
      <c r="AC533" s="11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74"/>
      <c r="AR533" s="222"/>
    </row>
    <row r="534" spans="2:44" s="140" customFormat="1" ht="18" customHeight="1" x14ac:dyDescent="0.25">
      <c r="B534" s="145"/>
      <c r="C534" s="139"/>
      <c r="D534" s="146"/>
      <c r="E534" s="139"/>
      <c r="F534" s="139"/>
      <c r="G534" s="139"/>
      <c r="H534" s="139"/>
      <c r="I534" s="139"/>
      <c r="J534" s="139"/>
      <c r="K534" s="139"/>
      <c r="L534" s="243"/>
      <c r="M534" s="243"/>
      <c r="N534" s="139"/>
      <c r="O534" s="139"/>
      <c r="P534" s="139"/>
      <c r="Q534" s="147"/>
      <c r="R534" s="139"/>
      <c r="S534" s="139"/>
      <c r="T534" s="139"/>
      <c r="U534" s="139"/>
      <c r="V534" s="139"/>
      <c r="W534" s="139"/>
      <c r="X534" s="146"/>
      <c r="Y534" s="148"/>
      <c r="Z534" s="145"/>
      <c r="AA534" s="139"/>
      <c r="AB534" s="149"/>
      <c r="AC534" s="11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74"/>
      <c r="AR534" s="222"/>
    </row>
    <row r="535" spans="2:44" s="22" customFormat="1" ht="18" customHeight="1" x14ac:dyDescent="0.25">
      <c r="B535" s="145"/>
      <c r="C535" s="139"/>
      <c r="D535" s="146"/>
      <c r="E535" s="139"/>
      <c r="F535" s="139"/>
      <c r="G535" s="139"/>
      <c r="H535" s="139"/>
      <c r="I535" s="139"/>
      <c r="J535" s="139"/>
      <c r="K535" s="139"/>
      <c r="L535" s="243"/>
      <c r="M535" s="243"/>
      <c r="N535" s="139"/>
      <c r="O535" s="139"/>
      <c r="P535" s="139"/>
      <c r="Q535" s="147"/>
      <c r="R535" s="139"/>
      <c r="S535" s="139"/>
      <c r="T535" s="139"/>
      <c r="U535" s="139"/>
      <c r="V535" s="139"/>
      <c r="W535" s="139"/>
      <c r="X535" s="146"/>
      <c r="Y535" s="148"/>
      <c r="Z535" s="145"/>
      <c r="AA535" s="139"/>
      <c r="AB535" s="149"/>
      <c r="AC535" s="11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74"/>
      <c r="AR535" s="222"/>
    </row>
    <row r="536" spans="2:44" s="141" customFormat="1" ht="18" customHeight="1" x14ac:dyDescent="0.25">
      <c r="B536" s="145"/>
      <c r="C536" s="139"/>
      <c r="D536" s="146"/>
      <c r="E536" s="139"/>
      <c r="F536" s="139"/>
      <c r="G536" s="139"/>
      <c r="H536" s="139"/>
      <c r="I536" s="139"/>
      <c r="J536" s="139"/>
      <c r="K536" s="139"/>
      <c r="L536" s="243"/>
      <c r="M536" s="243"/>
      <c r="N536" s="139"/>
      <c r="O536" s="139"/>
      <c r="P536" s="139"/>
      <c r="Q536" s="147"/>
      <c r="R536" s="139"/>
      <c r="S536" s="139"/>
      <c r="T536" s="139"/>
      <c r="U536" s="139"/>
      <c r="V536" s="139"/>
      <c r="W536" s="139"/>
      <c r="X536" s="146"/>
      <c r="Y536" s="148"/>
      <c r="Z536" s="145"/>
      <c r="AA536" s="139"/>
      <c r="AB536" s="149"/>
      <c r="AC536" s="11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74"/>
      <c r="AR536" s="222"/>
    </row>
    <row r="537" spans="2:44" s="22" customFormat="1" ht="18" customHeight="1" x14ac:dyDescent="0.25">
      <c r="B537" s="145"/>
      <c r="C537" s="139"/>
      <c r="D537" s="146"/>
      <c r="E537" s="139"/>
      <c r="F537" s="139"/>
      <c r="G537" s="139"/>
      <c r="H537" s="139"/>
      <c r="I537" s="139"/>
      <c r="J537" s="139"/>
      <c r="K537" s="139"/>
      <c r="L537" s="243"/>
      <c r="M537" s="243"/>
      <c r="N537" s="139"/>
      <c r="O537" s="139"/>
      <c r="P537" s="139"/>
      <c r="Q537" s="147"/>
      <c r="R537" s="139"/>
      <c r="S537" s="139"/>
      <c r="T537" s="139"/>
      <c r="U537" s="139"/>
      <c r="V537" s="139"/>
      <c r="W537" s="139"/>
      <c r="X537" s="146"/>
      <c r="Y537" s="148"/>
      <c r="Z537" s="145"/>
      <c r="AA537" s="139"/>
      <c r="AB537" s="149"/>
      <c r="AC537" s="11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74"/>
      <c r="AR537" s="222"/>
    </row>
    <row r="538" spans="2:44" s="141" customFormat="1" ht="18" customHeight="1" x14ac:dyDescent="0.25">
      <c r="B538" s="145"/>
      <c r="C538" s="139"/>
      <c r="D538" s="146"/>
      <c r="E538" s="139"/>
      <c r="F538" s="139"/>
      <c r="G538" s="139"/>
      <c r="H538" s="139"/>
      <c r="I538" s="139"/>
      <c r="J538" s="139"/>
      <c r="K538" s="139"/>
      <c r="L538" s="243"/>
      <c r="M538" s="243"/>
      <c r="N538" s="139"/>
      <c r="O538" s="139"/>
      <c r="P538" s="139"/>
      <c r="Q538" s="147"/>
      <c r="R538" s="139"/>
      <c r="S538" s="139"/>
      <c r="T538" s="139"/>
      <c r="U538" s="139"/>
      <c r="V538" s="139"/>
      <c r="W538" s="139"/>
      <c r="X538" s="146"/>
      <c r="Y538" s="148"/>
      <c r="Z538" s="145"/>
      <c r="AA538" s="139"/>
      <c r="AB538" s="149"/>
      <c r="AC538" s="11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74"/>
      <c r="AR538" s="222"/>
    </row>
    <row r="539" spans="2:44" s="22" customFormat="1" ht="18" customHeight="1" x14ac:dyDescent="0.25">
      <c r="B539" s="145"/>
      <c r="C539" s="139"/>
      <c r="D539" s="146"/>
      <c r="E539" s="139"/>
      <c r="F539" s="139"/>
      <c r="G539" s="139"/>
      <c r="H539" s="139"/>
      <c r="I539" s="139"/>
      <c r="J539" s="139"/>
      <c r="K539" s="139"/>
      <c r="L539" s="243"/>
      <c r="M539" s="243"/>
      <c r="N539" s="139"/>
      <c r="O539" s="139"/>
      <c r="P539" s="139"/>
      <c r="Q539" s="147"/>
      <c r="R539" s="139"/>
      <c r="S539" s="139"/>
      <c r="T539" s="139"/>
      <c r="U539" s="139"/>
      <c r="V539" s="139"/>
      <c r="W539" s="139"/>
      <c r="X539" s="146"/>
      <c r="Y539" s="148"/>
      <c r="Z539" s="145"/>
      <c r="AA539" s="139"/>
      <c r="AB539" s="149"/>
      <c r="AC539" s="11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74"/>
      <c r="AR539" s="222"/>
    </row>
    <row r="540" spans="2:44" s="22" customFormat="1" ht="18" customHeight="1" x14ac:dyDescent="0.25">
      <c r="B540" s="145"/>
      <c r="C540" s="139"/>
      <c r="D540" s="146"/>
      <c r="E540" s="139"/>
      <c r="F540" s="139"/>
      <c r="G540" s="139"/>
      <c r="H540" s="139"/>
      <c r="I540" s="139"/>
      <c r="J540" s="139"/>
      <c r="K540" s="139"/>
      <c r="L540" s="243"/>
      <c r="M540" s="243"/>
      <c r="N540" s="139"/>
      <c r="O540" s="139"/>
      <c r="P540" s="139"/>
      <c r="Q540" s="147"/>
      <c r="R540" s="139"/>
      <c r="S540" s="139"/>
      <c r="T540" s="139"/>
      <c r="U540" s="139"/>
      <c r="V540" s="139"/>
      <c r="W540" s="139"/>
      <c r="X540" s="146"/>
      <c r="Y540" s="148"/>
      <c r="Z540" s="145"/>
      <c r="AA540" s="139"/>
      <c r="AB540" s="149"/>
      <c r="AC540" s="11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74"/>
      <c r="AR540" s="222"/>
    </row>
    <row r="541" spans="2:44" s="22" customFormat="1" ht="18" customHeight="1" x14ac:dyDescent="0.25">
      <c r="B541" s="145"/>
      <c r="C541" s="139"/>
      <c r="D541" s="146"/>
      <c r="E541" s="139"/>
      <c r="F541" s="139"/>
      <c r="G541" s="139"/>
      <c r="H541" s="139"/>
      <c r="I541" s="139"/>
      <c r="J541" s="139"/>
      <c r="K541" s="139"/>
      <c r="L541" s="243"/>
      <c r="M541" s="243"/>
      <c r="N541" s="139"/>
      <c r="O541" s="139"/>
      <c r="P541" s="139"/>
      <c r="Q541" s="147"/>
      <c r="R541" s="139"/>
      <c r="S541" s="139"/>
      <c r="T541" s="139"/>
      <c r="U541" s="139"/>
      <c r="V541" s="139"/>
      <c r="W541" s="139"/>
      <c r="X541" s="146"/>
      <c r="Y541" s="148"/>
      <c r="Z541" s="145"/>
      <c r="AA541" s="139"/>
      <c r="AB541" s="149"/>
      <c r="AC541" s="11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74"/>
      <c r="AR541" s="222"/>
    </row>
    <row r="542" spans="2:44" s="22" customFormat="1" ht="18" customHeight="1" x14ac:dyDescent="0.25">
      <c r="B542" s="145"/>
      <c r="C542" s="139"/>
      <c r="D542" s="146"/>
      <c r="E542" s="139"/>
      <c r="F542" s="139"/>
      <c r="G542" s="139"/>
      <c r="H542" s="139"/>
      <c r="I542" s="139"/>
      <c r="J542" s="139"/>
      <c r="K542" s="139"/>
      <c r="L542" s="243"/>
      <c r="M542" s="243"/>
      <c r="N542" s="139"/>
      <c r="O542" s="139"/>
      <c r="P542" s="139"/>
      <c r="Q542" s="147"/>
      <c r="R542" s="139"/>
      <c r="S542" s="139"/>
      <c r="T542" s="139"/>
      <c r="U542" s="139"/>
      <c r="V542" s="139"/>
      <c r="W542" s="139"/>
      <c r="X542" s="146"/>
      <c r="Y542" s="148"/>
      <c r="Z542" s="145"/>
      <c r="AA542" s="139"/>
      <c r="AB542" s="149"/>
      <c r="AC542" s="11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74"/>
      <c r="AR542" s="222"/>
    </row>
    <row r="543" spans="2:44" s="22" customFormat="1" ht="18" customHeight="1" x14ac:dyDescent="0.25">
      <c r="B543" s="145"/>
      <c r="C543" s="139"/>
      <c r="D543" s="146"/>
      <c r="E543" s="139"/>
      <c r="F543" s="139"/>
      <c r="G543" s="139"/>
      <c r="H543" s="139"/>
      <c r="I543" s="139"/>
      <c r="J543" s="139"/>
      <c r="K543" s="139"/>
      <c r="L543" s="243"/>
      <c r="M543" s="243"/>
      <c r="N543" s="139"/>
      <c r="O543" s="139"/>
      <c r="P543" s="139"/>
      <c r="Q543" s="147"/>
      <c r="R543" s="139"/>
      <c r="S543" s="139"/>
      <c r="T543" s="139"/>
      <c r="U543" s="139"/>
      <c r="V543" s="139"/>
      <c r="W543" s="139"/>
      <c r="X543" s="146"/>
      <c r="Y543" s="148"/>
      <c r="Z543" s="145"/>
      <c r="AA543" s="139"/>
      <c r="AB543" s="149"/>
      <c r="AC543" s="11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74"/>
      <c r="AR543" s="222"/>
    </row>
    <row r="544" spans="2:44" s="22" customFormat="1" ht="18" customHeight="1" x14ac:dyDescent="0.25">
      <c r="B544" s="145"/>
      <c r="C544" s="139"/>
      <c r="D544" s="146"/>
      <c r="E544" s="139"/>
      <c r="F544" s="139"/>
      <c r="G544" s="139"/>
      <c r="H544" s="139"/>
      <c r="I544" s="139"/>
      <c r="J544" s="139"/>
      <c r="K544" s="139"/>
      <c r="L544" s="243"/>
      <c r="M544" s="243"/>
      <c r="N544" s="139"/>
      <c r="O544" s="139"/>
      <c r="P544" s="139"/>
      <c r="Q544" s="147"/>
      <c r="R544" s="139"/>
      <c r="S544" s="139"/>
      <c r="T544" s="139"/>
      <c r="U544" s="139"/>
      <c r="V544" s="139"/>
      <c r="W544" s="139"/>
      <c r="X544" s="146"/>
      <c r="Y544" s="148"/>
      <c r="Z544" s="145"/>
      <c r="AA544" s="139"/>
      <c r="AB544" s="149"/>
      <c r="AC544" s="11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74"/>
      <c r="AR544" s="222"/>
    </row>
    <row r="545" spans="2:44" s="140" customFormat="1" ht="18" customHeight="1" x14ac:dyDescent="0.25">
      <c r="B545" s="145"/>
      <c r="C545" s="139"/>
      <c r="D545" s="146"/>
      <c r="E545" s="139"/>
      <c r="F545" s="139"/>
      <c r="G545" s="139"/>
      <c r="H545" s="139"/>
      <c r="I545" s="139"/>
      <c r="J545" s="139"/>
      <c r="K545" s="139"/>
      <c r="L545" s="243"/>
      <c r="M545" s="243"/>
      <c r="N545" s="139"/>
      <c r="O545" s="139"/>
      <c r="P545" s="139"/>
      <c r="Q545" s="147"/>
      <c r="R545" s="139"/>
      <c r="S545" s="139"/>
      <c r="T545" s="139"/>
      <c r="U545" s="139"/>
      <c r="V545" s="139"/>
      <c r="W545" s="139"/>
      <c r="X545" s="146"/>
      <c r="Y545" s="148"/>
      <c r="Z545" s="145"/>
      <c r="AA545" s="139"/>
      <c r="AB545" s="149"/>
      <c r="AC545" s="11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74"/>
      <c r="AR545" s="222"/>
    </row>
    <row r="546" spans="2:44" s="22" customFormat="1" ht="18" customHeight="1" x14ac:dyDescent="0.25">
      <c r="B546" s="145"/>
      <c r="C546" s="139"/>
      <c r="D546" s="146"/>
      <c r="E546" s="139"/>
      <c r="F546" s="139"/>
      <c r="G546" s="139"/>
      <c r="H546" s="139"/>
      <c r="I546" s="139"/>
      <c r="J546" s="139"/>
      <c r="K546" s="139"/>
      <c r="L546" s="243"/>
      <c r="M546" s="243"/>
      <c r="N546" s="139"/>
      <c r="O546" s="139"/>
      <c r="P546" s="139"/>
      <c r="Q546" s="147"/>
      <c r="R546" s="139"/>
      <c r="S546" s="139"/>
      <c r="T546" s="139"/>
      <c r="U546" s="139"/>
      <c r="V546" s="139"/>
      <c r="W546" s="139"/>
      <c r="X546" s="146"/>
      <c r="Y546" s="148"/>
      <c r="Z546" s="145"/>
      <c r="AA546" s="139"/>
      <c r="AB546" s="149"/>
      <c r="AC546" s="11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74"/>
      <c r="AR546" s="222"/>
    </row>
    <row r="547" spans="2:44" s="22" customFormat="1" ht="18" customHeight="1" x14ac:dyDescent="0.25">
      <c r="B547" s="145"/>
      <c r="C547" s="139"/>
      <c r="D547" s="146"/>
      <c r="E547" s="139"/>
      <c r="F547" s="139"/>
      <c r="G547" s="139"/>
      <c r="H547" s="139"/>
      <c r="I547" s="139"/>
      <c r="J547" s="139"/>
      <c r="K547" s="139"/>
      <c r="L547" s="243"/>
      <c r="M547" s="243"/>
      <c r="N547" s="139"/>
      <c r="O547" s="139"/>
      <c r="P547" s="139"/>
      <c r="Q547" s="147"/>
      <c r="R547" s="139"/>
      <c r="S547" s="139"/>
      <c r="T547" s="139"/>
      <c r="U547" s="139"/>
      <c r="V547" s="139"/>
      <c r="W547" s="139"/>
      <c r="X547" s="146"/>
      <c r="Y547" s="148"/>
      <c r="Z547" s="145"/>
      <c r="AA547" s="139"/>
      <c r="AB547" s="149"/>
      <c r="AC547" s="11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74"/>
      <c r="AR547" s="222"/>
    </row>
    <row r="548" spans="2:44" s="140" customFormat="1" ht="18" customHeight="1" x14ac:dyDescent="0.25">
      <c r="B548" s="145"/>
      <c r="C548" s="139"/>
      <c r="D548" s="146"/>
      <c r="E548" s="139"/>
      <c r="F548" s="139"/>
      <c r="G548" s="139"/>
      <c r="H548" s="139"/>
      <c r="I548" s="139"/>
      <c r="J548" s="139"/>
      <c r="K548" s="139"/>
      <c r="L548" s="243"/>
      <c r="M548" s="243"/>
      <c r="N548" s="139"/>
      <c r="O548" s="139"/>
      <c r="P548" s="139"/>
      <c r="Q548" s="147"/>
      <c r="R548" s="139"/>
      <c r="S548" s="139"/>
      <c r="T548" s="139"/>
      <c r="U548" s="139"/>
      <c r="V548" s="139"/>
      <c r="W548" s="139"/>
      <c r="X548" s="146"/>
      <c r="Y548" s="148"/>
      <c r="Z548" s="145"/>
      <c r="AA548" s="139"/>
      <c r="AB548" s="149"/>
      <c r="AC548" s="11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74"/>
      <c r="AR548" s="222"/>
    </row>
    <row r="549" spans="2:44" s="140" customFormat="1" ht="18" customHeight="1" x14ac:dyDescent="0.25">
      <c r="B549" s="145"/>
      <c r="C549" s="139"/>
      <c r="D549" s="146"/>
      <c r="E549" s="139"/>
      <c r="F549" s="139"/>
      <c r="G549" s="139"/>
      <c r="H549" s="139"/>
      <c r="I549" s="139"/>
      <c r="J549" s="139"/>
      <c r="K549" s="139"/>
      <c r="L549" s="243"/>
      <c r="M549" s="243"/>
      <c r="N549" s="139"/>
      <c r="O549" s="139"/>
      <c r="P549" s="139"/>
      <c r="Q549" s="147"/>
      <c r="R549" s="139"/>
      <c r="S549" s="139"/>
      <c r="T549" s="139"/>
      <c r="U549" s="139"/>
      <c r="V549" s="139"/>
      <c r="W549" s="139"/>
      <c r="X549" s="146"/>
      <c r="Y549" s="148"/>
      <c r="Z549" s="145"/>
      <c r="AA549" s="139"/>
      <c r="AB549" s="149"/>
      <c r="AC549" s="11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74"/>
      <c r="AR549" s="222"/>
    </row>
    <row r="550" spans="2:44" s="22" customFormat="1" ht="18" customHeight="1" x14ac:dyDescent="0.25">
      <c r="B550" s="145"/>
      <c r="C550" s="139"/>
      <c r="D550" s="146"/>
      <c r="E550" s="139"/>
      <c r="F550" s="139"/>
      <c r="G550" s="139"/>
      <c r="H550" s="139"/>
      <c r="I550" s="139"/>
      <c r="J550" s="139"/>
      <c r="K550" s="139"/>
      <c r="L550" s="243"/>
      <c r="M550" s="243"/>
      <c r="N550" s="139"/>
      <c r="O550" s="139"/>
      <c r="P550" s="139"/>
      <c r="Q550" s="147"/>
      <c r="R550" s="139"/>
      <c r="S550" s="139"/>
      <c r="T550" s="139"/>
      <c r="U550" s="139"/>
      <c r="V550" s="139"/>
      <c r="W550" s="139"/>
      <c r="X550" s="146"/>
      <c r="Y550" s="148"/>
      <c r="Z550" s="145"/>
      <c r="AA550" s="139"/>
      <c r="AB550" s="149"/>
      <c r="AC550" s="11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74"/>
      <c r="AR550" s="222"/>
    </row>
    <row r="551" spans="2:44" s="22" customFormat="1" ht="18" customHeight="1" x14ac:dyDescent="0.25">
      <c r="B551" s="145"/>
      <c r="C551" s="139"/>
      <c r="D551" s="146"/>
      <c r="E551" s="139"/>
      <c r="F551" s="139"/>
      <c r="G551" s="139"/>
      <c r="H551" s="139"/>
      <c r="I551" s="139"/>
      <c r="J551" s="139"/>
      <c r="K551" s="139"/>
      <c r="L551" s="243"/>
      <c r="M551" s="243"/>
      <c r="N551" s="139"/>
      <c r="O551" s="139"/>
      <c r="P551" s="139"/>
      <c r="Q551" s="147"/>
      <c r="R551" s="139"/>
      <c r="S551" s="139"/>
      <c r="T551" s="139"/>
      <c r="U551" s="139"/>
      <c r="V551" s="139"/>
      <c r="W551" s="139"/>
      <c r="X551" s="146"/>
      <c r="Y551" s="148"/>
      <c r="Z551" s="145"/>
      <c r="AA551" s="139"/>
      <c r="AB551" s="149"/>
      <c r="AC551" s="11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74"/>
      <c r="AR551" s="222"/>
    </row>
    <row r="552" spans="2:44" s="22" customFormat="1" ht="18" customHeight="1" x14ac:dyDescent="0.25">
      <c r="B552" s="145"/>
      <c r="C552" s="139"/>
      <c r="D552" s="146"/>
      <c r="E552" s="139"/>
      <c r="F552" s="139"/>
      <c r="G552" s="139"/>
      <c r="H552" s="139"/>
      <c r="I552" s="139"/>
      <c r="J552" s="139"/>
      <c r="K552" s="139"/>
      <c r="L552" s="243"/>
      <c r="M552" s="243"/>
      <c r="N552" s="139"/>
      <c r="O552" s="139"/>
      <c r="P552" s="139"/>
      <c r="Q552" s="147"/>
      <c r="R552" s="139"/>
      <c r="S552" s="139"/>
      <c r="T552" s="139"/>
      <c r="U552" s="139"/>
      <c r="V552" s="139"/>
      <c r="W552" s="139"/>
      <c r="X552" s="146"/>
      <c r="Y552" s="148"/>
      <c r="Z552" s="145"/>
      <c r="AA552" s="139"/>
      <c r="AB552" s="149"/>
      <c r="AC552" s="11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74"/>
      <c r="AR552" s="222"/>
    </row>
    <row r="553" spans="2:44" s="22" customFormat="1" ht="18" customHeight="1" x14ac:dyDescent="0.25">
      <c r="B553" s="145"/>
      <c r="C553" s="139"/>
      <c r="D553" s="146"/>
      <c r="E553" s="139"/>
      <c r="F553" s="139"/>
      <c r="G553" s="139"/>
      <c r="H553" s="139"/>
      <c r="I553" s="139"/>
      <c r="J553" s="139"/>
      <c r="K553" s="139"/>
      <c r="L553" s="243"/>
      <c r="M553" s="243"/>
      <c r="N553" s="139"/>
      <c r="O553" s="139"/>
      <c r="P553" s="139"/>
      <c r="Q553" s="147"/>
      <c r="R553" s="139"/>
      <c r="S553" s="139"/>
      <c r="T553" s="139"/>
      <c r="U553" s="139"/>
      <c r="V553" s="139"/>
      <c r="W553" s="139"/>
      <c r="X553" s="146"/>
      <c r="Y553" s="148"/>
      <c r="Z553" s="145"/>
      <c r="AA553" s="139"/>
      <c r="AB553" s="149"/>
      <c r="AC553" s="11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74"/>
      <c r="AR553" s="222"/>
    </row>
    <row r="554" spans="2:44" s="22" customFormat="1" ht="18" customHeight="1" x14ac:dyDescent="0.25">
      <c r="B554" s="145"/>
      <c r="C554" s="139"/>
      <c r="D554" s="146"/>
      <c r="E554" s="139"/>
      <c r="F554" s="139"/>
      <c r="G554" s="139"/>
      <c r="H554" s="139"/>
      <c r="I554" s="139"/>
      <c r="J554" s="139"/>
      <c r="K554" s="139"/>
      <c r="L554" s="243"/>
      <c r="M554" s="243"/>
      <c r="N554" s="139"/>
      <c r="O554" s="139"/>
      <c r="P554" s="139"/>
      <c r="Q554" s="147"/>
      <c r="R554" s="139"/>
      <c r="S554" s="139"/>
      <c r="T554" s="139"/>
      <c r="U554" s="139"/>
      <c r="V554" s="139"/>
      <c r="W554" s="139"/>
      <c r="X554" s="146"/>
      <c r="Y554" s="148"/>
      <c r="Z554" s="145"/>
      <c r="AA554" s="139"/>
      <c r="AB554" s="149"/>
      <c r="AC554" s="11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74"/>
      <c r="AR554" s="222"/>
    </row>
    <row r="555" spans="2:44" s="22" customFormat="1" ht="18" customHeight="1" x14ac:dyDescent="0.25">
      <c r="B555" s="145"/>
      <c r="C555" s="139"/>
      <c r="D555" s="146"/>
      <c r="E555" s="139"/>
      <c r="F555" s="139"/>
      <c r="G555" s="139"/>
      <c r="H555" s="139"/>
      <c r="I555" s="139"/>
      <c r="J555" s="139"/>
      <c r="K555" s="139"/>
      <c r="L555" s="243"/>
      <c r="M555" s="243"/>
      <c r="N555" s="139"/>
      <c r="O555" s="139"/>
      <c r="P555" s="139"/>
      <c r="Q555" s="147"/>
      <c r="R555" s="139"/>
      <c r="S555" s="139"/>
      <c r="T555" s="139"/>
      <c r="U555" s="139"/>
      <c r="V555" s="139"/>
      <c r="W555" s="139"/>
      <c r="X555" s="146"/>
      <c r="Y555" s="148"/>
      <c r="Z555" s="145"/>
      <c r="AA555" s="139"/>
      <c r="AB555" s="149"/>
      <c r="AC555" s="11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74"/>
      <c r="AR555" s="222"/>
    </row>
    <row r="556" spans="2:44" s="22" customFormat="1" ht="18" customHeight="1" x14ac:dyDescent="0.25">
      <c r="B556" s="145"/>
      <c r="C556" s="139"/>
      <c r="D556" s="146"/>
      <c r="E556" s="139"/>
      <c r="F556" s="139"/>
      <c r="G556" s="139"/>
      <c r="H556" s="139"/>
      <c r="I556" s="139"/>
      <c r="J556" s="139"/>
      <c r="K556" s="139"/>
      <c r="L556" s="243"/>
      <c r="M556" s="243"/>
      <c r="N556" s="139"/>
      <c r="O556" s="139"/>
      <c r="P556" s="139"/>
      <c r="Q556" s="147"/>
      <c r="R556" s="139"/>
      <c r="S556" s="139"/>
      <c r="T556" s="139"/>
      <c r="U556" s="139"/>
      <c r="V556" s="139"/>
      <c r="W556" s="139"/>
      <c r="X556" s="146"/>
      <c r="Y556" s="148"/>
      <c r="Z556" s="145"/>
      <c r="AA556" s="139"/>
      <c r="AB556" s="149"/>
      <c r="AC556" s="11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74"/>
      <c r="AR556" s="222"/>
    </row>
    <row r="557" spans="2:44" s="22" customFormat="1" ht="18" customHeight="1" x14ac:dyDescent="0.25">
      <c r="B557" s="145"/>
      <c r="C557" s="139"/>
      <c r="D557" s="146"/>
      <c r="E557" s="139"/>
      <c r="F557" s="139"/>
      <c r="G557" s="139"/>
      <c r="H557" s="139"/>
      <c r="I557" s="139"/>
      <c r="J557" s="139"/>
      <c r="K557" s="139"/>
      <c r="L557" s="243"/>
      <c r="M557" s="243"/>
      <c r="N557" s="139"/>
      <c r="O557" s="139"/>
      <c r="P557" s="139"/>
      <c r="Q557" s="147"/>
      <c r="R557" s="139"/>
      <c r="S557" s="139"/>
      <c r="T557" s="139"/>
      <c r="U557" s="139"/>
      <c r="V557" s="139"/>
      <c r="W557" s="139"/>
      <c r="X557" s="146"/>
      <c r="Y557" s="148"/>
      <c r="Z557" s="145"/>
      <c r="AA557" s="139"/>
      <c r="AB557" s="149"/>
      <c r="AC557" s="11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74"/>
      <c r="AR557" s="222"/>
    </row>
    <row r="558" spans="2:44" s="22" customFormat="1" ht="18" customHeight="1" x14ac:dyDescent="0.25">
      <c r="B558" s="145"/>
      <c r="C558" s="139"/>
      <c r="D558" s="146"/>
      <c r="E558" s="139"/>
      <c r="F558" s="139"/>
      <c r="G558" s="139"/>
      <c r="H558" s="139"/>
      <c r="I558" s="139"/>
      <c r="J558" s="139"/>
      <c r="K558" s="139"/>
      <c r="L558" s="243"/>
      <c r="M558" s="243"/>
      <c r="N558" s="139"/>
      <c r="O558" s="139"/>
      <c r="P558" s="139"/>
      <c r="Q558" s="147"/>
      <c r="R558" s="139"/>
      <c r="S558" s="139"/>
      <c r="T558" s="139"/>
      <c r="U558" s="139"/>
      <c r="V558" s="139"/>
      <c r="W558" s="139"/>
      <c r="X558" s="146"/>
      <c r="Y558" s="148"/>
      <c r="Z558" s="145"/>
      <c r="AA558" s="139"/>
      <c r="AB558" s="149"/>
      <c r="AC558" s="11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74"/>
      <c r="AR558" s="222"/>
    </row>
    <row r="559" spans="2:44" s="22" customFormat="1" ht="18" customHeight="1" x14ac:dyDescent="0.25">
      <c r="B559" s="145"/>
      <c r="C559" s="139"/>
      <c r="D559" s="146"/>
      <c r="E559" s="139"/>
      <c r="F559" s="139"/>
      <c r="G559" s="139"/>
      <c r="H559" s="139"/>
      <c r="I559" s="139"/>
      <c r="J559" s="139"/>
      <c r="K559" s="139"/>
      <c r="L559" s="243"/>
      <c r="M559" s="243"/>
      <c r="N559" s="139"/>
      <c r="O559" s="139"/>
      <c r="P559" s="139"/>
      <c r="Q559" s="147"/>
      <c r="R559" s="139"/>
      <c r="S559" s="139"/>
      <c r="T559" s="139"/>
      <c r="U559" s="139"/>
      <c r="V559" s="139"/>
      <c r="W559" s="139"/>
      <c r="X559" s="146"/>
      <c r="Y559" s="148"/>
      <c r="Z559" s="145"/>
      <c r="AA559" s="139"/>
      <c r="AB559" s="149"/>
      <c r="AC559" s="11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74"/>
      <c r="AR559" s="222"/>
    </row>
    <row r="560" spans="2:44" s="22" customFormat="1" ht="18" customHeight="1" x14ac:dyDescent="0.25">
      <c r="B560" s="145"/>
      <c r="C560" s="139"/>
      <c r="D560" s="146"/>
      <c r="E560" s="139"/>
      <c r="F560" s="139"/>
      <c r="G560" s="139"/>
      <c r="H560" s="139"/>
      <c r="I560" s="139"/>
      <c r="J560" s="139"/>
      <c r="K560" s="139"/>
      <c r="L560" s="243"/>
      <c r="M560" s="243"/>
      <c r="N560" s="139"/>
      <c r="O560" s="139"/>
      <c r="P560" s="139"/>
      <c r="Q560" s="147"/>
      <c r="R560" s="139"/>
      <c r="S560" s="139"/>
      <c r="T560" s="139"/>
      <c r="U560" s="139"/>
      <c r="V560" s="139"/>
      <c r="W560" s="139"/>
      <c r="X560" s="146"/>
      <c r="Y560" s="148"/>
      <c r="Z560" s="145"/>
      <c r="AA560" s="139"/>
      <c r="AB560" s="149"/>
      <c r="AC560" s="11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74"/>
      <c r="AR560" s="222"/>
    </row>
    <row r="561" spans="2:44" s="22" customFormat="1" ht="18" customHeight="1" x14ac:dyDescent="0.25">
      <c r="B561" s="145"/>
      <c r="C561" s="139"/>
      <c r="D561" s="146"/>
      <c r="E561" s="139"/>
      <c r="F561" s="139"/>
      <c r="G561" s="139"/>
      <c r="H561" s="139"/>
      <c r="I561" s="139"/>
      <c r="J561" s="139"/>
      <c r="K561" s="139"/>
      <c r="L561" s="243"/>
      <c r="M561" s="243"/>
      <c r="N561" s="139"/>
      <c r="O561" s="139"/>
      <c r="P561" s="139"/>
      <c r="Q561" s="147"/>
      <c r="R561" s="139"/>
      <c r="S561" s="139"/>
      <c r="T561" s="139"/>
      <c r="U561" s="139"/>
      <c r="V561" s="139"/>
      <c r="W561" s="139"/>
      <c r="X561" s="146"/>
      <c r="Y561" s="148"/>
      <c r="Z561" s="145"/>
      <c r="AA561" s="139"/>
      <c r="AB561" s="149"/>
      <c r="AC561" s="11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74"/>
      <c r="AR561" s="222"/>
    </row>
    <row r="562" spans="2:44" s="22" customFormat="1" ht="18" customHeight="1" x14ac:dyDescent="0.25">
      <c r="B562" s="145"/>
      <c r="C562" s="139"/>
      <c r="D562" s="146"/>
      <c r="E562" s="139"/>
      <c r="F562" s="139"/>
      <c r="G562" s="139"/>
      <c r="H562" s="139"/>
      <c r="I562" s="139"/>
      <c r="J562" s="139"/>
      <c r="K562" s="139"/>
      <c r="L562" s="243"/>
      <c r="M562" s="243"/>
      <c r="N562" s="139"/>
      <c r="O562" s="139"/>
      <c r="P562" s="139"/>
      <c r="Q562" s="147"/>
      <c r="R562" s="139"/>
      <c r="S562" s="139"/>
      <c r="T562" s="139"/>
      <c r="U562" s="139"/>
      <c r="V562" s="139"/>
      <c r="W562" s="139"/>
      <c r="X562" s="146"/>
      <c r="Y562" s="148"/>
      <c r="Z562" s="145"/>
      <c r="AA562" s="139"/>
      <c r="AB562" s="149"/>
      <c r="AC562" s="11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74"/>
      <c r="AR562" s="222"/>
    </row>
    <row r="563" spans="2:44" s="140" customFormat="1" ht="18" customHeight="1" x14ac:dyDescent="0.25">
      <c r="B563" s="145"/>
      <c r="C563" s="139"/>
      <c r="D563" s="146"/>
      <c r="E563" s="139"/>
      <c r="F563" s="139"/>
      <c r="G563" s="139"/>
      <c r="H563" s="139"/>
      <c r="I563" s="139"/>
      <c r="J563" s="139"/>
      <c r="K563" s="139"/>
      <c r="L563" s="243"/>
      <c r="M563" s="243"/>
      <c r="N563" s="139"/>
      <c r="O563" s="139"/>
      <c r="P563" s="139"/>
      <c r="Q563" s="147"/>
      <c r="R563" s="139"/>
      <c r="S563" s="139"/>
      <c r="T563" s="139"/>
      <c r="U563" s="139"/>
      <c r="V563" s="139"/>
      <c r="W563" s="139"/>
      <c r="X563" s="146"/>
      <c r="Y563" s="148"/>
      <c r="Z563" s="145"/>
      <c r="AA563" s="139"/>
      <c r="AB563" s="149"/>
      <c r="AC563" s="11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74"/>
      <c r="AR563" s="222"/>
    </row>
    <row r="564" spans="2:44" s="22" customFormat="1" ht="18" customHeight="1" x14ac:dyDescent="0.25">
      <c r="B564" s="145"/>
      <c r="C564" s="139"/>
      <c r="D564" s="146"/>
      <c r="E564" s="139"/>
      <c r="F564" s="139"/>
      <c r="G564" s="139"/>
      <c r="H564" s="139"/>
      <c r="I564" s="139"/>
      <c r="J564" s="139"/>
      <c r="K564" s="139"/>
      <c r="L564" s="243"/>
      <c r="M564" s="243"/>
      <c r="N564" s="139"/>
      <c r="O564" s="139"/>
      <c r="P564" s="139"/>
      <c r="Q564" s="147"/>
      <c r="R564" s="139"/>
      <c r="S564" s="139"/>
      <c r="T564" s="139"/>
      <c r="U564" s="139"/>
      <c r="V564" s="139"/>
      <c r="W564" s="139"/>
      <c r="X564" s="146"/>
      <c r="Y564" s="148"/>
      <c r="Z564" s="145"/>
      <c r="AA564" s="139"/>
      <c r="AB564" s="149"/>
      <c r="AC564" s="11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74"/>
      <c r="AR564" s="222"/>
    </row>
    <row r="565" spans="2:44" s="22" customFormat="1" ht="18" customHeight="1" x14ac:dyDescent="0.25">
      <c r="B565" s="145"/>
      <c r="C565" s="139"/>
      <c r="D565" s="146"/>
      <c r="E565" s="139"/>
      <c r="F565" s="139"/>
      <c r="G565" s="139"/>
      <c r="H565" s="139"/>
      <c r="I565" s="139"/>
      <c r="J565" s="139"/>
      <c r="K565" s="139"/>
      <c r="L565" s="243"/>
      <c r="M565" s="243"/>
      <c r="N565" s="139"/>
      <c r="O565" s="139"/>
      <c r="P565" s="139"/>
      <c r="Q565" s="147"/>
      <c r="R565" s="139"/>
      <c r="S565" s="139"/>
      <c r="T565" s="139"/>
      <c r="U565" s="139"/>
      <c r="V565" s="139"/>
      <c r="W565" s="139"/>
      <c r="X565" s="146"/>
      <c r="Y565" s="148"/>
      <c r="Z565" s="145"/>
      <c r="AA565" s="139"/>
      <c r="AB565" s="149"/>
      <c r="AC565" s="11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74"/>
      <c r="AR565" s="222"/>
    </row>
    <row r="566" spans="2:44" s="22" customFormat="1" ht="18" customHeight="1" x14ac:dyDescent="0.25">
      <c r="B566" s="145"/>
      <c r="C566" s="139"/>
      <c r="D566" s="146"/>
      <c r="E566" s="139"/>
      <c r="F566" s="139"/>
      <c r="G566" s="139"/>
      <c r="H566" s="139"/>
      <c r="I566" s="139"/>
      <c r="J566" s="139"/>
      <c r="K566" s="139"/>
      <c r="L566" s="243"/>
      <c r="M566" s="243"/>
      <c r="N566" s="139"/>
      <c r="O566" s="139"/>
      <c r="P566" s="139"/>
      <c r="Q566" s="147"/>
      <c r="R566" s="139"/>
      <c r="S566" s="139"/>
      <c r="T566" s="139"/>
      <c r="U566" s="139"/>
      <c r="V566" s="139"/>
      <c r="W566" s="139"/>
      <c r="X566" s="146"/>
      <c r="Y566" s="148"/>
      <c r="Z566" s="145"/>
      <c r="AA566" s="139"/>
      <c r="AB566" s="149"/>
      <c r="AC566" s="11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74"/>
      <c r="AR566" s="222"/>
    </row>
    <row r="567" spans="2:44" s="22" customFormat="1" ht="18" customHeight="1" x14ac:dyDescent="0.25">
      <c r="B567" s="145"/>
      <c r="C567" s="139"/>
      <c r="D567" s="146"/>
      <c r="E567" s="139"/>
      <c r="F567" s="139"/>
      <c r="G567" s="139"/>
      <c r="H567" s="139"/>
      <c r="I567" s="139"/>
      <c r="J567" s="139"/>
      <c r="K567" s="139"/>
      <c r="L567" s="243"/>
      <c r="M567" s="243"/>
      <c r="N567" s="139"/>
      <c r="O567" s="139"/>
      <c r="P567" s="139"/>
      <c r="Q567" s="147"/>
      <c r="R567" s="139"/>
      <c r="S567" s="139"/>
      <c r="T567" s="139"/>
      <c r="U567" s="139"/>
      <c r="V567" s="139"/>
      <c r="W567" s="139"/>
      <c r="X567" s="146"/>
      <c r="Y567" s="148"/>
      <c r="Z567" s="145"/>
      <c r="AA567" s="139"/>
      <c r="AB567" s="149"/>
      <c r="AC567" s="11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74"/>
      <c r="AR567" s="222"/>
    </row>
    <row r="568" spans="2:44" s="22" customFormat="1" ht="18" customHeight="1" x14ac:dyDescent="0.25">
      <c r="B568" s="145"/>
      <c r="C568" s="139"/>
      <c r="D568" s="146"/>
      <c r="E568" s="139"/>
      <c r="F568" s="139"/>
      <c r="G568" s="139"/>
      <c r="H568" s="139"/>
      <c r="I568" s="139"/>
      <c r="J568" s="139"/>
      <c r="K568" s="139"/>
      <c r="L568" s="243"/>
      <c r="M568" s="243"/>
      <c r="N568" s="139"/>
      <c r="O568" s="139"/>
      <c r="P568" s="139"/>
      <c r="Q568" s="147"/>
      <c r="R568" s="139"/>
      <c r="S568" s="139"/>
      <c r="T568" s="139"/>
      <c r="U568" s="139"/>
      <c r="V568" s="139"/>
      <c r="W568" s="139"/>
      <c r="X568" s="146"/>
      <c r="Y568" s="148"/>
      <c r="Z568" s="145"/>
      <c r="AA568" s="139"/>
      <c r="AB568" s="149"/>
      <c r="AC568" s="11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74"/>
      <c r="AR568" s="222"/>
    </row>
    <row r="569" spans="2:44" s="22" customFormat="1" ht="18" customHeight="1" x14ac:dyDescent="0.25">
      <c r="B569" s="145"/>
      <c r="C569" s="139"/>
      <c r="D569" s="146"/>
      <c r="E569" s="139"/>
      <c r="F569" s="139"/>
      <c r="G569" s="139"/>
      <c r="H569" s="139"/>
      <c r="I569" s="139"/>
      <c r="J569" s="139"/>
      <c r="K569" s="139"/>
      <c r="L569" s="243"/>
      <c r="M569" s="243"/>
      <c r="N569" s="139"/>
      <c r="O569" s="139"/>
      <c r="P569" s="139"/>
      <c r="Q569" s="147"/>
      <c r="R569" s="139"/>
      <c r="S569" s="139"/>
      <c r="T569" s="139"/>
      <c r="U569" s="139"/>
      <c r="V569" s="139"/>
      <c r="W569" s="139"/>
      <c r="X569" s="146"/>
      <c r="Y569" s="148"/>
      <c r="Z569" s="145"/>
      <c r="AA569" s="139"/>
      <c r="AB569" s="149"/>
      <c r="AC569" s="11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74"/>
      <c r="AR569" s="222"/>
    </row>
    <row r="570" spans="2:44" s="22" customFormat="1" ht="18" customHeight="1" x14ac:dyDescent="0.25">
      <c r="B570" s="145"/>
      <c r="C570" s="139"/>
      <c r="D570" s="146"/>
      <c r="E570" s="139"/>
      <c r="F570" s="139"/>
      <c r="G570" s="139"/>
      <c r="H570" s="139"/>
      <c r="I570" s="139"/>
      <c r="J570" s="139"/>
      <c r="K570" s="139"/>
      <c r="L570" s="243"/>
      <c r="M570" s="243"/>
      <c r="N570" s="139"/>
      <c r="O570" s="139"/>
      <c r="P570" s="139"/>
      <c r="Q570" s="147"/>
      <c r="R570" s="139"/>
      <c r="S570" s="139"/>
      <c r="T570" s="139"/>
      <c r="U570" s="139"/>
      <c r="V570" s="139"/>
      <c r="W570" s="139"/>
      <c r="X570" s="146"/>
      <c r="Y570" s="148"/>
      <c r="Z570" s="145"/>
      <c r="AA570" s="139"/>
      <c r="AB570" s="149"/>
      <c r="AC570" s="11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74"/>
      <c r="AR570" s="222"/>
    </row>
    <row r="571" spans="2:44" s="22" customFormat="1" ht="18" customHeight="1" x14ac:dyDescent="0.25">
      <c r="B571" s="145"/>
      <c r="C571" s="139"/>
      <c r="D571" s="146"/>
      <c r="E571" s="139"/>
      <c r="F571" s="139"/>
      <c r="G571" s="139"/>
      <c r="H571" s="139"/>
      <c r="I571" s="139"/>
      <c r="J571" s="139"/>
      <c r="K571" s="139"/>
      <c r="L571" s="243"/>
      <c r="M571" s="243"/>
      <c r="N571" s="139"/>
      <c r="O571" s="139"/>
      <c r="P571" s="139"/>
      <c r="Q571" s="147"/>
      <c r="R571" s="139"/>
      <c r="S571" s="139"/>
      <c r="T571" s="139"/>
      <c r="U571" s="139"/>
      <c r="V571" s="139"/>
      <c r="W571" s="139"/>
      <c r="X571" s="146"/>
      <c r="Y571" s="148"/>
      <c r="Z571" s="145"/>
      <c r="AA571" s="139"/>
      <c r="AB571" s="149"/>
      <c r="AC571" s="11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74"/>
      <c r="AR571" s="222"/>
    </row>
    <row r="572" spans="2:44" s="22" customFormat="1" ht="18" customHeight="1" x14ac:dyDescent="0.25">
      <c r="B572" s="145"/>
      <c r="C572" s="139"/>
      <c r="D572" s="146"/>
      <c r="E572" s="139"/>
      <c r="F572" s="139"/>
      <c r="G572" s="139"/>
      <c r="H572" s="139"/>
      <c r="I572" s="139"/>
      <c r="J572" s="139"/>
      <c r="K572" s="139"/>
      <c r="L572" s="243"/>
      <c r="M572" s="243"/>
      <c r="N572" s="139"/>
      <c r="O572" s="139"/>
      <c r="P572" s="139"/>
      <c r="Q572" s="147"/>
      <c r="R572" s="139"/>
      <c r="S572" s="139"/>
      <c r="T572" s="139"/>
      <c r="U572" s="139"/>
      <c r="V572" s="139"/>
      <c r="W572" s="139"/>
      <c r="X572" s="146"/>
      <c r="Y572" s="148"/>
      <c r="Z572" s="145"/>
      <c r="AA572" s="139"/>
      <c r="AB572" s="149"/>
      <c r="AC572" s="11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74"/>
      <c r="AR572" s="222"/>
    </row>
    <row r="573" spans="2:44" s="22" customFormat="1" ht="18" customHeight="1" x14ac:dyDescent="0.25">
      <c r="B573" s="145"/>
      <c r="C573" s="139"/>
      <c r="D573" s="146"/>
      <c r="E573" s="139"/>
      <c r="F573" s="139"/>
      <c r="G573" s="139"/>
      <c r="H573" s="139"/>
      <c r="I573" s="139"/>
      <c r="J573" s="139"/>
      <c r="K573" s="139"/>
      <c r="L573" s="243"/>
      <c r="M573" s="243"/>
      <c r="N573" s="139"/>
      <c r="O573" s="139"/>
      <c r="P573" s="139"/>
      <c r="Q573" s="147"/>
      <c r="R573" s="139"/>
      <c r="S573" s="139"/>
      <c r="T573" s="139"/>
      <c r="U573" s="139"/>
      <c r="V573" s="139"/>
      <c r="W573" s="139"/>
      <c r="X573" s="146"/>
      <c r="Y573" s="148"/>
      <c r="Z573" s="145"/>
      <c r="AA573" s="139"/>
      <c r="AB573" s="149"/>
      <c r="AC573" s="11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74"/>
      <c r="AR573" s="222"/>
    </row>
    <row r="574" spans="2:44" s="22" customFormat="1" ht="18" customHeight="1" x14ac:dyDescent="0.25">
      <c r="B574" s="145"/>
      <c r="C574" s="139"/>
      <c r="D574" s="146"/>
      <c r="E574" s="139"/>
      <c r="F574" s="139"/>
      <c r="G574" s="139"/>
      <c r="H574" s="139"/>
      <c r="I574" s="139"/>
      <c r="J574" s="139"/>
      <c r="K574" s="139"/>
      <c r="L574" s="243"/>
      <c r="M574" s="243"/>
      <c r="N574" s="139"/>
      <c r="O574" s="139"/>
      <c r="P574" s="139"/>
      <c r="Q574" s="147"/>
      <c r="R574" s="139"/>
      <c r="S574" s="139"/>
      <c r="T574" s="139"/>
      <c r="U574" s="139"/>
      <c r="V574" s="139"/>
      <c r="W574" s="139"/>
      <c r="X574" s="146"/>
      <c r="Y574" s="148"/>
      <c r="Z574" s="145"/>
      <c r="AA574" s="139"/>
      <c r="AB574" s="149"/>
      <c r="AC574" s="11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74"/>
      <c r="AR574" s="222"/>
    </row>
    <row r="575" spans="2:44" s="22" customFormat="1" ht="18" customHeight="1" x14ac:dyDescent="0.25">
      <c r="B575" s="145"/>
      <c r="C575" s="139"/>
      <c r="D575" s="146"/>
      <c r="E575" s="139"/>
      <c r="F575" s="139"/>
      <c r="G575" s="139"/>
      <c r="H575" s="139"/>
      <c r="I575" s="139"/>
      <c r="J575" s="139"/>
      <c r="K575" s="139"/>
      <c r="L575" s="243"/>
      <c r="M575" s="243"/>
      <c r="N575" s="139"/>
      <c r="O575" s="139"/>
      <c r="P575" s="139"/>
      <c r="Q575" s="147"/>
      <c r="R575" s="139"/>
      <c r="S575" s="139"/>
      <c r="T575" s="139"/>
      <c r="U575" s="139"/>
      <c r="V575" s="139"/>
      <c r="W575" s="139"/>
      <c r="X575" s="146"/>
      <c r="Y575" s="148"/>
      <c r="Z575" s="145"/>
      <c r="AA575" s="139"/>
      <c r="AB575" s="149"/>
      <c r="AC575" s="11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74"/>
      <c r="AR575" s="222"/>
    </row>
    <row r="576" spans="2:44" s="22" customFormat="1" ht="18" customHeight="1" x14ac:dyDescent="0.25">
      <c r="B576" s="145"/>
      <c r="C576" s="139"/>
      <c r="D576" s="146"/>
      <c r="E576" s="139"/>
      <c r="F576" s="139"/>
      <c r="G576" s="139"/>
      <c r="H576" s="139"/>
      <c r="I576" s="139"/>
      <c r="J576" s="139"/>
      <c r="K576" s="139"/>
      <c r="L576" s="243"/>
      <c r="M576" s="243"/>
      <c r="N576" s="139"/>
      <c r="O576" s="139"/>
      <c r="P576" s="139"/>
      <c r="Q576" s="147"/>
      <c r="R576" s="139"/>
      <c r="S576" s="139"/>
      <c r="T576" s="139"/>
      <c r="U576" s="139"/>
      <c r="V576" s="139"/>
      <c r="W576" s="139"/>
      <c r="X576" s="146"/>
      <c r="Y576" s="148"/>
      <c r="Z576" s="145"/>
      <c r="AA576" s="139"/>
      <c r="AB576" s="149"/>
      <c r="AC576" s="11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74"/>
      <c r="AR576" s="222"/>
    </row>
    <row r="577" spans="2:44" s="22" customFormat="1" ht="18" customHeight="1" x14ac:dyDescent="0.25">
      <c r="B577" s="145"/>
      <c r="C577" s="139"/>
      <c r="D577" s="146"/>
      <c r="E577" s="139"/>
      <c r="F577" s="139"/>
      <c r="G577" s="139"/>
      <c r="H577" s="139"/>
      <c r="I577" s="139"/>
      <c r="J577" s="139"/>
      <c r="K577" s="139"/>
      <c r="L577" s="243"/>
      <c r="M577" s="243"/>
      <c r="N577" s="139"/>
      <c r="O577" s="139"/>
      <c r="P577" s="139"/>
      <c r="Q577" s="147"/>
      <c r="R577" s="139"/>
      <c r="S577" s="139"/>
      <c r="T577" s="139"/>
      <c r="U577" s="139"/>
      <c r="V577" s="139"/>
      <c r="W577" s="139"/>
      <c r="X577" s="146"/>
      <c r="Y577" s="148"/>
      <c r="Z577" s="145"/>
      <c r="AA577" s="139"/>
      <c r="AB577" s="149"/>
      <c r="AC577" s="11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74"/>
      <c r="AR577" s="222"/>
    </row>
    <row r="578" spans="2:44" s="22" customFormat="1" ht="18" customHeight="1" x14ac:dyDescent="0.25">
      <c r="B578" s="145"/>
      <c r="C578" s="139"/>
      <c r="D578" s="146"/>
      <c r="E578" s="139"/>
      <c r="F578" s="139"/>
      <c r="G578" s="139"/>
      <c r="H578" s="139"/>
      <c r="I578" s="139"/>
      <c r="J578" s="139"/>
      <c r="K578" s="139"/>
      <c r="L578" s="243"/>
      <c r="M578" s="243"/>
      <c r="N578" s="139"/>
      <c r="O578" s="139"/>
      <c r="P578" s="139"/>
      <c r="Q578" s="147"/>
      <c r="R578" s="139"/>
      <c r="S578" s="139"/>
      <c r="T578" s="139"/>
      <c r="U578" s="139"/>
      <c r="V578" s="139"/>
      <c r="W578" s="139"/>
      <c r="X578" s="146"/>
      <c r="Y578" s="148"/>
      <c r="Z578" s="145"/>
      <c r="AA578" s="139"/>
      <c r="AB578" s="149"/>
      <c r="AC578" s="11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74"/>
      <c r="AR578" s="222"/>
    </row>
    <row r="579" spans="2:44" s="22" customFormat="1" ht="18" customHeight="1" x14ac:dyDescent="0.25">
      <c r="B579" s="145"/>
      <c r="C579" s="139"/>
      <c r="D579" s="146"/>
      <c r="E579" s="139"/>
      <c r="F579" s="139"/>
      <c r="G579" s="139"/>
      <c r="H579" s="139"/>
      <c r="I579" s="139"/>
      <c r="J579" s="139"/>
      <c r="K579" s="139"/>
      <c r="L579" s="243"/>
      <c r="M579" s="243"/>
      <c r="N579" s="139"/>
      <c r="O579" s="139"/>
      <c r="P579" s="139"/>
      <c r="Q579" s="147"/>
      <c r="R579" s="139"/>
      <c r="S579" s="139"/>
      <c r="T579" s="139"/>
      <c r="U579" s="139"/>
      <c r="V579" s="139"/>
      <c r="W579" s="139"/>
      <c r="X579" s="146"/>
      <c r="Y579" s="148"/>
      <c r="Z579" s="145"/>
      <c r="AA579" s="139"/>
      <c r="AB579" s="149"/>
      <c r="AC579" s="11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74"/>
      <c r="AR579" s="222"/>
    </row>
    <row r="580" spans="2:44" s="22" customFormat="1" ht="18" customHeight="1" x14ac:dyDescent="0.25">
      <c r="B580" s="145"/>
      <c r="C580" s="139"/>
      <c r="D580" s="146"/>
      <c r="E580" s="139"/>
      <c r="F580" s="139"/>
      <c r="G580" s="139"/>
      <c r="H580" s="139"/>
      <c r="I580" s="139"/>
      <c r="J580" s="139"/>
      <c r="K580" s="139"/>
      <c r="L580" s="243"/>
      <c r="M580" s="243"/>
      <c r="N580" s="139"/>
      <c r="O580" s="139"/>
      <c r="P580" s="139"/>
      <c r="Q580" s="147"/>
      <c r="R580" s="139"/>
      <c r="S580" s="139"/>
      <c r="T580" s="139"/>
      <c r="U580" s="139"/>
      <c r="V580" s="139"/>
      <c r="W580" s="139"/>
      <c r="X580" s="146"/>
      <c r="Y580" s="148"/>
      <c r="Z580" s="145"/>
      <c r="AA580" s="139"/>
      <c r="AB580" s="149"/>
      <c r="AC580" s="11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74"/>
      <c r="AR580" s="222"/>
    </row>
    <row r="581" spans="2:44" s="22" customFormat="1" ht="18" customHeight="1" x14ac:dyDescent="0.25">
      <c r="B581" s="145"/>
      <c r="C581" s="139"/>
      <c r="D581" s="146"/>
      <c r="E581" s="139"/>
      <c r="F581" s="139"/>
      <c r="G581" s="139"/>
      <c r="H581" s="139"/>
      <c r="I581" s="139"/>
      <c r="J581" s="139"/>
      <c r="K581" s="139"/>
      <c r="L581" s="243"/>
      <c r="M581" s="243"/>
      <c r="N581" s="139"/>
      <c r="O581" s="139"/>
      <c r="P581" s="139"/>
      <c r="Q581" s="147"/>
      <c r="R581" s="139"/>
      <c r="S581" s="139"/>
      <c r="T581" s="139"/>
      <c r="U581" s="139"/>
      <c r="V581" s="139"/>
      <c r="W581" s="139"/>
      <c r="X581" s="146"/>
      <c r="Y581" s="148"/>
      <c r="Z581" s="145"/>
      <c r="AA581" s="139"/>
      <c r="AB581" s="149"/>
      <c r="AC581" s="11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74"/>
      <c r="AR581" s="222"/>
    </row>
    <row r="582" spans="2:44" s="22" customFormat="1" ht="18" customHeight="1" x14ac:dyDescent="0.25">
      <c r="B582" s="145"/>
      <c r="C582" s="139"/>
      <c r="D582" s="146"/>
      <c r="E582" s="139"/>
      <c r="F582" s="139"/>
      <c r="G582" s="139"/>
      <c r="H582" s="139"/>
      <c r="I582" s="139"/>
      <c r="J582" s="139"/>
      <c r="K582" s="139"/>
      <c r="L582" s="243"/>
      <c r="M582" s="243"/>
      <c r="N582" s="139"/>
      <c r="O582" s="139"/>
      <c r="P582" s="139"/>
      <c r="Q582" s="147"/>
      <c r="R582" s="139"/>
      <c r="S582" s="139"/>
      <c r="T582" s="139"/>
      <c r="U582" s="139"/>
      <c r="V582" s="139"/>
      <c r="W582" s="139"/>
      <c r="X582" s="146"/>
      <c r="Y582" s="148"/>
      <c r="Z582" s="145"/>
      <c r="AA582" s="139"/>
      <c r="AB582" s="149"/>
      <c r="AC582" s="11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74"/>
      <c r="AR582" s="222"/>
    </row>
    <row r="583" spans="2:44" s="22" customFormat="1" ht="18" customHeight="1" x14ac:dyDescent="0.25">
      <c r="B583" s="145"/>
      <c r="C583" s="139"/>
      <c r="D583" s="146"/>
      <c r="E583" s="139"/>
      <c r="F583" s="139"/>
      <c r="G583" s="139"/>
      <c r="H583" s="139"/>
      <c r="I583" s="139"/>
      <c r="J583" s="139"/>
      <c r="K583" s="139"/>
      <c r="L583" s="243"/>
      <c r="M583" s="243"/>
      <c r="N583" s="139"/>
      <c r="O583" s="139"/>
      <c r="P583" s="139"/>
      <c r="Q583" s="147"/>
      <c r="R583" s="139"/>
      <c r="S583" s="139"/>
      <c r="T583" s="139"/>
      <c r="U583" s="139"/>
      <c r="V583" s="139"/>
      <c r="W583" s="139"/>
      <c r="X583" s="146"/>
      <c r="Y583" s="148"/>
      <c r="Z583" s="145"/>
      <c r="AA583" s="139"/>
      <c r="AB583" s="149"/>
      <c r="AC583" s="11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74"/>
      <c r="AR583" s="222"/>
    </row>
    <row r="584" spans="2:44" s="22" customFormat="1" ht="18" customHeight="1" x14ac:dyDescent="0.25">
      <c r="B584" s="145"/>
      <c r="C584" s="139"/>
      <c r="D584" s="146"/>
      <c r="E584" s="139"/>
      <c r="F584" s="139"/>
      <c r="G584" s="139"/>
      <c r="H584" s="139"/>
      <c r="I584" s="139"/>
      <c r="J584" s="139"/>
      <c r="K584" s="139"/>
      <c r="L584" s="243"/>
      <c r="M584" s="243"/>
      <c r="N584" s="139"/>
      <c r="O584" s="139"/>
      <c r="P584" s="139"/>
      <c r="Q584" s="147"/>
      <c r="R584" s="139"/>
      <c r="S584" s="139"/>
      <c r="T584" s="139"/>
      <c r="U584" s="139"/>
      <c r="V584" s="139"/>
      <c r="W584" s="139"/>
      <c r="X584" s="146"/>
      <c r="Y584" s="148"/>
      <c r="Z584" s="145"/>
      <c r="AA584" s="139"/>
      <c r="AB584" s="149"/>
      <c r="AC584" s="11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74"/>
      <c r="AR584" s="222"/>
    </row>
    <row r="585" spans="2:44" s="22" customFormat="1" ht="18" customHeight="1" x14ac:dyDescent="0.25">
      <c r="B585" s="145"/>
      <c r="C585" s="139"/>
      <c r="D585" s="146"/>
      <c r="E585" s="139"/>
      <c r="F585" s="139"/>
      <c r="G585" s="139"/>
      <c r="H585" s="139"/>
      <c r="I585" s="139"/>
      <c r="J585" s="139"/>
      <c r="K585" s="139"/>
      <c r="L585" s="243"/>
      <c r="M585" s="243"/>
      <c r="N585" s="139"/>
      <c r="O585" s="139"/>
      <c r="P585" s="139"/>
      <c r="Q585" s="147"/>
      <c r="R585" s="139"/>
      <c r="S585" s="139"/>
      <c r="T585" s="139"/>
      <c r="U585" s="139"/>
      <c r="V585" s="139"/>
      <c r="W585" s="139"/>
      <c r="X585" s="146"/>
      <c r="Y585" s="148"/>
      <c r="Z585" s="145"/>
      <c r="AA585" s="139"/>
      <c r="AB585" s="149"/>
      <c r="AC585" s="11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74"/>
      <c r="AR585" s="222"/>
    </row>
    <row r="586" spans="2:44" s="22" customFormat="1" ht="18" customHeight="1" x14ac:dyDescent="0.25">
      <c r="B586" s="145"/>
      <c r="C586" s="139"/>
      <c r="D586" s="146"/>
      <c r="E586" s="139"/>
      <c r="F586" s="139"/>
      <c r="G586" s="139"/>
      <c r="H586" s="139"/>
      <c r="I586" s="139"/>
      <c r="J586" s="139"/>
      <c r="K586" s="139"/>
      <c r="L586" s="243"/>
      <c r="M586" s="243"/>
      <c r="N586" s="139"/>
      <c r="O586" s="139"/>
      <c r="P586" s="139"/>
      <c r="Q586" s="147"/>
      <c r="R586" s="139"/>
      <c r="S586" s="139"/>
      <c r="T586" s="139"/>
      <c r="U586" s="139"/>
      <c r="V586" s="139"/>
      <c r="W586" s="139"/>
      <c r="X586" s="146"/>
      <c r="Y586" s="148"/>
      <c r="Z586" s="145"/>
      <c r="AA586" s="139"/>
      <c r="AB586" s="149"/>
      <c r="AC586" s="11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74"/>
      <c r="AR586" s="222"/>
    </row>
    <row r="587" spans="2:44" s="22" customFormat="1" ht="18" customHeight="1" x14ac:dyDescent="0.25">
      <c r="B587" s="145"/>
      <c r="C587" s="139"/>
      <c r="D587" s="146"/>
      <c r="E587" s="139"/>
      <c r="F587" s="139"/>
      <c r="G587" s="139"/>
      <c r="H587" s="139"/>
      <c r="I587" s="139"/>
      <c r="J587" s="139"/>
      <c r="K587" s="139"/>
      <c r="L587" s="243"/>
      <c r="M587" s="243"/>
      <c r="N587" s="139"/>
      <c r="O587" s="139"/>
      <c r="P587" s="139"/>
      <c r="Q587" s="147"/>
      <c r="R587" s="139"/>
      <c r="S587" s="139"/>
      <c r="T587" s="139"/>
      <c r="U587" s="139"/>
      <c r="V587" s="139"/>
      <c r="W587" s="139"/>
      <c r="X587" s="146"/>
      <c r="Y587" s="148"/>
      <c r="Z587" s="145"/>
      <c r="AA587" s="139"/>
      <c r="AB587" s="149"/>
      <c r="AC587" s="11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74"/>
      <c r="AR587" s="222"/>
    </row>
    <row r="588" spans="2:44" s="140" customFormat="1" ht="18" customHeight="1" x14ac:dyDescent="0.25">
      <c r="B588" s="145"/>
      <c r="C588" s="139"/>
      <c r="D588" s="146"/>
      <c r="E588" s="139"/>
      <c r="F588" s="139"/>
      <c r="G588" s="139"/>
      <c r="H588" s="139"/>
      <c r="I588" s="139"/>
      <c r="J588" s="139"/>
      <c r="K588" s="139"/>
      <c r="L588" s="243"/>
      <c r="M588" s="243"/>
      <c r="N588" s="139"/>
      <c r="O588" s="139"/>
      <c r="P588" s="139"/>
      <c r="Q588" s="147"/>
      <c r="R588" s="139"/>
      <c r="S588" s="139"/>
      <c r="T588" s="139"/>
      <c r="U588" s="139"/>
      <c r="V588" s="139"/>
      <c r="W588" s="139"/>
      <c r="X588" s="146"/>
      <c r="Y588" s="148"/>
      <c r="Z588" s="145"/>
      <c r="AA588" s="139"/>
      <c r="AB588" s="149"/>
      <c r="AC588" s="11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74"/>
      <c r="AR588" s="222"/>
    </row>
    <row r="589" spans="2:44" s="140" customFormat="1" ht="18" customHeight="1" x14ac:dyDescent="0.25">
      <c r="B589" s="145"/>
      <c r="C589" s="139"/>
      <c r="D589" s="146"/>
      <c r="E589" s="139"/>
      <c r="F589" s="139"/>
      <c r="G589" s="139"/>
      <c r="H589" s="139"/>
      <c r="I589" s="139"/>
      <c r="J589" s="139"/>
      <c r="K589" s="139"/>
      <c r="L589" s="243"/>
      <c r="M589" s="243"/>
      <c r="N589" s="139"/>
      <c r="O589" s="139"/>
      <c r="P589" s="139"/>
      <c r="Q589" s="147"/>
      <c r="R589" s="139"/>
      <c r="S589" s="139"/>
      <c r="T589" s="139"/>
      <c r="U589" s="139"/>
      <c r="V589" s="139"/>
      <c r="W589" s="139"/>
      <c r="X589" s="146"/>
      <c r="Y589" s="148"/>
      <c r="Z589" s="145"/>
      <c r="AA589" s="139"/>
      <c r="AB589" s="149"/>
      <c r="AC589" s="11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74"/>
      <c r="AR589" s="222"/>
    </row>
    <row r="590" spans="2:44" s="140" customFormat="1" ht="18" customHeight="1" x14ac:dyDescent="0.25">
      <c r="B590" s="145"/>
      <c r="C590" s="139"/>
      <c r="D590" s="146"/>
      <c r="E590" s="139"/>
      <c r="F590" s="139"/>
      <c r="G590" s="139"/>
      <c r="H590" s="139"/>
      <c r="I590" s="139"/>
      <c r="J590" s="139"/>
      <c r="K590" s="139"/>
      <c r="L590" s="243"/>
      <c r="M590" s="243"/>
      <c r="N590" s="139"/>
      <c r="O590" s="139"/>
      <c r="P590" s="139"/>
      <c r="Q590" s="147"/>
      <c r="R590" s="139"/>
      <c r="S590" s="139"/>
      <c r="T590" s="139"/>
      <c r="U590" s="139"/>
      <c r="V590" s="139"/>
      <c r="W590" s="139"/>
      <c r="X590" s="146"/>
      <c r="Y590" s="148"/>
      <c r="Z590" s="145"/>
      <c r="AA590" s="139"/>
      <c r="AB590" s="149"/>
      <c r="AC590" s="11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74"/>
      <c r="AR590" s="222"/>
    </row>
    <row r="591" spans="2:44" s="140" customFormat="1" ht="18" customHeight="1" x14ac:dyDescent="0.25">
      <c r="B591" s="145"/>
      <c r="C591" s="139"/>
      <c r="D591" s="146"/>
      <c r="E591" s="139"/>
      <c r="F591" s="139"/>
      <c r="G591" s="139"/>
      <c r="H591" s="139"/>
      <c r="I591" s="139"/>
      <c r="J591" s="139"/>
      <c r="K591" s="139"/>
      <c r="L591" s="243"/>
      <c r="M591" s="243"/>
      <c r="N591" s="139"/>
      <c r="O591" s="139"/>
      <c r="P591" s="139"/>
      <c r="Q591" s="147"/>
      <c r="R591" s="139"/>
      <c r="S591" s="139"/>
      <c r="T591" s="139"/>
      <c r="U591" s="139"/>
      <c r="V591" s="139"/>
      <c r="W591" s="139"/>
      <c r="X591" s="146"/>
      <c r="Y591" s="148"/>
      <c r="Z591" s="145"/>
      <c r="AA591" s="139"/>
      <c r="AB591" s="149"/>
      <c r="AC591" s="11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74"/>
      <c r="AR591" s="222"/>
    </row>
    <row r="592" spans="2:44" s="140" customFormat="1" ht="18" customHeight="1" x14ac:dyDescent="0.25">
      <c r="B592" s="145"/>
      <c r="C592" s="139"/>
      <c r="D592" s="146"/>
      <c r="E592" s="139"/>
      <c r="F592" s="139"/>
      <c r="G592" s="139"/>
      <c r="H592" s="139"/>
      <c r="I592" s="139"/>
      <c r="J592" s="139"/>
      <c r="K592" s="139"/>
      <c r="L592" s="243"/>
      <c r="M592" s="243"/>
      <c r="N592" s="139"/>
      <c r="O592" s="139"/>
      <c r="P592" s="139"/>
      <c r="Q592" s="147"/>
      <c r="R592" s="139"/>
      <c r="S592" s="139"/>
      <c r="T592" s="139"/>
      <c r="U592" s="139"/>
      <c r="V592" s="139"/>
      <c r="W592" s="139"/>
      <c r="X592" s="146"/>
      <c r="Y592" s="148"/>
      <c r="Z592" s="145"/>
      <c r="AA592" s="139"/>
      <c r="AB592" s="149"/>
      <c r="AC592" s="11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74"/>
      <c r="AR592" s="222"/>
    </row>
    <row r="593" spans="2:44" s="22" customFormat="1" ht="18" customHeight="1" x14ac:dyDescent="0.25">
      <c r="B593" s="145"/>
      <c r="C593" s="139"/>
      <c r="D593" s="146"/>
      <c r="E593" s="139"/>
      <c r="F593" s="139"/>
      <c r="G593" s="139"/>
      <c r="H593" s="139"/>
      <c r="I593" s="139"/>
      <c r="J593" s="139"/>
      <c r="K593" s="139"/>
      <c r="L593" s="243"/>
      <c r="M593" s="243"/>
      <c r="N593" s="139"/>
      <c r="O593" s="139"/>
      <c r="P593" s="139"/>
      <c r="Q593" s="147"/>
      <c r="R593" s="139"/>
      <c r="S593" s="139"/>
      <c r="T593" s="139"/>
      <c r="U593" s="139"/>
      <c r="V593" s="139"/>
      <c r="W593" s="139"/>
      <c r="X593" s="146"/>
      <c r="Y593" s="148"/>
      <c r="Z593" s="145"/>
      <c r="AA593" s="139"/>
      <c r="AB593" s="149"/>
      <c r="AC593" s="11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74"/>
      <c r="AR593" s="222"/>
    </row>
    <row r="594" spans="2:44" s="140" customFormat="1" ht="18" customHeight="1" x14ac:dyDescent="0.25">
      <c r="B594" s="145"/>
      <c r="C594" s="139"/>
      <c r="D594" s="146"/>
      <c r="E594" s="139"/>
      <c r="F594" s="139"/>
      <c r="G594" s="139"/>
      <c r="H594" s="139"/>
      <c r="I594" s="139"/>
      <c r="J594" s="139"/>
      <c r="K594" s="139"/>
      <c r="L594" s="243"/>
      <c r="M594" s="243"/>
      <c r="N594" s="139"/>
      <c r="O594" s="139"/>
      <c r="P594" s="139"/>
      <c r="Q594" s="147"/>
      <c r="R594" s="139"/>
      <c r="S594" s="139"/>
      <c r="T594" s="139"/>
      <c r="U594" s="139"/>
      <c r="V594" s="139"/>
      <c r="W594" s="139"/>
      <c r="X594" s="146"/>
      <c r="Y594" s="148"/>
      <c r="Z594" s="145"/>
      <c r="AA594" s="139"/>
      <c r="AB594" s="149"/>
      <c r="AC594" s="11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74"/>
      <c r="AR594" s="222"/>
    </row>
    <row r="595" spans="2:44" s="140" customFormat="1" ht="18" customHeight="1" x14ac:dyDescent="0.25">
      <c r="B595" s="145"/>
      <c r="C595" s="139"/>
      <c r="D595" s="146"/>
      <c r="E595" s="139"/>
      <c r="F595" s="139"/>
      <c r="G595" s="139"/>
      <c r="H595" s="139"/>
      <c r="I595" s="139"/>
      <c r="J595" s="139"/>
      <c r="K595" s="139"/>
      <c r="L595" s="243"/>
      <c r="M595" s="243"/>
      <c r="N595" s="139"/>
      <c r="O595" s="139"/>
      <c r="P595" s="139"/>
      <c r="Q595" s="147"/>
      <c r="R595" s="139"/>
      <c r="S595" s="139"/>
      <c r="T595" s="139"/>
      <c r="U595" s="139"/>
      <c r="V595" s="139"/>
      <c r="W595" s="139"/>
      <c r="X595" s="146"/>
      <c r="Y595" s="148"/>
      <c r="Z595" s="145"/>
      <c r="AA595" s="139"/>
      <c r="AB595" s="149"/>
      <c r="AC595" s="11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74"/>
      <c r="AR595" s="222"/>
    </row>
    <row r="596" spans="2:44" s="22" customFormat="1" ht="18" customHeight="1" x14ac:dyDescent="0.25">
      <c r="B596" s="145"/>
      <c r="C596" s="139"/>
      <c r="D596" s="146"/>
      <c r="E596" s="139"/>
      <c r="F596" s="139"/>
      <c r="G596" s="139"/>
      <c r="H596" s="139"/>
      <c r="I596" s="139"/>
      <c r="J596" s="139"/>
      <c r="K596" s="139"/>
      <c r="L596" s="243"/>
      <c r="M596" s="243"/>
      <c r="N596" s="139"/>
      <c r="O596" s="139"/>
      <c r="P596" s="139"/>
      <c r="Q596" s="147"/>
      <c r="R596" s="139"/>
      <c r="S596" s="139"/>
      <c r="T596" s="139"/>
      <c r="U596" s="139"/>
      <c r="V596" s="139"/>
      <c r="W596" s="139"/>
      <c r="X596" s="146"/>
      <c r="Y596" s="148"/>
      <c r="Z596" s="145"/>
      <c r="AA596" s="139"/>
      <c r="AB596" s="149"/>
      <c r="AC596" s="11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74"/>
      <c r="AR596" s="222"/>
    </row>
    <row r="597" spans="2:44" s="22" customFormat="1" ht="18" customHeight="1" x14ac:dyDescent="0.25">
      <c r="B597" s="145"/>
      <c r="C597" s="139"/>
      <c r="D597" s="146"/>
      <c r="E597" s="139"/>
      <c r="F597" s="139"/>
      <c r="G597" s="139"/>
      <c r="H597" s="139"/>
      <c r="I597" s="139"/>
      <c r="J597" s="139"/>
      <c r="K597" s="139"/>
      <c r="L597" s="243"/>
      <c r="M597" s="243"/>
      <c r="N597" s="139"/>
      <c r="O597" s="139"/>
      <c r="P597" s="139"/>
      <c r="Q597" s="147"/>
      <c r="R597" s="139"/>
      <c r="S597" s="139"/>
      <c r="T597" s="139"/>
      <c r="U597" s="139"/>
      <c r="V597" s="139"/>
      <c r="W597" s="139"/>
      <c r="X597" s="146"/>
      <c r="Y597" s="148"/>
      <c r="Z597" s="145"/>
      <c r="AA597" s="139"/>
      <c r="AB597" s="149"/>
      <c r="AC597" s="11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74"/>
      <c r="AR597" s="222"/>
    </row>
    <row r="598" spans="2:44" s="22" customFormat="1" ht="18" customHeight="1" x14ac:dyDescent="0.25">
      <c r="B598" s="145"/>
      <c r="C598" s="139"/>
      <c r="D598" s="146"/>
      <c r="E598" s="139"/>
      <c r="F598" s="139"/>
      <c r="G598" s="139"/>
      <c r="H598" s="139"/>
      <c r="I598" s="139"/>
      <c r="J598" s="139"/>
      <c r="K598" s="139"/>
      <c r="L598" s="243"/>
      <c r="M598" s="243"/>
      <c r="N598" s="139"/>
      <c r="O598" s="139"/>
      <c r="P598" s="139"/>
      <c r="Q598" s="147"/>
      <c r="R598" s="139"/>
      <c r="S598" s="139"/>
      <c r="T598" s="139"/>
      <c r="U598" s="139"/>
      <c r="V598" s="139"/>
      <c r="W598" s="139"/>
      <c r="X598" s="146"/>
      <c r="Y598" s="148"/>
      <c r="Z598" s="145"/>
      <c r="AA598" s="139"/>
      <c r="AB598" s="149"/>
      <c r="AC598" s="11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74"/>
      <c r="AR598" s="222"/>
    </row>
    <row r="599" spans="2:44" s="141" customFormat="1" ht="18" customHeight="1" x14ac:dyDescent="0.25">
      <c r="B599" s="145"/>
      <c r="C599" s="139"/>
      <c r="D599" s="146"/>
      <c r="E599" s="139"/>
      <c r="F599" s="139"/>
      <c r="G599" s="139"/>
      <c r="H599" s="139"/>
      <c r="I599" s="139"/>
      <c r="J599" s="139"/>
      <c r="K599" s="139"/>
      <c r="L599" s="243"/>
      <c r="M599" s="243"/>
      <c r="N599" s="139"/>
      <c r="O599" s="139"/>
      <c r="P599" s="139"/>
      <c r="Q599" s="147"/>
      <c r="R599" s="139"/>
      <c r="S599" s="139"/>
      <c r="T599" s="139"/>
      <c r="U599" s="139"/>
      <c r="V599" s="139"/>
      <c r="W599" s="139"/>
      <c r="X599" s="146"/>
      <c r="Y599" s="148"/>
      <c r="Z599" s="145"/>
      <c r="AA599" s="139"/>
      <c r="AB599" s="149"/>
      <c r="AC599" s="11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74"/>
      <c r="AR599" s="222"/>
    </row>
    <row r="600" spans="2:44" s="22" customFormat="1" ht="18" customHeight="1" x14ac:dyDescent="0.25">
      <c r="B600" s="145"/>
      <c r="C600" s="139"/>
      <c r="D600" s="146"/>
      <c r="E600" s="139"/>
      <c r="F600" s="139"/>
      <c r="G600" s="139"/>
      <c r="H600" s="139"/>
      <c r="I600" s="139"/>
      <c r="J600" s="139"/>
      <c r="K600" s="139"/>
      <c r="L600" s="243"/>
      <c r="M600" s="243"/>
      <c r="N600" s="139"/>
      <c r="O600" s="139"/>
      <c r="P600" s="139"/>
      <c r="Q600" s="147"/>
      <c r="R600" s="139"/>
      <c r="S600" s="139"/>
      <c r="T600" s="139"/>
      <c r="U600" s="139"/>
      <c r="V600" s="139"/>
      <c r="W600" s="139"/>
      <c r="X600" s="146"/>
      <c r="Y600" s="148"/>
      <c r="Z600" s="145"/>
      <c r="AA600" s="139"/>
      <c r="AB600" s="149"/>
      <c r="AC600" s="11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74"/>
      <c r="AR600" s="222"/>
    </row>
    <row r="601" spans="2:44" s="22" customFormat="1" ht="18" customHeight="1" x14ac:dyDescent="0.25">
      <c r="B601" s="145"/>
      <c r="C601" s="139"/>
      <c r="D601" s="146"/>
      <c r="E601" s="139"/>
      <c r="F601" s="139"/>
      <c r="G601" s="139"/>
      <c r="H601" s="139"/>
      <c r="I601" s="139"/>
      <c r="J601" s="139"/>
      <c r="K601" s="139"/>
      <c r="L601" s="243"/>
      <c r="M601" s="243"/>
      <c r="N601" s="139"/>
      <c r="O601" s="139"/>
      <c r="P601" s="139"/>
      <c r="Q601" s="147"/>
      <c r="R601" s="139"/>
      <c r="S601" s="139"/>
      <c r="T601" s="139"/>
      <c r="U601" s="139"/>
      <c r="V601" s="139"/>
      <c r="W601" s="139"/>
      <c r="X601" s="146"/>
      <c r="Y601" s="148"/>
      <c r="Z601" s="145"/>
      <c r="AA601" s="139"/>
      <c r="AB601" s="149"/>
      <c r="AC601" s="11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74"/>
      <c r="AR601" s="222"/>
    </row>
    <row r="602" spans="2:44" s="22" customFormat="1" ht="18" customHeight="1" x14ac:dyDescent="0.25">
      <c r="B602" s="145"/>
      <c r="C602" s="139"/>
      <c r="D602" s="146"/>
      <c r="E602" s="139"/>
      <c r="F602" s="139"/>
      <c r="G602" s="139"/>
      <c r="H602" s="139"/>
      <c r="I602" s="139"/>
      <c r="J602" s="139"/>
      <c r="K602" s="139"/>
      <c r="L602" s="243"/>
      <c r="M602" s="243"/>
      <c r="N602" s="139"/>
      <c r="O602" s="139"/>
      <c r="P602" s="139"/>
      <c r="Q602" s="147"/>
      <c r="R602" s="139"/>
      <c r="S602" s="139"/>
      <c r="T602" s="139"/>
      <c r="U602" s="139"/>
      <c r="V602" s="139"/>
      <c r="W602" s="139"/>
      <c r="X602" s="146"/>
      <c r="Y602" s="148"/>
      <c r="Z602" s="145"/>
      <c r="AA602" s="139"/>
      <c r="AB602" s="149"/>
      <c r="AC602" s="11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74"/>
      <c r="AR602" s="222"/>
    </row>
    <row r="603" spans="2:44" s="22" customFormat="1" ht="18" customHeight="1" x14ac:dyDescent="0.25">
      <c r="B603" s="145"/>
      <c r="C603" s="139"/>
      <c r="D603" s="146"/>
      <c r="E603" s="139"/>
      <c r="F603" s="139"/>
      <c r="G603" s="139"/>
      <c r="H603" s="139"/>
      <c r="I603" s="139"/>
      <c r="J603" s="139"/>
      <c r="K603" s="139"/>
      <c r="L603" s="243"/>
      <c r="M603" s="243"/>
      <c r="N603" s="139"/>
      <c r="O603" s="139"/>
      <c r="P603" s="139"/>
      <c r="Q603" s="147"/>
      <c r="R603" s="139"/>
      <c r="S603" s="139"/>
      <c r="T603" s="139"/>
      <c r="U603" s="139"/>
      <c r="V603" s="139"/>
      <c r="W603" s="139"/>
      <c r="X603" s="146"/>
      <c r="Y603" s="148"/>
      <c r="Z603" s="145"/>
      <c r="AA603" s="139"/>
      <c r="AB603" s="149"/>
      <c r="AC603" s="11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74"/>
      <c r="AR603" s="222"/>
    </row>
    <row r="604" spans="2:44" s="22" customFormat="1" ht="18" customHeight="1" x14ac:dyDescent="0.25">
      <c r="B604" s="145"/>
      <c r="C604" s="139"/>
      <c r="D604" s="146"/>
      <c r="E604" s="139"/>
      <c r="F604" s="139"/>
      <c r="G604" s="139"/>
      <c r="H604" s="139"/>
      <c r="I604" s="139"/>
      <c r="J604" s="139"/>
      <c r="K604" s="139"/>
      <c r="L604" s="243"/>
      <c r="M604" s="243"/>
      <c r="N604" s="139"/>
      <c r="O604" s="139"/>
      <c r="P604" s="139"/>
      <c r="Q604" s="147"/>
      <c r="R604" s="139"/>
      <c r="S604" s="139"/>
      <c r="T604" s="139"/>
      <c r="U604" s="139"/>
      <c r="V604" s="139"/>
      <c r="W604" s="139"/>
      <c r="X604" s="146"/>
      <c r="Y604" s="148"/>
      <c r="Z604" s="145"/>
      <c r="AA604" s="139"/>
      <c r="AB604" s="149"/>
      <c r="AC604" s="11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74"/>
      <c r="AR604" s="222"/>
    </row>
    <row r="605" spans="2:44" s="22" customFormat="1" ht="18" customHeight="1" x14ac:dyDescent="0.25">
      <c r="B605" s="145"/>
      <c r="C605" s="139"/>
      <c r="D605" s="146"/>
      <c r="E605" s="139"/>
      <c r="F605" s="139"/>
      <c r="G605" s="139"/>
      <c r="H605" s="139"/>
      <c r="I605" s="139"/>
      <c r="J605" s="139"/>
      <c r="K605" s="139"/>
      <c r="L605" s="243"/>
      <c r="M605" s="243"/>
      <c r="N605" s="139"/>
      <c r="O605" s="139"/>
      <c r="P605" s="139"/>
      <c r="Q605" s="147"/>
      <c r="R605" s="139"/>
      <c r="S605" s="139"/>
      <c r="T605" s="139"/>
      <c r="U605" s="139"/>
      <c r="V605" s="139"/>
      <c r="W605" s="139"/>
      <c r="X605" s="146"/>
      <c r="Y605" s="148"/>
      <c r="Z605" s="145"/>
      <c r="AA605" s="139"/>
      <c r="AB605" s="149"/>
      <c r="AC605" s="11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74"/>
      <c r="AR605" s="222"/>
    </row>
    <row r="606" spans="2:44" s="22" customFormat="1" ht="18" customHeight="1" x14ac:dyDescent="0.25">
      <c r="B606" s="145"/>
      <c r="C606" s="139"/>
      <c r="D606" s="146"/>
      <c r="E606" s="139"/>
      <c r="F606" s="139"/>
      <c r="G606" s="139"/>
      <c r="H606" s="139"/>
      <c r="I606" s="139"/>
      <c r="J606" s="139"/>
      <c r="K606" s="139"/>
      <c r="L606" s="243"/>
      <c r="M606" s="243"/>
      <c r="N606" s="139"/>
      <c r="O606" s="139"/>
      <c r="P606" s="139"/>
      <c r="Q606" s="147"/>
      <c r="R606" s="139"/>
      <c r="S606" s="139"/>
      <c r="T606" s="139"/>
      <c r="U606" s="139"/>
      <c r="V606" s="139"/>
      <c r="W606" s="139"/>
      <c r="X606" s="146"/>
      <c r="Y606" s="148"/>
      <c r="Z606" s="145"/>
      <c r="AA606" s="139"/>
      <c r="AB606" s="149"/>
      <c r="AC606" s="11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74"/>
      <c r="AR606" s="222"/>
    </row>
    <row r="607" spans="2:44" s="140" customFormat="1" ht="18" customHeight="1" x14ac:dyDescent="0.25">
      <c r="B607" s="145"/>
      <c r="C607" s="139"/>
      <c r="D607" s="146"/>
      <c r="E607" s="139"/>
      <c r="F607" s="139"/>
      <c r="G607" s="139"/>
      <c r="H607" s="139"/>
      <c r="I607" s="139"/>
      <c r="J607" s="139"/>
      <c r="K607" s="139"/>
      <c r="L607" s="243"/>
      <c r="M607" s="243"/>
      <c r="N607" s="139"/>
      <c r="O607" s="139"/>
      <c r="P607" s="139"/>
      <c r="Q607" s="147"/>
      <c r="R607" s="139"/>
      <c r="S607" s="139"/>
      <c r="T607" s="139"/>
      <c r="U607" s="139"/>
      <c r="V607" s="139"/>
      <c r="W607" s="139"/>
      <c r="X607" s="146"/>
      <c r="Y607" s="148"/>
      <c r="Z607" s="145"/>
      <c r="AA607" s="139"/>
      <c r="AB607" s="149"/>
      <c r="AC607" s="11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74"/>
      <c r="AR607" s="222"/>
    </row>
    <row r="608" spans="2:44" s="22" customFormat="1" ht="18" customHeight="1" x14ac:dyDescent="0.25">
      <c r="B608" s="145"/>
      <c r="C608" s="139"/>
      <c r="D608" s="146"/>
      <c r="E608" s="139"/>
      <c r="F608" s="139"/>
      <c r="G608" s="139"/>
      <c r="H608" s="139"/>
      <c r="I608" s="139"/>
      <c r="J608" s="139"/>
      <c r="K608" s="139"/>
      <c r="L608" s="243"/>
      <c r="M608" s="243"/>
      <c r="N608" s="139"/>
      <c r="O608" s="139"/>
      <c r="P608" s="139"/>
      <c r="Q608" s="147"/>
      <c r="R608" s="139"/>
      <c r="S608" s="139"/>
      <c r="T608" s="139"/>
      <c r="U608" s="139"/>
      <c r="V608" s="139"/>
      <c r="W608" s="139"/>
      <c r="X608" s="146"/>
      <c r="Y608" s="148"/>
      <c r="Z608" s="145"/>
      <c r="AA608" s="139"/>
      <c r="AB608" s="149"/>
      <c r="AC608" s="11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74"/>
      <c r="AR608" s="222"/>
    </row>
    <row r="609" spans="2:44" s="22" customFormat="1" ht="18" customHeight="1" x14ac:dyDescent="0.25">
      <c r="B609" s="145"/>
      <c r="C609" s="139"/>
      <c r="D609" s="146"/>
      <c r="E609" s="139"/>
      <c r="F609" s="139"/>
      <c r="G609" s="139"/>
      <c r="H609" s="139"/>
      <c r="I609" s="139"/>
      <c r="J609" s="139"/>
      <c r="K609" s="139"/>
      <c r="L609" s="243"/>
      <c r="M609" s="243"/>
      <c r="N609" s="139"/>
      <c r="O609" s="139"/>
      <c r="P609" s="139"/>
      <c r="Q609" s="147"/>
      <c r="R609" s="139"/>
      <c r="S609" s="139"/>
      <c r="T609" s="139"/>
      <c r="U609" s="139"/>
      <c r="V609" s="139"/>
      <c r="W609" s="139"/>
      <c r="X609" s="146"/>
      <c r="Y609" s="148"/>
      <c r="Z609" s="145"/>
      <c r="AA609" s="139"/>
      <c r="AB609" s="149"/>
      <c r="AC609" s="11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74"/>
      <c r="AR609" s="222"/>
    </row>
    <row r="610" spans="2:44" s="141" customFormat="1" ht="18" customHeight="1" x14ac:dyDescent="0.25">
      <c r="B610" s="145"/>
      <c r="C610" s="139"/>
      <c r="D610" s="146"/>
      <c r="E610" s="139"/>
      <c r="F610" s="139"/>
      <c r="G610" s="139"/>
      <c r="H610" s="139"/>
      <c r="I610" s="139"/>
      <c r="J610" s="139"/>
      <c r="K610" s="139"/>
      <c r="L610" s="243"/>
      <c r="M610" s="243"/>
      <c r="N610" s="139"/>
      <c r="O610" s="139"/>
      <c r="P610" s="139"/>
      <c r="Q610" s="147"/>
      <c r="R610" s="139"/>
      <c r="S610" s="139"/>
      <c r="T610" s="139"/>
      <c r="U610" s="139"/>
      <c r="V610" s="139"/>
      <c r="W610" s="139"/>
      <c r="X610" s="146"/>
      <c r="Y610" s="148"/>
      <c r="Z610" s="145"/>
      <c r="AA610" s="139"/>
      <c r="AB610" s="149"/>
      <c r="AC610" s="11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74"/>
      <c r="AR610" s="222"/>
    </row>
    <row r="611" spans="2:44" s="22" customFormat="1" ht="18" customHeight="1" x14ac:dyDescent="0.25">
      <c r="B611" s="145"/>
      <c r="C611" s="139"/>
      <c r="D611" s="146"/>
      <c r="E611" s="139"/>
      <c r="F611" s="139"/>
      <c r="G611" s="139"/>
      <c r="H611" s="139"/>
      <c r="I611" s="139"/>
      <c r="J611" s="139"/>
      <c r="K611" s="139"/>
      <c r="L611" s="243"/>
      <c r="M611" s="243"/>
      <c r="N611" s="139"/>
      <c r="O611" s="139"/>
      <c r="P611" s="139"/>
      <c r="Q611" s="147"/>
      <c r="R611" s="139"/>
      <c r="S611" s="139"/>
      <c r="T611" s="139"/>
      <c r="U611" s="139"/>
      <c r="V611" s="139"/>
      <c r="W611" s="139"/>
      <c r="X611" s="146"/>
      <c r="Y611" s="148"/>
      <c r="Z611" s="145"/>
      <c r="AA611" s="139"/>
      <c r="AB611" s="149"/>
      <c r="AC611" s="11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74"/>
      <c r="AR611" s="222"/>
    </row>
    <row r="612" spans="2:44" s="22" customFormat="1" ht="18" customHeight="1" x14ac:dyDescent="0.25">
      <c r="B612" s="145"/>
      <c r="C612" s="139"/>
      <c r="D612" s="146"/>
      <c r="E612" s="139"/>
      <c r="F612" s="139"/>
      <c r="G612" s="139"/>
      <c r="H612" s="139"/>
      <c r="I612" s="139"/>
      <c r="J612" s="139"/>
      <c r="K612" s="139"/>
      <c r="L612" s="243"/>
      <c r="M612" s="243"/>
      <c r="N612" s="139"/>
      <c r="O612" s="139"/>
      <c r="P612" s="139"/>
      <c r="Q612" s="147"/>
      <c r="R612" s="139"/>
      <c r="S612" s="139"/>
      <c r="T612" s="139"/>
      <c r="U612" s="139"/>
      <c r="V612" s="139"/>
      <c r="W612" s="139"/>
      <c r="X612" s="146"/>
      <c r="Y612" s="148"/>
      <c r="Z612" s="145"/>
      <c r="AA612" s="139"/>
      <c r="AB612" s="149"/>
      <c r="AC612" s="11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74"/>
      <c r="AR612" s="222"/>
    </row>
    <row r="613" spans="2:44" s="22" customFormat="1" ht="18" customHeight="1" x14ac:dyDescent="0.25">
      <c r="B613" s="145"/>
      <c r="C613" s="139"/>
      <c r="D613" s="146"/>
      <c r="E613" s="139"/>
      <c r="F613" s="139"/>
      <c r="G613" s="139"/>
      <c r="H613" s="139"/>
      <c r="I613" s="139"/>
      <c r="J613" s="139"/>
      <c r="K613" s="139"/>
      <c r="L613" s="243"/>
      <c r="M613" s="243"/>
      <c r="N613" s="139"/>
      <c r="O613" s="139"/>
      <c r="P613" s="139"/>
      <c r="Q613" s="147"/>
      <c r="R613" s="139"/>
      <c r="S613" s="139"/>
      <c r="T613" s="139"/>
      <c r="U613" s="139"/>
      <c r="V613" s="139"/>
      <c r="W613" s="139"/>
      <c r="X613" s="146"/>
      <c r="Y613" s="148"/>
      <c r="Z613" s="145"/>
      <c r="AA613" s="139"/>
      <c r="AB613" s="149"/>
      <c r="AC613" s="11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74"/>
      <c r="AR613" s="222"/>
    </row>
    <row r="614" spans="2:44" s="22" customFormat="1" ht="18" customHeight="1" x14ac:dyDescent="0.25">
      <c r="B614" s="145"/>
      <c r="C614" s="139"/>
      <c r="D614" s="146"/>
      <c r="E614" s="139"/>
      <c r="F614" s="139"/>
      <c r="G614" s="139"/>
      <c r="H614" s="139"/>
      <c r="I614" s="139"/>
      <c r="J614" s="139"/>
      <c r="K614" s="139"/>
      <c r="L614" s="243"/>
      <c r="M614" s="243"/>
      <c r="N614" s="139"/>
      <c r="O614" s="139"/>
      <c r="P614" s="139"/>
      <c r="Q614" s="147"/>
      <c r="R614" s="139"/>
      <c r="S614" s="139"/>
      <c r="T614" s="139"/>
      <c r="U614" s="139"/>
      <c r="V614" s="139"/>
      <c r="W614" s="139"/>
      <c r="X614" s="146"/>
      <c r="Y614" s="148"/>
      <c r="Z614" s="145"/>
      <c r="AA614" s="139"/>
      <c r="AB614" s="149"/>
      <c r="AC614" s="11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74"/>
      <c r="AR614" s="222"/>
    </row>
    <row r="615" spans="2:44" s="22" customFormat="1" ht="18" customHeight="1" x14ac:dyDescent="0.25">
      <c r="B615" s="145"/>
      <c r="C615" s="139"/>
      <c r="D615" s="146"/>
      <c r="E615" s="139"/>
      <c r="F615" s="139"/>
      <c r="G615" s="139"/>
      <c r="H615" s="139"/>
      <c r="I615" s="139"/>
      <c r="J615" s="139"/>
      <c r="K615" s="139"/>
      <c r="L615" s="243"/>
      <c r="M615" s="243"/>
      <c r="N615" s="139"/>
      <c r="O615" s="139"/>
      <c r="P615" s="139"/>
      <c r="Q615" s="147"/>
      <c r="R615" s="139"/>
      <c r="S615" s="139"/>
      <c r="T615" s="139"/>
      <c r="U615" s="139"/>
      <c r="V615" s="139"/>
      <c r="W615" s="139"/>
      <c r="X615" s="146"/>
      <c r="Y615" s="148"/>
      <c r="Z615" s="145"/>
      <c r="AA615" s="139"/>
      <c r="AB615" s="149"/>
      <c r="AC615" s="11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74"/>
      <c r="AR615" s="222"/>
    </row>
    <row r="616" spans="2:44" s="22" customFormat="1" ht="18" customHeight="1" x14ac:dyDescent="0.25">
      <c r="B616" s="145"/>
      <c r="C616" s="139"/>
      <c r="D616" s="146"/>
      <c r="E616" s="139"/>
      <c r="F616" s="139"/>
      <c r="G616" s="139"/>
      <c r="H616" s="139"/>
      <c r="I616" s="139"/>
      <c r="J616" s="139"/>
      <c r="K616" s="139"/>
      <c r="L616" s="243"/>
      <c r="M616" s="243"/>
      <c r="N616" s="139"/>
      <c r="O616" s="139"/>
      <c r="P616" s="139"/>
      <c r="Q616" s="147"/>
      <c r="R616" s="139"/>
      <c r="S616" s="139"/>
      <c r="T616" s="139"/>
      <c r="U616" s="139"/>
      <c r="V616" s="139"/>
      <c r="W616" s="139"/>
      <c r="X616" s="146"/>
      <c r="Y616" s="148"/>
      <c r="Z616" s="145"/>
      <c r="AA616" s="139"/>
      <c r="AB616" s="149"/>
      <c r="AC616" s="11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74"/>
      <c r="AR616" s="222"/>
    </row>
    <row r="617" spans="2:44" s="22" customFormat="1" ht="18" customHeight="1" x14ac:dyDescent="0.25">
      <c r="B617" s="145"/>
      <c r="C617" s="139"/>
      <c r="D617" s="146"/>
      <c r="E617" s="139"/>
      <c r="F617" s="139"/>
      <c r="G617" s="139"/>
      <c r="H617" s="139"/>
      <c r="I617" s="139"/>
      <c r="J617" s="139"/>
      <c r="K617" s="139"/>
      <c r="L617" s="243"/>
      <c r="M617" s="243"/>
      <c r="N617" s="139"/>
      <c r="O617" s="139"/>
      <c r="P617" s="139"/>
      <c r="Q617" s="147"/>
      <c r="R617" s="139"/>
      <c r="S617" s="139"/>
      <c r="T617" s="139"/>
      <c r="U617" s="139"/>
      <c r="V617" s="139"/>
      <c r="W617" s="139"/>
      <c r="X617" s="146"/>
      <c r="Y617" s="148"/>
      <c r="Z617" s="145"/>
      <c r="AA617" s="139"/>
      <c r="AB617" s="149"/>
      <c r="AC617" s="11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74"/>
      <c r="AR617" s="222"/>
    </row>
    <row r="618" spans="2:44" s="22" customFormat="1" ht="18" customHeight="1" x14ac:dyDescent="0.25">
      <c r="B618" s="145"/>
      <c r="C618" s="139"/>
      <c r="D618" s="146"/>
      <c r="E618" s="139"/>
      <c r="F618" s="139"/>
      <c r="G618" s="139"/>
      <c r="H618" s="139"/>
      <c r="I618" s="139"/>
      <c r="J618" s="139"/>
      <c r="K618" s="139"/>
      <c r="L618" s="243"/>
      <c r="M618" s="243"/>
      <c r="N618" s="139"/>
      <c r="O618" s="139"/>
      <c r="P618" s="139"/>
      <c r="Q618" s="147"/>
      <c r="R618" s="139"/>
      <c r="S618" s="139"/>
      <c r="T618" s="139"/>
      <c r="U618" s="139"/>
      <c r="V618" s="139"/>
      <c r="W618" s="139"/>
      <c r="X618" s="146"/>
      <c r="Y618" s="148"/>
      <c r="Z618" s="145"/>
      <c r="AA618" s="139"/>
      <c r="AB618" s="149"/>
      <c r="AC618" s="11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74"/>
      <c r="AR618" s="222"/>
    </row>
    <row r="619" spans="2:44" s="22" customFormat="1" ht="18" customHeight="1" x14ac:dyDescent="0.25">
      <c r="B619" s="145"/>
      <c r="C619" s="139"/>
      <c r="D619" s="146"/>
      <c r="E619" s="139"/>
      <c r="F619" s="139"/>
      <c r="G619" s="139"/>
      <c r="H619" s="139"/>
      <c r="I619" s="139"/>
      <c r="J619" s="139"/>
      <c r="K619" s="139"/>
      <c r="L619" s="243"/>
      <c r="M619" s="243"/>
      <c r="N619" s="139"/>
      <c r="O619" s="139"/>
      <c r="P619" s="139"/>
      <c r="Q619" s="147"/>
      <c r="R619" s="139"/>
      <c r="S619" s="139"/>
      <c r="T619" s="139"/>
      <c r="U619" s="139"/>
      <c r="V619" s="139"/>
      <c r="W619" s="139"/>
      <c r="X619" s="146"/>
      <c r="Y619" s="148"/>
      <c r="Z619" s="145"/>
      <c r="AA619" s="139"/>
      <c r="AB619" s="149"/>
      <c r="AC619" s="11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74"/>
      <c r="AR619" s="222"/>
    </row>
    <row r="620" spans="2:44" s="22" customFormat="1" ht="18" customHeight="1" x14ac:dyDescent="0.25">
      <c r="B620" s="145"/>
      <c r="C620" s="139"/>
      <c r="D620" s="146"/>
      <c r="E620" s="139"/>
      <c r="F620" s="139"/>
      <c r="G620" s="139"/>
      <c r="H620" s="139"/>
      <c r="I620" s="139"/>
      <c r="J620" s="139"/>
      <c r="K620" s="139"/>
      <c r="L620" s="243"/>
      <c r="M620" s="243"/>
      <c r="N620" s="139"/>
      <c r="O620" s="139"/>
      <c r="P620" s="139"/>
      <c r="Q620" s="147"/>
      <c r="R620" s="139"/>
      <c r="S620" s="139"/>
      <c r="T620" s="139"/>
      <c r="U620" s="139"/>
      <c r="V620" s="139"/>
      <c r="W620" s="139"/>
      <c r="X620" s="146"/>
      <c r="Y620" s="148"/>
      <c r="Z620" s="145"/>
      <c r="AA620" s="139"/>
      <c r="AB620" s="149"/>
      <c r="AC620" s="11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74"/>
      <c r="AR620" s="222"/>
    </row>
    <row r="621" spans="2:44" s="22" customFormat="1" ht="18" customHeight="1" x14ac:dyDescent="0.25">
      <c r="B621" s="145"/>
      <c r="C621" s="139"/>
      <c r="D621" s="146"/>
      <c r="E621" s="139"/>
      <c r="F621" s="139"/>
      <c r="G621" s="139"/>
      <c r="H621" s="139"/>
      <c r="I621" s="139"/>
      <c r="J621" s="139"/>
      <c r="K621" s="139"/>
      <c r="L621" s="243"/>
      <c r="M621" s="243"/>
      <c r="N621" s="139"/>
      <c r="O621" s="139"/>
      <c r="P621" s="139"/>
      <c r="Q621" s="147"/>
      <c r="R621" s="139"/>
      <c r="S621" s="139"/>
      <c r="T621" s="139"/>
      <c r="U621" s="139"/>
      <c r="V621" s="139"/>
      <c r="W621" s="139"/>
      <c r="X621" s="146"/>
      <c r="Y621" s="148"/>
      <c r="Z621" s="145"/>
      <c r="AA621" s="139"/>
      <c r="AB621" s="149"/>
      <c r="AC621" s="11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74"/>
      <c r="AR621" s="222"/>
    </row>
    <row r="622" spans="2:44" s="22" customFormat="1" ht="18" customHeight="1" x14ac:dyDescent="0.25">
      <c r="B622" s="145"/>
      <c r="C622" s="139"/>
      <c r="D622" s="146"/>
      <c r="E622" s="139"/>
      <c r="F622" s="139"/>
      <c r="G622" s="139"/>
      <c r="H622" s="139"/>
      <c r="I622" s="139"/>
      <c r="J622" s="139"/>
      <c r="K622" s="139"/>
      <c r="L622" s="243"/>
      <c r="M622" s="243"/>
      <c r="N622" s="139"/>
      <c r="O622" s="139"/>
      <c r="P622" s="139"/>
      <c r="Q622" s="147"/>
      <c r="R622" s="139"/>
      <c r="S622" s="139"/>
      <c r="T622" s="139"/>
      <c r="U622" s="139"/>
      <c r="V622" s="139"/>
      <c r="W622" s="139"/>
      <c r="X622" s="146"/>
      <c r="Y622" s="148"/>
      <c r="Z622" s="145"/>
      <c r="AA622" s="139"/>
      <c r="AB622" s="149"/>
      <c r="AC622" s="11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74"/>
      <c r="AR622" s="222"/>
    </row>
    <row r="623" spans="2:44" s="22" customFormat="1" ht="18" customHeight="1" x14ac:dyDescent="0.25">
      <c r="B623" s="145"/>
      <c r="C623" s="139"/>
      <c r="D623" s="146"/>
      <c r="E623" s="139"/>
      <c r="F623" s="139"/>
      <c r="G623" s="139"/>
      <c r="H623" s="139"/>
      <c r="I623" s="139"/>
      <c r="J623" s="139"/>
      <c r="K623" s="139"/>
      <c r="L623" s="243"/>
      <c r="M623" s="243"/>
      <c r="N623" s="139"/>
      <c r="O623" s="139"/>
      <c r="P623" s="139"/>
      <c r="Q623" s="147"/>
      <c r="R623" s="139"/>
      <c r="S623" s="139"/>
      <c r="T623" s="139"/>
      <c r="U623" s="139"/>
      <c r="V623" s="139"/>
      <c r="W623" s="139"/>
      <c r="X623" s="146"/>
      <c r="Y623" s="148"/>
      <c r="Z623" s="145"/>
      <c r="AA623" s="139"/>
      <c r="AB623" s="149"/>
      <c r="AC623" s="11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74"/>
      <c r="AR623" s="222"/>
    </row>
    <row r="624" spans="2:44" s="22" customFormat="1" ht="18" customHeight="1" x14ac:dyDescent="0.25">
      <c r="B624" s="145"/>
      <c r="C624" s="139"/>
      <c r="D624" s="146"/>
      <c r="E624" s="139"/>
      <c r="F624" s="139"/>
      <c r="G624" s="139"/>
      <c r="H624" s="139"/>
      <c r="I624" s="139"/>
      <c r="J624" s="139"/>
      <c r="K624" s="139"/>
      <c r="L624" s="243"/>
      <c r="M624" s="243"/>
      <c r="N624" s="139"/>
      <c r="O624" s="139"/>
      <c r="P624" s="139"/>
      <c r="Q624" s="147"/>
      <c r="R624" s="139"/>
      <c r="S624" s="139"/>
      <c r="T624" s="139"/>
      <c r="U624" s="139"/>
      <c r="V624" s="139"/>
      <c r="W624" s="139"/>
      <c r="X624" s="146"/>
      <c r="Y624" s="148"/>
      <c r="Z624" s="145"/>
      <c r="AA624" s="139"/>
      <c r="AB624" s="149"/>
      <c r="AC624" s="11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74"/>
      <c r="AR624" s="222"/>
    </row>
    <row r="625" spans="2:44" s="22" customFormat="1" ht="18" customHeight="1" x14ac:dyDescent="0.25">
      <c r="B625" s="145"/>
      <c r="C625" s="139"/>
      <c r="D625" s="146"/>
      <c r="E625" s="139"/>
      <c r="F625" s="139"/>
      <c r="G625" s="139"/>
      <c r="H625" s="139"/>
      <c r="I625" s="139"/>
      <c r="J625" s="139"/>
      <c r="K625" s="139"/>
      <c r="L625" s="243"/>
      <c r="M625" s="243"/>
      <c r="N625" s="139"/>
      <c r="O625" s="139"/>
      <c r="P625" s="139"/>
      <c r="Q625" s="147"/>
      <c r="R625" s="139"/>
      <c r="S625" s="139"/>
      <c r="T625" s="139"/>
      <c r="U625" s="139"/>
      <c r="V625" s="139"/>
      <c r="W625" s="139"/>
      <c r="X625" s="146"/>
      <c r="Y625" s="148"/>
      <c r="Z625" s="145"/>
      <c r="AA625" s="139"/>
      <c r="AB625" s="149"/>
      <c r="AC625" s="11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74"/>
      <c r="AR625" s="222"/>
    </row>
    <row r="626" spans="2:44" s="22" customFormat="1" ht="18" customHeight="1" x14ac:dyDescent="0.25">
      <c r="B626" s="145"/>
      <c r="C626" s="139"/>
      <c r="D626" s="146"/>
      <c r="E626" s="139"/>
      <c r="F626" s="139"/>
      <c r="G626" s="139"/>
      <c r="H626" s="139"/>
      <c r="I626" s="139"/>
      <c r="J626" s="139"/>
      <c r="K626" s="139"/>
      <c r="L626" s="243"/>
      <c r="M626" s="243"/>
      <c r="N626" s="139"/>
      <c r="O626" s="139"/>
      <c r="P626" s="139"/>
      <c r="Q626" s="147"/>
      <c r="R626" s="139"/>
      <c r="S626" s="139"/>
      <c r="T626" s="139"/>
      <c r="U626" s="139"/>
      <c r="V626" s="139"/>
      <c r="W626" s="139"/>
      <c r="X626" s="146"/>
      <c r="Y626" s="148"/>
      <c r="Z626" s="145"/>
      <c r="AA626" s="139"/>
      <c r="AB626" s="149"/>
      <c r="AC626" s="11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74"/>
      <c r="AR626" s="222"/>
    </row>
    <row r="627" spans="2:44" s="22" customFormat="1" ht="18" customHeight="1" x14ac:dyDescent="0.25">
      <c r="B627" s="145"/>
      <c r="C627" s="139"/>
      <c r="D627" s="146"/>
      <c r="E627" s="139"/>
      <c r="F627" s="139"/>
      <c r="G627" s="139"/>
      <c r="H627" s="139"/>
      <c r="I627" s="139"/>
      <c r="J627" s="139"/>
      <c r="K627" s="139"/>
      <c r="L627" s="243"/>
      <c r="M627" s="243"/>
      <c r="N627" s="139"/>
      <c r="O627" s="139"/>
      <c r="P627" s="139"/>
      <c r="Q627" s="147"/>
      <c r="R627" s="139"/>
      <c r="S627" s="139"/>
      <c r="T627" s="139"/>
      <c r="U627" s="139"/>
      <c r="V627" s="139"/>
      <c r="W627" s="139"/>
      <c r="X627" s="146"/>
      <c r="Y627" s="148"/>
      <c r="Z627" s="145"/>
      <c r="AA627" s="139"/>
      <c r="AB627" s="149"/>
      <c r="AC627" s="11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74"/>
      <c r="AR627" s="222"/>
    </row>
    <row r="628" spans="2:44" s="22" customFormat="1" ht="18" customHeight="1" x14ac:dyDescent="0.25">
      <c r="B628" s="145"/>
      <c r="C628" s="139"/>
      <c r="D628" s="146"/>
      <c r="E628" s="139"/>
      <c r="F628" s="139"/>
      <c r="G628" s="139"/>
      <c r="H628" s="139"/>
      <c r="I628" s="139"/>
      <c r="J628" s="139"/>
      <c r="K628" s="139"/>
      <c r="L628" s="243"/>
      <c r="M628" s="243"/>
      <c r="N628" s="139"/>
      <c r="O628" s="139"/>
      <c r="P628" s="139"/>
      <c r="Q628" s="147"/>
      <c r="R628" s="139"/>
      <c r="S628" s="139"/>
      <c r="T628" s="139"/>
      <c r="U628" s="139"/>
      <c r="V628" s="139"/>
      <c r="W628" s="139"/>
      <c r="X628" s="146"/>
      <c r="Y628" s="148"/>
      <c r="Z628" s="145"/>
      <c r="AA628" s="139"/>
      <c r="AB628" s="149"/>
      <c r="AC628" s="11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74"/>
      <c r="AR628" s="222"/>
    </row>
    <row r="629" spans="2:44" s="22" customFormat="1" ht="18" customHeight="1" x14ac:dyDescent="0.25">
      <c r="B629" s="145"/>
      <c r="C629" s="139"/>
      <c r="D629" s="146"/>
      <c r="E629" s="139"/>
      <c r="F629" s="139"/>
      <c r="G629" s="139"/>
      <c r="H629" s="139"/>
      <c r="I629" s="139"/>
      <c r="J629" s="139"/>
      <c r="K629" s="139"/>
      <c r="L629" s="243"/>
      <c r="M629" s="243"/>
      <c r="N629" s="139"/>
      <c r="O629" s="139"/>
      <c r="P629" s="139"/>
      <c r="Q629" s="147"/>
      <c r="R629" s="139"/>
      <c r="S629" s="139"/>
      <c r="T629" s="139"/>
      <c r="U629" s="139"/>
      <c r="V629" s="139"/>
      <c r="W629" s="139"/>
      <c r="X629" s="146"/>
      <c r="Y629" s="148"/>
      <c r="Z629" s="145"/>
      <c r="AA629" s="139"/>
      <c r="AB629" s="149"/>
      <c r="AC629" s="11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74"/>
      <c r="AR629" s="222"/>
    </row>
    <row r="630" spans="2:44" s="141" customFormat="1" ht="18" customHeight="1" x14ac:dyDescent="0.25">
      <c r="B630" s="145"/>
      <c r="C630" s="139"/>
      <c r="D630" s="146"/>
      <c r="E630" s="139"/>
      <c r="F630" s="139"/>
      <c r="G630" s="139"/>
      <c r="H630" s="139"/>
      <c r="I630" s="139"/>
      <c r="J630" s="139"/>
      <c r="K630" s="139"/>
      <c r="L630" s="243"/>
      <c r="M630" s="243"/>
      <c r="N630" s="139"/>
      <c r="O630" s="139"/>
      <c r="P630" s="139"/>
      <c r="Q630" s="147"/>
      <c r="R630" s="139"/>
      <c r="S630" s="139"/>
      <c r="T630" s="139"/>
      <c r="U630" s="139"/>
      <c r="V630" s="139"/>
      <c r="W630" s="139"/>
      <c r="X630" s="146"/>
      <c r="Y630" s="148"/>
      <c r="Z630" s="145"/>
      <c r="AA630" s="139"/>
      <c r="AB630" s="149"/>
      <c r="AC630" s="11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74"/>
      <c r="AR630" s="222"/>
    </row>
    <row r="631" spans="2:44" s="141" customFormat="1" ht="18" customHeight="1" x14ac:dyDescent="0.25">
      <c r="B631" s="145"/>
      <c r="C631" s="139"/>
      <c r="D631" s="146"/>
      <c r="E631" s="139"/>
      <c r="F631" s="139"/>
      <c r="G631" s="139"/>
      <c r="H631" s="139"/>
      <c r="I631" s="139"/>
      <c r="J631" s="139"/>
      <c r="K631" s="139"/>
      <c r="L631" s="243"/>
      <c r="M631" s="243"/>
      <c r="N631" s="139"/>
      <c r="O631" s="139"/>
      <c r="P631" s="139"/>
      <c r="Q631" s="147"/>
      <c r="R631" s="139"/>
      <c r="S631" s="139"/>
      <c r="T631" s="139"/>
      <c r="U631" s="139"/>
      <c r="V631" s="139"/>
      <c r="W631" s="139"/>
      <c r="X631" s="146"/>
      <c r="Y631" s="148"/>
      <c r="Z631" s="145"/>
      <c r="AA631" s="139"/>
      <c r="AB631" s="149"/>
      <c r="AC631" s="11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74"/>
      <c r="AR631" s="222"/>
    </row>
    <row r="632" spans="2:44" s="141" customFormat="1" ht="18" customHeight="1" x14ac:dyDescent="0.25">
      <c r="B632" s="145"/>
      <c r="C632" s="139"/>
      <c r="D632" s="146"/>
      <c r="E632" s="139"/>
      <c r="F632" s="139"/>
      <c r="G632" s="139"/>
      <c r="H632" s="139"/>
      <c r="I632" s="139"/>
      <c r="J632" s="139"/>
      <c r="K632" s="139"/>
      <c r="L632" s="243"/>
      <c r="M632" s="243"/>
      <c r="N632" s="139"/>
      <c r="O632" s="139"/>
      <c r="P632" s="139"/>
      <c r="Q632" s="147"/>
      <c r="R632" s="139"/>
      <c r="S632" s="139"/>
      <c r="T632" s="139"/>
      <c r="U632" s="139"/>
      <c r="V632" s="139"/>
      <c r="W632" s="139"/>
      <c r="X632" s="146"/>
      <c r="Y632" s="148"/>
      <c r="Z632" s="145"/>
      <c r="AA632" s="139"/>
      <c r="AB632" s="149"/>
      <c r="AC632" s="11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74"/>
      <c r="AR632" s="222"/>
    </row>
    <row r="633" spans="2:44" s="22" customFormat="1" ht="18" customHeight="1" x14ac:dyDescent="0.25">
      <c r="B633" s="145"/>
      <c r="C633" s="139"/>
      <c r="D633" s="146"/>
      <c r="E633" s="139"/>
      <c r="F633" s="139"/>
      <c r="G633" s="139"/>
      <c r="H633" s="139"/>
      <c r="I633" s="139"/>
      <c r="J633" s="139"/>
      <c r="K633" s="139"/>
      <c r="L633" s="243"/>
      <c r="M633" s="243"/>
      <c r="N633" s="139"/>
      <c r="O633" s="139"/>
      <c r="P633" s="139"/>
      <c r="Q633" s="147"/>
      <c r="R633" s="139"/>
      <c r="S633" s="139"/>
      <c r="T633" s="139"/>
      <c r="U633" s="139"/>
      <c r="V633" s="139"/>
      <c r="W633" s="139"/>
      <c r="X633" s="146"/>
      <c r="Y633" s="148"/>
      <c r="Z633" s="145"/>
      <c r="AA633" s="139"/>
      <c r="AB633" s="149"/>
      <c r="AC633" s="11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74"/>
      <c r="AR633" s="222"/>
    </row>
    <row r="634" spans="2:44" s="22" customFormat="1" ht="18" customHeight="1" x14ac:dyDescent="0.25">
      <c r="B634" s="145"/>
      <c r="C634" s="139"/>
      <c r="D634" s="146"/>
      <c r="E634" s="139"/>
      <c r="F634" s="139"/>
      <c r="G634" s="139"/>
      <c r="H634" s="139"/>
      <c r="I634" s="139"/>
      <c r="J634" s="139"/>
      <c r="K634" s="139"/>
      <c r="L634" s="243"/>
      <c r="M634" s="243"/>
      <c r="N634" s="139"/>
      <c r="O634" s="139"/>
      <c r="P634" s="139"/>
      <c r="Q634" s="147"/>
      <c r="R634" s="139"/>
      <c r="S634" s="139"/>
      <c r="T634" s="139"/>
      <c r="U634" s="139"/>
      <c r="V634" s="139"/>
      <c r="W634" s="139"/>
      <c r="X634" s="146"/>
      <c r="Y634" s="148"/>
      <c r="Z634" s="145"/>
      <c r="AA634" s="139"/>
      <c r="AB634" s="149"/>
      <c r="AC634" s="11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74"/>
      <c r="AR634" s="222"/>
    </row>
    <row r="635" spans="2:44" s="22" customFormat="1" ht="18" customHeight="1" x14ac:dyDescent="0.25">
      <c r="B635" s="145"/>
      <c r="C635" s="139"/>
      <c r="D635" s="146"/>
      <c r="E635" s="139"/>
      <c r="F635" s="139"/>
      <c r="G635" s="139"/>
      <c r="H635" s="139"/>
      <c r="I635" s="139"/>
      <c r="J635" s="139"/>
      <c r="K635" s="139"/>
      <c r="L635" s="243"/>
      <c r="M635" s="243"/>
      <c r="N635" s="139"/>
      <c r="O635" s="139"/>
      <c r="P635" s="139"/>
      <c r="Q635" s="147"/>
      <c r="R635" s="139"/>
      <c r="S635" s="139"/>
      <c r="T635" s="139"/>
      <c r="U635" s="139"/>
      <c r="V635" s="139"/>
      <c r="W635" s="139"/>
      <c r="X635" s="146"/>
      <c r="Y635" s="148"/>
      <c r="Z635" s="145"/>
      <c r="AA635" s="139"/>
      <c r="AB635" s="149"/>
      <c r="AC635" s="11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74"/>
      <c r="AR635" s="222"/>
    </row>
    <row r="636" spans="2:44" s="22" customFormat="1" ht="18" customHeight="1" x14ac:dyDescent="0.25">
      <c r="B636" s="145"/>
      <c r="C636" s="139"/>
      <c r="D636" s="146"/>
      <c r="E636" s="139"/>
      <c r="F636" s="139"/>
      <c r="G636" s="139"/>
      <c r="H636" s="139"/>
      <c r="I636" s="139"/>
      <c r="J636" s="139"/>
      <c r="K636" s="139"/>
      <c r="L636" s="243"/>
      <c r="M636" s="243"/>
      <c r="N636" s="139"/>
      <c r="O636" s="139"/>
      <c r="P636" s="139"/>
      <c r="Q636" s="147"/>
      <c r="R636" s="139"/>
      <c r="S636" s="139"/>
      <c r="T636" s="139"/>
      <c r="U636" s="139"/>
      <c r="V636" s="139"/>
      <c r="W636" s="139"/>
      <c r="X636" s="146"/>
      <c r="Y636" s="148"/>
      <c r="Z636" s="145"/>
      <c r="AA636" s="139"/>
      <c r="AB636" s="149"/>
      <c r="AC636" s="11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74"/>
      <c r="AR636" s="222"/>
    </row>
    <row r="637" spans="2:44" s="22" customFormat="1" ht="18" customHeight="1" x14ac:dyDescent="0.25">
      <c r="B637" s="145"/>
      <c r="C637" s="139"/>
      <c r="D637" s="146"/>
      <c r="E637" s="139"/>
      <c r="F637" s="139"/>
      <c r="G637" s="139"/>
      <c r="H637" s="139"/>
      <c r="I637" s="139"/>
      <c r="J637" s="139"/>
      <c r="K637" s="139"/>
      <c r="L637" s="243"/>
      <c r="M637" s="243"/>
      <c r="N637" s="139"/>
      <c r="O637" s="139"/>
      <c r="P637" s="139"/>
      <c r="Q637" s="147"/>
      <c r="R637" s="139"/>
      <c r="S637" s="139"/>
      <c r="T637" s="139"/>
      <c r="U637" s="139"/>
      <c r="V637" s="139"/>
      <c r="W637" s="139"/>
      <c r="X637" s="146"/>
      <c r="Y637" s="148"/>
      <c r="Z637" s="145"/>
      <c r="AA637" s="139"/>
      <c r="AB637" s="149"/>
      <c r="AC637" s="11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74"/>
      <c r="AR637" s="222"/>
    </row>
    <row r="638" spans="2:44" s="22" customFormat="1" ht="18" customHeight="1" x14ac:dyDescent="0.25">
      <c r="B638" s="145"/>
      <c r="C638" s="139"/>
      <c r="D638" s="146"/>
      <c r="E638" s="139"/>
      <c r="F638" s="139"/>
      <c r="G638" s="139"/>
      <c r="H638" s="139"/>
      <c r="I638" s="139"/>
      <c r="J638" s="139"/>
      <c r="K638" s="139"/>
      <c r="L638" s="243"/>
      <c r="M638" s="243"/>
      <c r="N638" s="139"/>
      <c r="O638" s="139"/>
      <c r="P638" s="139"/>
      <c r="Q638" s="147"/>
      <c r="R638" s="139"/>
      <c r="S638" s="139"/>
      <c r="T638" s="139"/>
      <c r="U638" s="139"/>
      <c r="V638" s="139"/>
      <c r="W638" s="139"/>
      <c r="X638" s="146"/>
      <c r="Y638" s="148"/>
      <c r="Z638" s="145"/>
      <c r="AA638" s="139"/>
      <c r="AB638" s="149"/>
      <c r="AC638" s="11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74"/>
      <c r="AR638" s="222"/>
    </row>
    <row r="639" spans="2:44" s="22" customFormat="1" ht="18" customHeight="1" x14ac:dyDescent="0.25">
      <c r="B639" s="145"/>
      <c r="C639" s="139"/>
      <c r="D639" s="146"/>
      <c r="E639" s="139"/>
      <c r="F639" s="139"/>
      <c r="G639" s="139"/>
      <c r="H639" s="139"/>
      <c r="I639" s="139"/>
      <c r="J639" s="139"/>
      <c r="K639" s="139"/>
      <c r="L639" s="243"/>
      <c r="M639" s="243"/>
      <c r="N639" s="139"/>
      <c r="O639" s="139"/>
      <c r="P639" s="139"/>
      <c r="Q639" s="147"/>
      <c r="R639" s="139"/>
      <c r="S639" s="139"/>
      <c r="T639" s="139"/>
      <c r="U639" s="139"/>
      <c r="V639" s="139"/>
      <c r="W639" s="139"/>
      <c r="X639" s="146"/>
      <c r="Y639" s="148"/>
      <c r="Z639" s="145"/>
      <c r="AA639" s="139"/>
      <c r="AB639" s="149"/>
      <c r="AC639" s="11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74"/>
      <c r="AR639" s="222"/>
    </row>
    <row r="640" spans="2:44" s="22" customFormat="1" ht="18" customHeight="1" x14ac:dyDescent="0.25">
      <c r="B640" s="145"/>
      <c r="C640" s="139"/>
      <c r="D640" s="146"/>
      <c r="E640" s="139"/>
      <c r="F640" s="139"/>
      <c r="G640" s="139"/>
      <c r="H640" s="139"/>
      <c r="I640" s="139"/>
      <c r="J640" s="139"/>
      <c r="K640" s="139"/>
      <c r="L640" s="243"/>
      <c r="M640" s="243"/>
      <c r="N640" s="139"/>
      <c r="O640" s="139"/>
      <c r="P640" s="139"/>
      <c r="Q640" s="147"/>
      <c r="R640" s="139"/>
      <c r="S640" s="139"/>
      <c r="T640" s="139"/>
      <c r="U640" s="139"/>
      <c r="V640" s="139"/>
      <c r="W640" s="139"/>
      <c r="X640" s="146"/>
      <c r="Y640" s="148"/>
      <c r="Z640" s="145"/>
      <c r="AA640" s="139"/>
      <c r="AB640" s="149"/>
      <c r="AC640" s="11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74"/>
      <c r="AR640" s="222"/>
    </row>
    <row r="641" spans="2:44" s="22" customFormat="1" ht="18" customHeight="1" x14ac:dyDescent="0.25">
      <c r="B641" s="145"/>
      <c r="C641" s="139"/>
      <c r="D641" s="146"/>
      <c r="E641" s="139"/>
      <c r="F641" s="139"/>
      <c r="G641" s="139"/>
      <c r="H641" s="139"/>
      <c r="I641" s="139"/>
      <c r="J641" s="139"/>
      <c r="K641" s="139"/>
      <c r="L641" s="243"/>
      <c r="M641" s="243"/>
      <c r="N641" s="139"/>
      <c r="O641" s="139"/>
      <c r="P641" s="139"/>
      <c r="Q641" s="147"/>
      <c r="R641" s="139"/>
      <c r="S641" s="139"/>
      <c r="T641" s="139"/>
      <c r="U641" s="139"/>
      <c r="V641" s="139"/>
      <c r="W641" s="139"/>
      <c r="X641" s="146"/>
      <c r="Y641" s="148"/>
      <c r="Z641" s="145"/>
      <c r="AA641" s="139"/>
      <c r="AB641" s="149"/>
      <c r="AC641" s="11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74"/>
      <c r="AR641" s="222"/>
    </row>
    <row r="642" spans="2:44" s="22" customFormat="1" ht="18" customHeight="1" x14ac:dyDescent="0.25">
      <c r="B642" s="145"/>
      <c r="C642" s="139"/>
      <c r="D642" s="146"/>
      <c r="E642" s="139"/>
      <c r="F642" s="139"/>
      <c r="G642" s="139"/>
      <c r="H642" s="139"/>
      <c r="I642" s="139"/>
      <c r="J642" s="139"/>
      <c r="K642" s="139"/>
      <c r="L642" s="243"/>
      <c r="M642" s="243"/>
      <c r="N642" s="139"/>
      <c r="O642" s="139"/>
      <c r="P642" s="139"/>
      <c r="Q642" s="147"/>
      <c r="R642" s="139"/>
      <c r="S642" s="139"/>
      <c r="T642" s="139"/>
      <c r="U642" s="139"/>
      <c r="V642" s="139"/>
      <c r="W642" s="139"/>
      <c r="X642" s="146"/>
      <c r="Y642" s="148"/>
      <c r="Z642" s="145"/>
      <c r="AA642" s="139"/>
      <c r="AB642" s="149"/>
      <c r="AC642" s="11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74"/>
      <c r="AR642" s="222"/>
    </row>
    <row r="643" spans="2:44" s="22" customFormat="1" ht="18" customHeight="1" x14ac:dyDescent="0.25">
      <c r="B643" s="145"/>
      <c r="C643" s="139"/>
      <c r="D643" s="146"/>
      <c r="E643" s="139"/>
      <c r="F643" s="139"/>
      <c r="G643" s="139"/>
      <c r="H643" s="139"/>
      <c r="I643" s="139"/>
      <c r="J643" s="139"/>
      <c r="K643" s="139"/>
      <c r="L643" s="243"/>
      <c r="M643" s="243"/>
      <c r="N643" s="139"/>
      <c r="O643" s="139"/>
      <c r="P643" s="139"/>
      <c r="Q643" s="147"/>
      <c r="R643" s="139"/>
      <c r="S643" s="139"/>
      <c r="T643" s="139"/>
      <c r="U643" s="139"/>
      <c r="V643" s="139"/>
      <c r="W643" s="139"/>
      <c r="X643" s="146"/>
      <c r="Y643" s="148"/>
      <c r="Z643" s="145"/>
      <c r="AA643" s="139"/>
      <c r="AB643" s="149"/>
      <c r="AC643" s="11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74"/>
      <c r="AR643" s="222"/>
    </row>
    <row r="644" spans="2:44" s="141" customFormat="1" ht="18" customHeight="1" x14ac:dyDescent="0.25">
      <c r="B644" s="145"/>
      <c r="C644" s="139"/>
      <c r="D644" s="146"/>
      <c r="E644" s="139"/>
      <c r="F644" s="139"/>
      <c r="G644" s="139"/>
      <c r="H644" s="139"/>
      <c r="I644" s="139"/>
      <c r="J644" s="139"/>
      <c r="K644" s="139"/>
      <c r="L644" s="243"/>
      <c r="M644" s="243"/>
      <c r="N644" s="139"/>
      <c r="O644" s="139"/>
      <c r="P644" s="139"/>
      <c r="Q644" s="147"/>
      <c r="R644" s="139"/>
      <c r="S644" s="139"/>
      <c r="T644" s="139"/>
      <c r="U644" s="139"/>
      <c r="V644" s="139"/>
      <c r="W644" s="139"/>
      <c r="X644" s="146"/>
      <c r="Y644" s="148"/>
      <c r="Z644" s="145"/>
      <c r="AA644" s="139"/>
      <c r="AB644" s="149"/>
      <c r="AC644" s="11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74"/>
      <c r="AR644" s="222"/>
    </row>
    <row r="645" spans="2:44" s="141" customFormat="1" ht="18" customHeight="1" x14ac:dyDescent="0.25">
      <c r="B645" s="145"/>
      <c r="C645" s="139"/>
      <c r="D645" s="146"/>
      <c r="E645" s="139"/>
      <c r="F645" s="139"/>
      <c r="G645" s="139"/>
      <c r="H645" s="139"/>
      <c r="I645" s="139"/>
      <c r="J645" s="139"/>
      <c r="K645" s="139"/>
      <c r="L645" s="243"/>
      <c r="M645" s="243"/>
      <c r="N645" s="139"/>
      <c r="O645" s="139"/>
      <c r="P645" s="139"/>
      <c r="Q645" s="147"/>
      <c r="R645" s="139"/>
      <c r="S645" s="139"/>
      <c r="T645" s="139"/>
      <c r="U645" s="139"/>
      <c r="V645" s="139"/>
      <c r="W645" s="139"/>
      <c r="X645" s="146"/>
      <c r="Y645" s="148"/>
      <c r="Z645" s="145"/>
      <c r="AA645" s="139"/>
      <c r="AB645" s="149"/>
      <c r="AC645" s="11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74"/>
      <c r="AR645" s="222"/>
    </row>
    <row r="646" spans="2:44" s="141" customFormat="1" ht="18" customHeight="1" x14ac:dyDescent="0.25">
      <c r="B646" s="145"/>
      <c r="C646" s="139"/>
      <c r="D646" s="146"/>
      <c r="E646" s="139"/>
      <c r="F646" s="139"/>
      <c r="G646" s="139"/>
      <c r="H646" s="139"/>
      <c r="I646" s="139"/>
      <c r="J646" s="139"/>
      <c r="K646" s="139"/>
      <c r="L646" s="243"/>
      <c r="M646" s="243"/>
      <c r="N646" s="139"/>
      <c r="O646" s="139"/>
      <c r="P646" s="139"/>
      <c r="Q646" s="147"/>
      <c r="R646" s="139"/>
      <c r="S646" s="139"/>
      <c r="T646" s="139"/>
      <c r="U646" s="139"/>
      <c r="V646" s="139"/>
      <c r="W646" s="139"/>
      <c r="X646" s="146"/>
      <c r="Y646" s="148"/>
      <c r="Z646" s="145"/>
      <c r="AA646" s="139"/>
      <c r="AB646" s="149"/>
      <c r="AC646" s="11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74"/>
      <c r="AR646" s="222"/>
    </row>
    <row r="647" spans="2:44" s="22" customFormat="1" ht="18" customHeight="1" x14ac:dyDescent="0.25">
      <c r="B647" s="145"/>
      <c r="C647" s="139"/>
      <c r="D647" s="146"/>
      <c r="E647" s="139"/>
      <c r="F647" s="139"/>
      <c r="G647" s="139"/>
      <c r="H647" s="139"/>
      <c r="I647" s="139"/>
      <c r="J647" s="139"/>
      <c r="K647" s="139"/>
      <c r="L647" s="243"/>
      <c r="M647" s="243"/>
      <c r="N647" s="139"/>
      <c r="O647" s="139"/>
      <c r="P647" s="139"/>
      <c r="Q647" s="147"/>
      <c r="R647" s="139"/>
      <c r="S647" s="139"/>
      <c r="T647" s="139"/>
      <c r="U647" s="139"/>
      <c r="V647" s="139"/>
      <c r="W647" s="139"/>
      <c r="X647" s="146"/>
      <c r="Y647" s="148"/>
      <c r="Z647" s="145"/>
      <c r="AA647" s="139"/>
      <c r="AB647" s="149"/>
      <c r="AC647" s="11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74"/>
      <c r="AR647" s="222"/>
    </row>
    <row r="648" spans="2:44" s="22" customFormat="1" ht="18" customHeight="1" x14ac:dyDescent="0.25">
      <c r="B648" s="145"/>
      <c r="C648" s="139"/>
      <c r="D648" s="146"/>
      <c r="E648" s="139"/>
      <c r="F648" s="139"/>
      <c r="G648" s="139"/>
      <c r="H648" s="139"/>
      <c r="I648" s="139"/>
      <c r="J648" s="139"/>
      <c r="K648" s="139"/>
      <c r="L648" s="243"/>
      <c r="M648" s="243"/>
      <c r="N648" s="139"/>
      <c r="O648" s="139"/>
      <c r="P648" s="139"/>
      <c r="Q648" s="147"/>
      <c r="R648" s="139"/>
      <c r="S648" s="139"/>
      <c r="T648" s="139"/>
      <c r="U648" s="139"/>
      <c r="V648" s="139"/>
      <c r="W648" s="139"/>
      <c r="X648" s="146"/>
      <c r="Y648" s="148"/>
      <c r="Z648" s="145"/>
      <c r="AA648" s="139"/>
      <c r="AB648" s="149"/>
      <c r="AC648" s="11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74"/>
      <c r="AR648" s="222"/>
    </row>
    <row r="649" spans="2:44" s="22" customFormat="1" ht="18" customHeight="1" x14ac:dyDescent="0.25">
      <c r="B649" s="145"/>
      <c r="C649" s="139"/>
      <c r="D649" s="146"/>
      <c r="E649" s="139"/>
      <c r="F649" s="139"/>
      <c r="G649" s="139"/>
      <c r="H649" s="139"/>
      <c r="I649" s="139"/>
      <c r="J649" s="139"/>
      <c r="K649" s="139"/>
      <c r="L649" s="243"/>
      <c r="M649" s="243"/>
      <c r="N649" s="139"/>
      <c r="O649" s="139"/>
      <c r="P649" s="139"/>
      <c r="Q649" s="147"/>
      <c r="R649" s="139"/>
      <c r="S649" s="139"/>
      <c r="T649" s="139"/>
      <c r="U649" s="139"/>
      <c r="V649" s="139"/>
      <c r="W649" s="139"/>
      <c r="X649" s="146"/>
      <c r="Y649" s="148"/>
      <c r="Z649" s="145"/>
      <c r="AA649" s="139"/>
      <c r="AB649" s="149"/>
      <c r="AC649" s="11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74"/>
      <c r="AR649" s="222"/>
    </row>
    <row r="650" spans="2:44" s="22" customFormat="1" ht="18" customHeight="1" x14ac:dyDescent="0.25">
      <c r="B650" s="145"/>
      <c r="C650" s="139"/>
      <c r="D650" s="146"/>
      <c r="E650" s="139"/>
      <c r="F650" s="139"/>
      <c r="G650" s="139"/>
      <c r="H650" s="139"/>
      <c r="I650" s="139"/>
      <c r="J650" s="139"/>
      <c r="K650" s="139"/>
      <c r="L650" s="243"/>
      <c r="M650" s="243"/>
      <c r="N650" s="139"/>
      <c r="O650" s="139"/>
      <c r="P650" s="139"/>
      <c r="Q650" s="147"/>
      <c r="R650" s="139"/>
      <c r="S650" s="139"/>
      <c r="T650" s="139"/>
      <c r="U650" s="139"/>
      <c r="V650" s="139"/>
      <c r="W650" s="139"/>
      <c r="X650" s="146"/>
      <c r="Y650" s="148"/>
      <c r="Z650" s="145"/>
      <c r="AA650" s="139"/>
      <c r="AB650" s="149"/>
      <c r="AC650" s="11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74"/>
      <c r="AR650" s="222"/>
    </row>
    <row r="651" spans="2:44" s="22" customFormat="1" ht="18" customHeight="1" x14ac:dyDescent="0.25">
      <c r="B651" s="145"/>
      <c r="C651" s="139"/>
      <c r="D651" s="146"/>
      <c r="E651" s="139"/>
      <c r="F651" s="139"/>
      <c r="G651" s="139"/>
      <c r="H651" s="139"/>
      <c r="I651" s="139"/>
      <c r="J651" s="139"/>
      <c r="K651" s="139"/>
      <c r="L651" s="243"/>
      <c r="M651" s="243"/>
      <c r="N651" s="139"/>
      <c r="O651" s="139"/>
      <c r="P651" s="139"/>
      <c r="Q651" s="147"/>
      <c r="R651" s="139"/>
      <c r="S651" s="139"/>
      <c r="T651" s="139"/>
      <c r="U651" s="139"/>
      <c r="V651" s="139"/>
      <c r="W651" s="139"/>
      <c r="X651" s="146"/>
      <c r="Y651" s="148"/>
      <c r="Z651" s="145"/>
      <c r="AA651" s="139"/>
      <c r="AB651" s="149"/>
      <c r="AC651" s="11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74"/>
      <c r="AR651" s="222"/>
    </row>
    <row r="652" spans="2:44" s="140" customFormat="1" ht="18" customHeight="1" x14ac:dyDescent="0.25">
      <c r="B652" s="145"/>
      <c r="C652" s="139"/>
      <c r="D652" s="146"/>
      <c r="E652" s="139"/>
      <c r="F652" s="139"/>
      <c r="G652" s="139"/>
      <c r="H652" s="139"/>
      <c r="I652" s="139"/>
      <c r="J652" s="139"/>
      <c r="K652" s="139"/>
      <c r="L652" s="243"/>
      <c r="M652" s="243"/>
      <c r="N652" s="139"/>
      <c r="O652" s="139"/>
      <c r="P652" s="139"/>
      <c r="Q652" s="147"/>
      <c r="R652" s="139"/>
      <c r="S652" s="139"/>
      <c r="T652" s="139"/>
      <c r="U652" s="139"/>
      <c r="V652" s="139"/>
      <c r="W652" s="139"/>
      <c r="X652" s="146"/>
      <c r="Y652" s="148"/>
      <c r="Z652" s="145"/>
      <c r="AA652" s="139"/>
      <c r="AB652" s="149"/>
      <c r="AC652" s="11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74"/>
      <c r="AR652" s="222"/>
    </row>
    <row r="653" spans="2:44" s="22" customFormat="1" ht="18" customHeight="1" x14ac:dyDescent="0.25">
      <c r="B653" s="145"/>
      <c r="C653" s="139"/>
      <c r="D653" s="146"/>
      <c r="E653" s="139"/>
      <c r="F653" s="139"/>
      <c r="G653" s="139"/>
      <c r="H653" s="139"/>
      <c r="I653" s="139"/>
      <c r="J653" s="139"/>
      <c r="K653" s="139"/>
      <c r="L653" s="243"/>
      <c r="M653" s="243"/>
      <c r="N653" s="139"/>
      <c r="O653" s="139"/>
      <c r="P653" s="139"/>
      <c r="Q653" s="147"/>
      <c r="R653" s="139"/>
      <c r="S653" s="139"/>
      <c r="T653" s="139"/>
      <c r="U653" s="139"/>
      <c r="V653" s="139"/>
      <c r="W653" s="139"/>
      <c r="X653" s="146"/>
      <c r="Y653" s="148"/>
      <c r="Z653" s="145"/>
      <c r="AA653" s="139"/>
      <c r="AB653" s="149"/>
      <c r="AC653" s="11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74"/>
      <c r="AR653" s="222"/>
    </row>
    <row r="654" spans="2:44" s="22" customFormat="1" ht="18" customHeight="1" x14ac:dyDescent="0.25">
      <c r="B654" s="145"/>
      <c r="C654" s="139"/>
      <c r="D654" s="146"/>
      <c r="E654" s="139"/>
      <c r="F654" s="139"/>
      <c r="G654" s="139"/>
      <c r="H654" s="139"/>
      <c r="I654" s="139"/>
      <c r="J654" s="139"/>
      <c r="K654" s="139"/>
      <c r="L654" s="243"/>
      <c r="M654" s="243"/>
      <c r="N654" s="139"/>
      <c r="O654" s="139"/>
      <c r="P654" s="139"/>
      <c r="Q654" s="147"/>
      <c r="R654" s="139"/>
      <c r="S654" s="139"/>
      <c r="T654" s="139"/>
      <c r="U654" s="139"/>
      <c r="V654" s="139"/>
      <c r="W654" s="139"/>
      <c r="X654" s="146"/>
      <c r="Y654" s="148"/>
      <c r="Z654" s="145"/>
      <c r="AA654" s="139"/>
      <c r="AB654" s="149"/>
      <c r="AC654" s="11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74"/>
      <c r="AR654" s="222"/>
    </row>
    <row r="655" spans="2:44" s="22" customFormat="1" ht="18" customHeight="1" x14ac:dyDescent="0.25">
      <c r="B655" s="145"/>
      <c r="C655" s="139"/>
      <c r="D655" s="146"/>
      <c r="E655" s="139"/>
      <c r="F655" s="139"/>
      <c r="G655" s="139"/>
      <c r="H655" s="139"/>
      <c r="I655" s="139"/>
      <c r="J655" s="139"/>
      <c r="K655" s="139"/>
      <c r="L655" s="243"/>
      <c r="M655" s="243"/>
      <c r="N655" s="139"/>
      <c r="O655" s="139"/>
      <c r="P655" s="139"/>
      <c r="Q655" s="147"/>
      <c r="R655" s="139"/>
      <c r="S655" s="139"/>
      <c r="T655" s="139"/>
      <c r="U655" s="139"/>
      <c r="V655" s="139"/>
      <c r="W655" s="139"/>
      <c r="X655" s="146"/>
      <c r="Y655" s="148"/>
      <c r="Z655" s="145"/>
      <c r="AA655" s="139"/>
      <c r="AB655" s="149"/>
      <c r="AC655" s="11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74"/>
      <c r="AR655" s="222"/>
    </row>
    <row r="656" spans="2:44" s="22" customFormat="1" ht="18" customHeight="1" x14ac:dyDescent="0.25">
      <c r="B656" s="145"/>
      <c r="C656" s="139"/>
      <c r="D656" s="146"/>
      <c r="E656" s="139"/>
      <c r="F656" s="139"/>
      <c r="G656" s="139"/>
      <c r="H656" s="139"/>
      <c r="I656" s="139"/>
      <c r="J656" s="139"/>
      <c r="K656" s="139"/>
      <c r="L656" s="243"/>
      <c r="M656" s="243"/>
      <c r="N656" s="139"/>
      <c r="O656" s="139"/>
      <c r="P656" s="139"/>
      <c r="Q656" s="147"/>
      <c r="R656" s="139"/>
      <c r="S656" s="139"/>
      <c r="T656" s="139"/>
      <c r="U656" s="139"/>
      <c r="V656" s="139"/>
      <c r="W656" s="139"/>
      <c r="X656" s="146"/>
      <c r="Y656" s="148"/>
      <c r="Z656" s="145"/>
      <c r="AA656" s="139"/>
      <c r="AB656" s="149"/>
      <c r="AC656" s="11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74"/>
      <c r="AR656" s="222"/>
    </row>
    <row r="657" spans="2:44" s="141" customFormat="1" ht="18" customHeight="1" x14ac:dyDescent="0.25">
      <c r="B657" s="145"/>
      <c r="C657" s="139"/>
      <c r="D657" s="146"/>
      <c r="E657" s="139"/>
      <c r="F657" s="139"/>
      <c r="G657" s="139"/>
      <c r="H657" s="139"/>
      <c r="I657" s="139"/>
      <c r="J657" s="139"/>
      <c r="K657" s="139"/>
      <c r="L657" s="243"/>
      <c r="M657" s="243"/>
      <c r="N657" s="139"/>
      <c r="O657" s="139"/>
      <c r="P657" s="139"/>
      <c r="Q657" s="147"/>
      <c r="R657" s="139"/>
      <c r="S657" s="139"/>
      <c r="T657" s="139"/>
      <c r="U657" s="139"/>
      <c r="V657" s="139"/>
      <c r="W657" s="139"/>
      <c r="X657" s="146"/>
      <c r="Y657" s="148"/>
      <c r="Z657" s="145"/>
      <c r="AA657" s="139"/>
      <c r="AB657" s="149"/>
      <c r="AC657" s="11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74"/>
      <c r="AR657" s="222"/>
    </row>
    <row r="658" spans="2:44" s="22" customFormat="1" ht="18" customHeight="1" x14ac:dyDescent="0.25">
      <c r="B658" s="145"/>
      <c r="C658" s="139"/>
      <c r="D658" s="146"/>
      <c r="E658" s="139"/>
      <c r="F658" s="139"/>
      <c r="G658" s="139"/>
      <c r="H658" s="139"/>
      <c r="I658" s="139"/>
      <c r="J658" s="139"/>
      <c r="K658" s="139"/>
      <c r="L658" s="243"/>
      <c r="M658" s="243"/>
      <c r="N658" s="139"/>
      <c r="O658" s="139"/>
      <c r="P658" s="139"/>
      <c r="Q658" s="147"/>
      <c r="R658" s="139"/>
      <c r="S658" s="139"/>
      <c r="T658" s="139"/>
      <c r="U658" s="139"/>
      <c r="V658" s="139"/>
      <c r="W658" s="139"/>
      <c r="X658" s="146"/>
      <c r="Y658" s="148"/>
      <c r="Z658" s="145"/>
      <c r="AA658" s="139"/>
      <c r="AB658" s="149"/>
      <c r="AC658" s="11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74"/>
      <c r="AR658" s="222"/>
    </row>
    <row r="659" spans="2:44" s="22" customFormat="1" ht="18" customHeight="1" x14ac:dyDescent="0.25">
      <c r="B659" s="145"/>
      <c r="C659" s="139"/>
      <c r="D659" s="146"/>
      <c r="E659" s="139"/>
      <c r="F659" s="139"/>
      <c r="G659" s="139"/>
      <c r="H659" s="139"/>
      <c r="I659" s="139"/>
      <c r="J659" s="139"/>
      <c r="K659" s="139"/>
      <c r="L659" s="243"/>
      <c r="M659" s="243"/>
      <c r="N659" s="139"/>
      <c r="O659" s="139"/>
      <c r="P659" s="139"/>
      <c r="Q659" s="147"/>
      <c r="R659" s="139"/>
      <c r="S659" s="139"/>
      <c r="T659" s="139"/>
      <c r="U659" s="139"/>
      <c r="V659" s="139"/>
      <c r="W659" s="139"/>
      <c r="X659" s="146"/>
      <c r="Y659" s="148"/>
      <c r="Z659" s="145"/>
      <c r="AA659" s="139"/>
      <c r="AB659" s="149"/>
      <c r="AC659" s="11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74"/>
      <c r="AR659" s="222"/>
    </row>
    <row r="660" spans="2:44" s="22" customFormat="1" ht="18" customHeight="1" x14ac:dyDescent="0.25">
      <c r="B660" s="145"/>
      <c r="C660" s="139"/>
      <c r="D660" s="146"/>
      <c r="E660" s="139"/>
      <c r="F660" s="139"/>
      <c r="G660" s="139"/>
      <c r="H660" s="139"/>
      <c r="I660" s="139"/>
      <c r="J660" s="139"/>
      <c r="K660" s="139"/>
      <c r="L660" s="243"/>
      <c r="M660" s="243"/>
      <c r="N660" s="139"/>
      <c r="O660" s="139"/>
      <c r="P660" s="139"/>
      <c r="Q660" s="147"/>
      <c r="R660" s="139"/>
      <c r="S660" s="139"/>
      <c r="T660" s="139"/>
      <c r="U660" s="139"/>
      <c r="V660" s="139"/>
      <c r="W660" s="139"/>
      <c r="X660" s="146"/>
      <c r="Y660" s="148"/>
      <c r="Z660" s="145"/>
      <c r="AA660" s="139"/>
      <c r="AB660" s="149"/>
      <c r="AC660" s="11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74"/>
      <c r="AR660" s="222"/>
    </row>
    <row r="661" spans="2:44" s="22" customFormat="1" ht="18" customHeight="1" x14ac:dyDescent="0.25">
      <c r="B661" s="145"/>
      <c r="C661" s="139"/>
      <c r="D661" s="146"/>
      <c r="E661" s="139"/>
      <c r="F661" s="139"/>
      <c r="G661" s="139"/>
      <c r="H661" s="139"/>
      <c r="I661" s="139"/>
      <c r="J661" s="139"/>
      <c r="K661" s="139"/>
      <c r="L661" s="243"/>
      <c r="M661" s="243"/>
      <c r="N661" s="139"/>
      <c r="O661" s="139"/>
      <c r="P661" s="139"/>
      <c r="Q661" s="147"/>
      <c r="R661" s="139"/>
      <c r="S661" s="139"/>
      <c r="T661" s="139"/>
      <c r="U661" s="139"/>
      <c r="V661" s="139"/>
      <c r="W661" s="139"/>
      <c r="X661" s="146"/>
      <c r="Y661" s="148"/>
      <c r="Z661" s="145"/>
      <c r="AA661" s="139"/>
      <c r="AB661" s="149"/>
      <c r="AC661" s="11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74"/>
      <c r="AR661" s="222"/>
    </row>
    <row r="662" spans="2:44" s="22" customFormat="1" ht="18" customHeight="1" x14ac:dyDescent="0.25">
      <c r="B662" s="145"/>
      <c r="C662" s="139"/>
      <c r="D662" s="146"/>
      <c r="E662" s="139"/>
      <c r="F662" s="139"/>
      <c r="G662" s="139"/>
      <c r="H662" s="139"/>
      <c r="I662" s="139"/>
      <c r="J662" s="139"/>
      <c r="K662" s="139"/>
      <c r="L662" s="243"/>
      <c r="M662" s="243"/>
      <c r="N662" s="139"/>
      <c r="O662" s="139"/>
      <c r="P662" s="139"/>
      <c r="Q662" s="147"/>
      <c r="R662" s="139"/>
      <c r="S662" s="139"/>
      <c r="T662" s="139"/>
      <c r="U662" s="139"/>
      <c r="V662" s="139"/>
      <c r="W662" s="139"/>
      <c r="X662" s="146"/>
      <c r="Y662" s="148"/>
      <c r="Z662" s="145"/>
      <c r="AA662" s="139"/>
      <c r="AB662" s="149"/>
      <c r="AC662" s="11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74"/>
      <c r="AR662" s="222"/>
    </row>
    <row r="663" spans="2:44" s="22" customFormat="1" ht="18" customHeight="1" x14ac:dyDescent="0.25">
      <c r="B663" s="145"/>
      <c r="C663" s="139"/>
      <c r="D663" s="146"/>
      <c r="E663" s="139"/>
      <c r="F663" s="139"/>
      <c r="G663" s="139"/>
      <c r="H663" s="139"/>
      <c r="I663" s="139"/>
      <c r="J663" s="139"/>
      <c r="K663" s="139"/>
      <c r="L663" s="243"/>
      <c r="M663" s="243"/>
      <c r="N663" s="139"/>
      <c r="O663" s="139"/>
      <c r="P663" s="139"/>
      <c r="Q663" s="147"/>
      <c r="R663" s="139"/>
      <c r="S663" s="139"/>
      <c r="T663" s="139"/>
      <c r="U663" s="139"/>
      <c r="V663" s="139"/>
      <c r="W663" s="139"/>
      <c r="X663" s="146"/>
      <c r="Y663" s="148"/>
      <c r="Z663" s="145"/>
      <c r="AA663" s="139"/>
      <c r="AB663" s="149"/>
      <c r="AC663" s="11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74"/>
      <c r="AR663" s="222"/>
    </row>
    <row r="664" spans="2:44" s="22" customFormat="1" ht="18" customHeight="1" x14ac:dyDescent="0.25">
      <c r="B664" s="145"/>
      <c r="C664" s="139"/>
      <c r="D664" s="146"/>
      <c r="E664" s="139"/>
      <c r="F664" s="139"/>
      <c r="G664" s="139"/>
      <c r="H664" s="139"/>
      <c r="I664" s="139"/>
      <c r="J664" s="139"/>
      <c r="K664" s="139"/>
      <c r="L664" s="243"/>
      <c r="M664" s="243"/>
      <c r="N664" s="139"/>
      <c r="O664" s="139"/>
      <c r="P664" s="139"/>
      <c r="Q664" s="147"/>
      <c r="R664" s="139"/>
      <c r="S664" s="139"/>
      <c r="T664" s="139"/>
      <c r="U664" s="139"/>
      <c r="V664" s="139"/>
      <c r="W664" s="139"/>
      <c r="X664" s="146"/>
      <c r="Y664" s="148"/>
      <c r="Z664" s="145"/>
      <c r="AA664" s="139"/>
      <c r="AB664" s="149"/>
      <c r="AC664" s="11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74"/>
      <c r="AR664" s="222"/>
    </row>
    <row r="665" spans="2:44" s="22" customFormat="1" ht="18" customHeight="1" x14ac:dyDescent="0.25">
      <c r="B665" s="145"/>
      <c r="C665" s="139"/>
      <c r="D665" s="146"/>
      <c r="E665" s="139"/>
      <c r="F665" s="139"/>
      <c r="G665" s="139"/>
      <c r="H665" s="139"/>
      <c r="I665" s="139"/>
      <c r="J665" s="139"/>
      <c r="K665" s="139"/>
      <c r="L665" s="243"/>
      <c r="M665" s="243"/>
      <c r="N665" s="139"/>
      <c r="O665" s="139"/>
      <c r="P665" s="139"/>
      <c r="Q665" s="147"/>
      <c r="R665" s="139"/>
      <c r="S665" s="139"/>
      <c r="T665" s="139"/>
      <c r="U665" s="139"/>
      <c r="V665" s="139"/>
      <c r="W665" s="139"/>
      <c r="X665" s="146"/>
      <c r="Y665" s="148"/>
      <c r="Z665" s="145"/>
      <c r="AA665" s="139"/>
      <c r="AB665" s="149"/>
      <c r="AC665" s="11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74"/>
      <c r="AR665" s="222"/>
    </row>
    <row r="666" spans="2:44" s="22" customFormat="1" ht="18" customHeight="1" x14ac:dyDescent="0.25">
      <c r="B666" s="145"/>
      <c r="C666" s="139"/>
      <c r="D666" s="146"/>
      <c r="E666" s="139"/>
      <c r="F666" s="139"/>
      <c r="G666" s="139"/>
      <c r="H666" s="139"/>
      <c r="I666" s="139"/>
      <c r="J666" s="139"/>
      <c r="K666" s="139"/>
      <c r="L666" s="243"/>
      <c r="M666" s="243"/>
      <c r="N666" s="139"/>
      <c r="O666" s="139"/>
      <c r="P666" s="139"/>
      <c r="Q666" s="147"/>
      <c r="R666" s="139"/>
      <c r="S666" s="139"/>
      <c r="T666" s="139"/>
      <c r="U666" s="139"/>
      <c r="V666" s="139"/>
      <c r="W666" s="139"/>
      <c r="X666" s="146"/>
      <c r="Y666" s="148"/>
      <c r="Z666" s="145"/>
      <c r="AA666" s="139"/>
      <c r="AB666" s="149"/>
      <c r="AC666" s="11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74"/>
      <c r="AR666" s="222"/>
    </row>
    <row r="667" spans="2:44" s="22" customFormat="1" ht="18" customHeight="1" x14ac:dyDescent="0.25">
      <c r="B667" s="145"/>
      <c r="C667" s="139"/>
      <c r="D667" s="146"/>
      <c r="E667" s="139"/>
      <c r="F667" s="139"/>
      <c r="G667" s="139"/>
      <c r="H667" s="139"/>
      <c r="I667" s="139"/>
      <c r="J667" s="139"/>
      <c r="K667" s="139"/>
      <c r="L667" s="243"/>
      <c r="M667" s="243"/>
      <c r="N667" s="139"/>
      <c r="O667" s="139"/>
      <c r="P667" s="139"/>
      <c r="Q667" s="147"/>
      <c r="R667" s="139"/>
      <c r="S667" s="139"/>
      <c r="T667" s="139"/>
      <c r="U667" s="139"/>
      <c r="V667" s="139"/>
      <c r="W667" s="139"/>
      <c r="X667" s="146"/>
      <c r="Y667" s="148"/>
      <c r="Z667" s="145"/>
      <c r="AA667" s="139"/>
      <c r="AB667" s="149"/>
      <c r="AC667" s="11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74"/>
      <c r="AR667" s="222"/>
    </row>
    <row r="668" spans="2:44" s="22" customFormat="1" ht="18" customHeight="1" x14ac:dyDescent="0.25">
      <c r="B668" s="145"/>
      <c r="C668" s="139"/>
      <c r="D668" s="146"/>
      <c r="E668" s="139"/>
      <c r="F668" s="139"/>
      <c r="G668" s="139"/>
      <c r="H668" s="139"/>
      <c r="I668" s="139"/>
      <c r="J668" s="139"/>
      <c r="K668" s="139"/>
      <c r="L668" s="243"/>
      <c r="M668" s="243"/>
      <c r="N668" s="139"/>
      <c r="O668" s="139"/>
      <c r="P668" s="139"/>
      <c r="Q668" s="147"/>
      <c r="R668" s="139"/>
      <c r="S668" s="139"/>
      <c r="T668" s="139"/>
      <c r="U668" s="139"/>
      <c r="V668" s="139"/>
      <c r="W668" s="139"/>
      <c r="X668" s="146"/>
      <c r="Y668" s="148"/>
      <c r="Z668" s="145"/>
      <c r="AA668" s="139"/>
      <c r="AB668" s="149"/>
      <c r="AC668" s="11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74"/>
      <c r="AR668" s="222"/>
    </row>
    <row r="669" spans="2:44" s="22" customFormat="1" ht="18" customHeight="1" x14ac:dyDescent="0.25">
      <c r="B669" s="145"/>
      <c r="C669" s="139"/>
      <c r="D669" s="146"/>
      <c r="E669" s="139"/>
      <c r="F669" s="139"/>
      <c r="G669" s="139"/>
      <c r="H669" s="139"/>
      <c r="I669" s="139"/>
      <c r="J669" s="139"/>
      <c r="K669" s="139"/>
      <c r="L669" s="243"/>
      <c r="M669" s="243"/>
      <c r="N669" s="139"/>
      <c r="O669" s="139"/>
      <c r="P669" s="139"/>
      <c r="Q669" s="147"/>
      <c r="R669" s="139"/>
      <c r="S669" s="139"/>
      <c r="T669" s="139"/>
      <c r="U669" s="139"/>
      <c r="V669" s="139"/>
      <c r="W669" s="139"/>
      <c r="X669" s="146"/>
      <c r="Y669" s="148"/>
      <c r="Z669" s="145"/>
      <c r="AA669" s="139"/>
      <c r="AB669" s="149"/>
      <c r="AC669" s="11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74"/>
      <c r="AR669" s="222"/>
    </row>
    <row r="670" spans="2:44" s="22" customFormat="1" ht="18" customHeight="1" x14ac:dyDescent="0.25">
      <c r="B670" s="145"/>
      <c r="C670" s="139"/>
      <c r="D670" s="146"/>
      <c r="E670" s="139"/>
      <c r="F670" s="139"/>
      <c r="G670" s="139"/>
      <c r="H670" s="139"/>
      <c r="I670" s="139"/>
      <c r="J670" s="139"/>
      <c r="K670" s="139"/>
      <c r="L670" s="243"/>
      <c r="M670" s="243"/>
      <c r="N670" s="139"/>
      <c r="O670" s="139"/>
      <c r="P670" s="139"/>
      <c r="Q670" s="147"/>
      <c r="R670" s="139"/>
      <c r="S670" s="139"/>
      <c r="T670" s="139"/>
      <c r="U670" s="139"/>
      <c r="V670" s="139"/>
      <c r="W670" s="139"/>
      <c r="X670" s="146"/>
      <c r="Y670" s="148"/>
      <c r="Z670" s="145"/>
      <c r="AA670" s="139"/>
      <c r="AB670" s="149"/>
      <c r="AC670" s="11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74"/>
      <c r="AR670" s="222"/>
    </row>
    <row r="671" spans="2:44" s="140" customFormat="1" ht="18" customHeight="1" x14ac:dyDescent="0.25">
      <c r="B671" s="145"/>
      <c r="C671" s="139"/>
      <c r="D671" s="146"/>
      <c r="E671" s="139"/>
      <c r="F671" s="139"/>
      <c r="G671" s="139"/>
      <c r="H671" s="139"/>
      <c r="I671" s="139"/>
      <c r="J671" s="139"/>
      <c r="K671" s="139"/>
      <c r="L671" s="243"/>
      <c r="M671" s="243"/>
      <c r="N671" s="139"/>
      <c r="O671" s="139"/>
      <c r="P671" s="139"/>
      <c r="Q671" s="147"/>
      <c r="R671" s="139"/>
      <c r="S671" s="139"/>
      <c r="T671" s="139"/>
      <c r="U671" s="139"/>
      <c r="V671" s="139"/>
      <c r="W671" s="139"/>
      <c r="X671" s="146"/>
      <c r="Y671" s="148"/>
      <c r="Z671" s="145"/>
      <c r="AA671" s="139"/>
      <c r="AB671" s="149"/>
      <c r="AC671" s="11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74"/>
      <c r="AR671" s="222"/>
    </row>
    <row r="672" spans="2:44" s="22" customFormat="1" ht="18" customHeight="1" x14ac:dyDescent="0.25">
      <c r="B672" s="145"/>
      <c r="C672" s="139"/>
      <c r="D672" s="146"/>
      <c r="E672" s="139"/>
      <c r="F672" s="139"/>
      <c r="G672" s="139"/>
      <c r="H672" s="139"/>
      <c r="I672" s="139"/>
      <c r="J672" s="139"/>
      <c r="K672" s="139"/>
      <c r="L672" s="243"/>
      <c r="M672" s="243"/>
      <c r="N672" s="139"/>
      <c r="O672" s="139"/>
      <c r="P672" s="139"/>
      <c r="Q672" s="147"/>
      <c r="R672" s="139"/>
      <c r="S672" s="139"/>
      <c r="T672" s="139"/>
      <c r="U672" s="139"/>
      <c r="V672" s="139"/>
      <c r="W672" s="139"/>
      <c r="X672" s="146"/>
      <c r="Y672" s="148"/>
      <c r="Z672" s="145"/>
      <c r="AA672" s="139"/>
      <c r="AB672" s="149"/>
      <c r="AC672" s="11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74"/>
      <c r="AR672" s="222"/>
    </row>
    <row r="673" spans="2:44" s="22" customFormat="1" ht="18" customHeight="1" x14ac:dyDescent="0.25">
      <c r="B673" s="145"/>
      <c r="C673" s="139"/>
      <c r="D673" s="146"/>
      <c r="E673" s="139"/>
      <c r="F673" s="139"/>
      <c r="G673" s="139"/>
      <c r="H673" s="139"/>
      <c r="I673" s="139"/>
      <c r="J673" s="139"/>
      <c r="K673" s="139"/>
      <c r="L673" s="243"/>
      <c r="M673" s="243"/>
      <c r="N673" s="139"/>
      <c r="O673" s="139"/>
      <c r="P673" s="139"/>
      <c r="Q673" s="147"/>
      <c r="R673" s="139"/>
      <c r="S673" s="139"/>
      <c r="T673" s="139"/>
      <c r="U673" s="139"/>
      <c r="V673" s="139"/>
      <c r="W673" s="139"/>
      <c r="X673" s="146"/>
      <c r="Y673" s="148"/>
      <c r="Z673" s="145"/>
      <c r="AA673" s="139"/>
      <c r="AB673" s="149"/>
      <c r="AC673" s="11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74"/>
      <c r="AR673" s="222"/>
    </row>
    <row r="674" spans="2:44" s="22" customFormat="1" ht="18" customHeight="1" x14ac:dyDescent="0.25">
      <c r="B674" s="145"/>
      <c r="C674" s="139"/>
      <c r="D674" s="146"/>
      <c r="E674" s="139"/>
      <c r="F674" s="139"/>
      <c r="G674" s="139"/>
      <c r="H674" s="139"/>
      <c r="I674" s="139"/>
      <c r="J674" s="139"/>
      <c r="K674" s="139"/>
      <c r="L674" s="243"/>
      <c r="M674" s="243"/>
      <c r="N674" s="139"/>
      <c r="O674" s="139"/>
      <c r="P674" s="139"/>
      <c r="Q674" s="147"/>
      <c r="R674" s="139"/>
      <c r="S674" s="139"/>
      <c r="T674" s="139"/>
      <c r="U674" s="139"/>
      <c r="V674" s="139"/>
      <c r="W674" s="139"/>
      <c r="X674" s="146"/>
      <c r="Y674" s="148"/>
      <c r="Z674" s="145"/>
      <c r="AA674" s="139"/>
      <c r="AB674" s="149"/>
      <c r="AC674" s="11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74"/>
      <c r="AR674" s="222"/>
    </row>
    <row r="675" spans="2:44" s="22" customFormat="1" ht="18" customHeight="1" x14ac:dyDescent="0.25">
      <c r="B675" s="145"/>
      <c r="C675" s="139"/>
      <c r="D675" s="146"/>
      <c r="E675" s="139"/>
      <c r="F675" s="139"/>
      <c r="G675" s="139"/>
      <c r="H675" s="139"/>
      <c r="I675" s="139"/>
      <c r="J675" s="139"/>
      <c r="K675" s="139"/>
      <c r="L675" s="243"/>
      <c r="M675" s="243"/>
      <c r="N675" s="139"/>
      <c r="O675" s="139"/>
      <c r="P675" s="139"/>
      <c r="Q675" s="147"/>
      <c r="R675" s="139"/>
      <c r="S675" s="139"/>
      <c r="T675" s="139"/>
      <c r="U675" s="139"/>
      <c r="V675" s="139"/>
      <c r="W675" s="139"/>
      <c r="X675" s="146"/>
      <c r="Y675" s="148"/>
      <c r="Z675" s="145"/>
      <c r="AA675" s="139"/>
      <c r="AB675" s="149"/>
      <c r="AC675" s="11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74"/>
      <c r="AR675" s="222"/>
    </row>
    <row r="676" spans="2:44" s="22" customFormat="1" ht="18" customHeight="1" x14ac:dyDescent="0.25">
      <c r="B676" s="145"/>
      <c r="C676" s="139"/>
      <c r="D676" s="146"/>
      <c r="E676" s="139"/>
      <c r="F676" s="139"/>
      <c r="G676" s="139"/>
      <c r="H676" s="139"/>
      <c r="I676" s="139"/>
      <c r="J676" s="139"/>
      <c r="K676" s="139"/>
      <c r="L676" s="243"/>
      <c r="M676" s="243"/>
      <c r="N676" s="139"/>
      <c r="O676" s="139"/>
      <c r="P676" s="139"/>
      <c r="Q676" s="147"/>
      <c r="R676" s="139"/>
      <c r="S676" s="139"/>
      <c r="T676" s="139"/>
      <c r="U676" s="139"/>
      <c r="V676" s="139"/>
      <c r="W676" s="139"/>
      <c r="X676" s="146"/>
      <c r="Y676" s="148"/>
      <c r="Z676" s="145"/>
      <c r="AA676" s="139"/>
      <c r="AB676" s="149"/>
      <c r="AC676" s="11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74"/>
      <c r="AR676" s="222"/>
    </row>
    <row r="677" spans="2:44" s="22" customFormat="1" ht="18" customHeight="1" x14ac:dyDescent="0.25">
      <c r="B677" s="145"/>
      <c r="C677" s="139"/>
      <c r="D677" s="146"/>
      <c r="E677" s="139"/>
      <c r="F677" s="139"/>
      <c r="G677" s="139"/>
      <c r="H677" s="139"/>
      <c r="I677" s="139"/>
      <c r="J677" s="139"/>
      <c r="K677" s="139"/>
      <c r="L677" s="243"/>
      <c r="M677" s="243"/>
      <c r="N677" s="139"/>
      <c r="O677" s="139"/>
      <c r="P677" s="139"/>
      <c r="Q677" s="147"/>
      <c r="R677" s="139"/>
      <c r="S677" s="139"/>
      <c r="T677" s="139"/>
      <c r="U677" s="139"/>
      <c r="V677" s="139"/>
      <c r="W677" s="139"/>
      <c r="X677" s="146"/>
      <c r="Y677" s="148"/>
      <c r="Z677" s="145"/>
      <c r="AA677" s="139"/>
      <c r="AB677" s="149"/>
      <c r="AC677" s="11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74"/>
      <c r="AR677" s="222"/>
    </row>
    <row r="678" spans="2:44" s="22" customFormat="1" ht="18" customHeight="1" x14ac:dyDescent="0.25">
      <c r="B678" s="145"/>
      <c r="C678" s="139"/>
      <c r="D678" s="146"/>
      <c r="E678" s="139"/>
      <c r="F678" s="139"/>
      <c r="G678" s="139"/>
      <c r="H678" s="139"/>
      <c r="I678" s="139"/>
      <c r="J678" s="139"/>
      <c r="K678" s="139"/>
      <c r="L678" s="243"/>
      <c r="M678" s="243"/>
      <c r="N678" s="139"/>
      <c r="O678" s="139"/>
      <c r="P678" s="139"/>
      <c r="Q678" s="147"/>
      <c r="R678" s="139"/>
      <c r="S678" s="139"/>
      <c r="T678" s="139"/>
      <c r="U678" s="139"/>
      <c r="V678" s="139"/>
      <c r="W678" s="139"/>
      <c r="X678" s="146"/>
      <c r="Y678" s="148"/>
      <c r="Z678" s="145"/>
      <c r="AA678" s="139"/>
      <c r="AB678" s="149"/>
      <c r="AC678" s="11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74"/>
      <c r="AR678" s="222"/>
    </row>
    <row r="679" spans="2:44" s="22" customFormat="1" ht="18" customHeight="1" x14ac:dyDescent="0.25">
      <c r="B679" s="145"/>
      <c r="C679" s="139"/>
      <c r="D679" s="146"/>
      <c r="E679" s="139"/>
      <c r="F679" s="139"/>
      <c r="G679" s="139"/>
      <c r="H679" s="139"/>
      <c r="I679" s="139"/>
      <c r="J679" s="139"/>
      <c r="K679" s="139"/>
      <c r="L679" s="243"/>
      <c r="M679" s="243"/>
      <c r="N679" s="139"/>
      <c r="O679" s="139"/>
      <c r="P679" s="139"/>
      <c r="Q679" s="147"/>
      <c r="R679" s="139"/>
      <c r="S679" s="139"/>
      <c r="T679" s="139"/>
      <c r="U679" s="139"/>
      <c r="V679" s="139"/>
      <c r="W679" s="139"/>
      <c r="X679" s="146"/>
      <c r="Y679" s="148"/>
      <c r="Z679" s="145"/>
      <c r="AA679" s="139"/>
      <c r="AB679" s="149"/>
      <c r="AC679" s="11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74"/>
      <c r="AR679" s="222"/>
    </row>
    <row r="680" spans="2:44" s="22" customFormat="1" ht="18" customHeight="1" x14ac:dyDescent="0.25">
      <c r="B680" s="145"/>
      <c r="C680" s="139"/>
      <c r="D680" s="146"/>
      <c r="E680" s="139"/>
      <c r="F680" s="139"/>
      <c r="G680" s="139"/>
      <c r="H680" s="139"/>
      <c r="I680" s="139"/>
      <c r="J680" s="139"/>
      <c r="K680" s="139"/>
      <c r="L680" s="243"/>
      <c r="M680" s="243"/>
      <c r="N680" s="139"/>
      <c r="O680" s="139"/>
      <c r="P680" s="139"/>
      <c r="Q680" s="147"/>
      <c r="R680" s="139"/>
      <c r="S680" s="139"/>
      <c r="T680" s="139"/>
      <c r="U680" s="139"/>
      <c r="V680" s="139"/>
      <c r="W680" s="139"/>
      <c r="X680" s="146"/>
      <c r="Y680" s="148"/>
      <c r="Z680" s="145"/>
      <c r="AA680" s="139"/>
      <c r="AB680" s="149"/>
      <c r="AC680" s="11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74"/>
      <c r="AR680" s="222"/>
    </row>
    <row r="681" spans="2:44" s="22" customFormat="1" ht="18" customHeight="1" x14ac:dyDescent="0.25">
      <c r="B681" s="145"/>
      <c r="C681" s="139"/>
      <c r="D681" s="146"/>
      <c r="E681" s="139"/>
      <c r="F681" s="139"/>
      <c r="G681" s="139"/>
      <c r="H681" s="139"/>
      <c r="I681" s="139"/>
      <c r="J681" s="139"/>
      <c r="K681" s="139"/>
      <c r="L681" s="243"/>
      <c r="M681" s="243"/>
      <c r="N681" s="139"/>
      <c r="O681" s="139"/>
      <c r="P681" s="139"/>
      <c r="Q681" s="147"/>
      <c r="R681" s="139"/>
      <c r="S681" s="139"/>
      <c r="T681" s="139"/>
      <c r="U681" s="139"/>
      <c r="V681" s="139"/>
      <c r="W681" s="139"/>
      <c r="X681" s="146"/>
      <c r="Y681" s="148"/>
      <c r="Z681" s="145"/>
      <c r="AA681" s="139"/>
      <c r="AB681" s="149"/>
      <c r="AC681" s="11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74"/>
      <c r="AR681" s="222"/>
    </row>
    <row r="682" spans="2:44" s="22" customFormat="1" ht="18" customHeight="1" x14ac:dyDescent="0.25">
      <c r="B682" s="145"/>
      <c r="C682" s="139"/>
      <c r="D682" s="146"/>
      <c r="E682" s="139"/>
      <c r="F682" s="139"/>
      <c r="G682" s="139"/>
      <c r="H682" s="139"/>
      <c r="I682" s="139"/>
      <c r="J682" s="139"/>
      <c r="K682" s="139"/>
      <c r="L682" s="243"/>
      <c r="M682" s="243"/>
      <c r="N682" s="139"/>
      <c r="O682" s="139"/>
      <c r="P682" s="139"/>
      <c r="Q682" s="147"/>
      <c r="R682" s="139"/>
      <c r="S682" s="139"/>
      <c r="T682" s="139"/>
      <c r="U682" s="139"/>
      <c r="V682" s="139"/>
      <c r="W682" s="139"/>
      <c r="X682" s="146"/>
      <c r="Y682" s="148"/>
      <c r="Z682" s="145"/>
      <c r="AA682" s="139"/>
      <c r="AB682" s="149"/>
      <c r="AC682" s="11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74"/>
      <c r="AR682" s="222"/>
    </row>
    <row r="683" spans="2:44" s="140" customFormat="1" ht="18" customHeight="1" x14ac:dyDescent="0.25">
      <c r="B683" s="145"/>
      <c r="C683" s="139"/>
      <c r="D683" s="146"/>
      <c r="E683" s="139"/>
      <c r="F683" s="139"/>
      <c r="G683" s="139"/>
      <c r="H683" s="139"/>
      <c r="I683" s="139"/>
      <c r="J683" s="139"/>
      <c r="K683" s="139"/>
      <c r="L683" s="243"/>
      <c r="M683" s="243"/>
      <c r="N683" s="139"/>
      <c r="O683" s="139"/>
      <c r="P683" s="139"/>
      <c r="Q683" s="147"/>
      <c r="R683" s="139"/>
      <c r="S683" s="139"/>
      <c r="T683" s="139"/>
      <c r="U683" s="139"/>
      <c r="V683" s="139"/>
      <c r="W683" s="139"/>
      <c r="X683" s="146"/>
      <c r="Y683" s="148"/>
      <c r="Z683" s="145"/>
      <c r="AA683" s="139"/>
      <c r="AB683" s="149"/>
      <c r="AC683" s="11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74"/>
      <c r="AR683" s="222"/>
    </row>
    <row r="684" spans="2:44" s="22" customFormat="1" ht="18" customHeight="1" x14ac:dyDescent="0.25">
      <c r="B684" s="145"/>
      <c r="C684" s="139"/>
      <c r="D684" s="146"/>
      <c r="E684" s="139"/>
      <c r="F684" s="139"/>
      <c r="G684" s="139"/>
      <c r="H684" s="139"/>
      <c r="I684" s="139"/>
      <c r="J684" s="139"/>
      <c r="K684" s="139"/>
      <c r="L684" s="243"/>
      <c r="M684" s="243"/>
      <c r="N684" s="139"/>
      <c r="O684" s="139"/>
      <c r="P684" s="139"/>
      <c r="Q684" s="147"/>
      <c r="R684" s="139"/>
      <c r="S684" s="139"/>
      <c r="T684" s="139"/>
      <c r="U684" s="139"/>
      <c r="V684" s="139"/>
      <c r="W684" s="139"/>
      <c r="X684" s="146"/>
      <c r="Y684" s="148"/>
      <c r="Z684" s="145"/>
      <c r="AA684" s="139"/>
      <c r="AB684" s="149"/>
      <c r="AC684" s="11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74"/>
      <c r="AR684" s="222"/>
    </row>
    <row r="685" spans="2:44" s="22" customFormat="1" ht="18" customHeight="1" x14ac:dyDescent="0.25">
      <c r="B685" s="145"/>
      <c r="C685" s="139"/>
      <c r="D685" s="146"/>
      <c r="E685" s="139"/>
      <c r="F685" s="139"/>
      <c r="G685" s="139"/>
      <c r="H685" s="139"/>
      <c r="I685" s="139"/>
      <c r="J685" s="139"/>
      <c r="K685" s="139"/>
      <c r="L685" s="243"/>
      <c r="M685" s="243"/>
      <c r="N685" s="139"/>
      <c r="O685" s="139"/>
      <c r="P685" s="139"/>
      <c r="Q685" s="147"/>
      <c r="R685" s="139"/>
      <c r="S685" s="139"/>
      <c r="T685" s="139"/>
      <c r="U685" s="139"/>
      <c r="V685" s="139"/>
      <c r="W685" s="139"/>
      <c r="X685" s="146"/>
      <c r="Y685" s="148"/>
      <c r="Z685" s="145"/>
      <c r="AA685" s="139"/>
      <c r="AB685" s="149"/>
      <c r="AC685" s="11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74"/>
      <c r="AR685" s="222"/>
    </row>
    <row r="686" spans="2:44" s="22" customFormat="1" ht="18" customHeight="1" x14ac:dyDescent="0.25">
      <c r="B686" s="145"/>
      <c r="C686" s="139"/>
      <c r="D686" s="146"/>
      <c r="E686" s="139"/>
      <c r="F686" s="139"/>
      <c r="G686" s="139"/>
      <c r="H686" s="139"/>
      <c r="I686" s="139"/>
      <c r="J686" s="139"/>
      <c r="K686" s="139"/>
      <c r="L686" s="243"/>
      <c r="M686" s="243"/>
      <c r="N686" s="139"/>
      <c r="O686" s="139"/>
      <c r="P686" s="139"/>
      <c r="Q686" s="147"/>
      <c r="R686" s="139"/>
      <c r="S686" s="139"/>
      <c r="T686" s="139"/>
      <c r="U686" s="139"/>
      <c r="V686" s="139"/>
      <c r="W686" s="139"/>
      <c r="X686" s="146"/>
      <c r="Y686" s="148"/>
      <c r="Z686" s="145"/>
      <c r="AA686" s="139"/>
      <c r="AB686" s="149"/>
      <c r="AC686" s="11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74"/>
      <c r="AR686" s="222"/>
    </row>
    <row r="687" spans="2:44" s="22" customFormat="1" ht="18" customHeight="1" x14ac:dyDescent="0.25">
      <c r="B687" s="145"/>
      <c r="C687" s="139"/>
      <c r="D687" s="146"/>
      <c r="E687" s="139"/>
      <c r="F687" s="139"/>
      <c r="G687" s="139"/>
      <c r="H687" s="139"/>
      <c r="I687" s="139"/>
      <c r="J687" s="139"/>
      <c r="K687" s="139"/>
      <c r="L687" s="243"/>
      <c r="M687" s="243"/>
      <c r="N687" s="139"/>
      <c r="O687" s="139"/>
      <c r="P687" s="139"/>
      <c r="Q687" s="147"/>
      <c r="R687" s="139"/>
      <c r="S687" s="139"/>
      <c r="T687" s="139"/>
      <c r="U687" s="139"/>
      <c r="V687" s="139"/>
      <c r="W687" s="139"/>
      <c r="X687" s="146"/>
      <c r="Y687" s="148"/>
      <c r="Z687" s="145"/>
      <c r="AA687" s="139"/>
      <c r="AB687" s="149"/>
      <c r="AC687" s="11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74"/>
      <c r="AR687" s="222"/>
    </row>
    <row r="688" spans="2:44" s="22" customFormat="1" ht="18" customHeight="1" x14ac:dyDescent="0.25">
      <c r="B688" s="145"/>
      <c r="C688" s="139"/>
      <c r="D688" s="146"/>
      <c r="E688" s="139"/>
      <c r="F688" s="139"/>
      <c r="G688" s="139"/>
      <c r="H688" s="139"/>
      <c r="I688" s="139"/>
      <c r="J688" s="139"/>
      <c r="K688" s="139"/>
      <c r="L688" s="243"/>
      <c r="M688" s="243"/>
      <c r="N688" s="139"/>
      <c r="O688" s="139"/>
      <c r="P688" s="139"/>
      <c r="Q688" s="147"/>
      <c r="R688" s="139"/>
      <c r="S688" s="139"/>
      <c r="T688" s="139"/>
      <c r="U688" s="139"/>
      <c r="V688" s="139"/>
      <c r="W688" s="139"/>
      <c r="X688" s="146"/>
      <c r="Y688" s="148"/>
      <c r="Z688" s="145"/>
      <c r="AA688" s="139"/>
      <c r="AB688" s="149"/>
      <c r="AC688" s="11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74"/>
      <c r="AR688" s="222"/>
    </row>
    <row r="689" spans="2:44" s="22" customFormat="1" ht="18" customHeight="1" x14ac:dyDescent="0.25">
      <c r="B689" s="145"/>
      <c r="C689" s="139"/>
      <c r="D689" s="146"/>
      <c r="E689" s="139"/>
      <c r="F689" s="139"/>
      <c r="G689" s="139"/>
      <c r="H689" s="139"/>
      <c r="I689" s="139"/>
      <c r="J689" s="139"/>
      <c r="K689" s="139"/>
      <c r="L689" s="243"/>
      <c r="M689" s="243"/>
      <c r="N689" s="139"/>
      <c r="O689" s="139"/>
      <c r="P689" s="139"/>
      <c r="Q689" s="147"/>
      <c r="R689" s="139"/>
      <c r="S689" s="139"/>
      <c r="T689" s="139"/>
      <c r="U689" s="139"/>
      <c r="V689" s="139"/>
      <c r="W689" s="139"/>
      <c r="X689" s="146"/>
      <c r="Y689" s="148"/>
      <c r="Z689" s="145"/>
      <c r="AA689" s="139"/>
      <c r="AB689" s="149"/>
      <c r="AC689" s="11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74"/>
      <c r="AR689" s="222"/>
    </row>
    <row r="690" spans="2:44" s="22" customFormat="1" ht="18" customHeight="1" x14ac:dyDescent="0.25">
      <c r="B690" s="145"/>
      <c r="C690" s="139"/>
      <c r="D690" s="146"/>
      <c r="E690" s="139"/>
      <c r="F690" s="139"/>
      <c r="G690" s="139"/>
      <c r="H690" s="139"/>
      <c r="I690" s="139"/>
      <c r="J690" s="139"/>
      <c r="K690" s="139"/>
      <c r="L690" s="243"/>
      <c r="M690" s="243"/>
      <c r="N690" s="139"/>
      <c r="O690" s="139"/>
      <c r="P690" s="139"/>
      <c r="Q690" s="147"/>
      <c r="R690" s="139"/>
      <c r="S690" s="139"/>
      <c r="T690" s="139"/>
      <c r="U690" s="139"/>
      <c r="V690" s="139"/>
      <c r="W690" s="139"/>
      <c r="X690" s="146"/>
      <c r="Y690" s="148"/>
      <c r="Z690" s="145"/>
      <c r="AA690" s="139"/>
      <c r="AB690" s="149"/>
      <c r="AC690" s="11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74"/>
      <c r="AR690" s="222"/>
    </row>
    <row r="691" spans="2:44" s="22" customFormat="1" ht="18" customHeight="1" x14ac:dyDescent="0.25">
      <c r="B691" s="145"/>
      <c r="C691" s="139"/>
      <c r="D691" s="146"/>
      <c r="E691" s="139"/>
      <c r="F691" s="139"/>
      <c r="G691" s="139"/>
      <c r="H691" s="139"/>
      <c r="I691" s="139"/>
      <c r="J691" s="139"/>
      <c r="K691" s="139"/>
      <c r="L691" s="243"/>
      <c r="M691" s="243"/>
      <c r="N691" s="139"/>
      <c r="O691" s="139"/>
      <c r="P691" s="139"/>
      <c r="Q691" s="147"/>
      <c r="R691" s="139"/>
      <c r="S691" s="139"/>
      <c r="T691" s="139"/>
      <c r="U691" s="139"/>
      <c r="V691" s="139"/>
      <c r="W691" s="139"/>
      <c r="X691" s="146"/>
      <c r="Y691" s="148"/>
      <c r="Z691" s="145"/>
      <c r="AA691" s="139"/>
      <c r="AB691" s="149"/>
      <c r="AC691" s="11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74"/>
      <c r="AR691" s="222"/>
    </row>
    <row r="692" spans="2:44" s="22" customFormat="1" ht="18" customHeight="1" x14ac:dyDescent="0.25">
      <c r="B692" s="145"/>
      <c r="C692" s="139"/>
      <c r="D692" s="146"/>
      <c r="E692" s="139"/>
      <c r="F692" s="139"/>
      <c r="G692" s="139"/>
      <c r="H692" s="139"/>
      <c r="I692" s="139"/>
      <c r="J692" s="139"/>
      <c r="K692" s="139"/>
      <c r="L692" s="243"/>
      <c r="M692" s="243"/>
      <c r="N692" s="139"/>
      <c r="O692" s="139"/>
      <c r="P692" s="139"/>
      <c r="Q692" s="147"/>
      <c r="R692" s="139"/>
      <c r="S692" s="139"/>
      <c r="T692" s="139"/>
      <c r="U692" s="139"/>
      <c r="V692" s="139"/>
      <c r="W692" s="139"/>
      <c r="X692" s="146"/>
      <c r="Y692" s="148"/>
      <c r="Z692" s="145"/>
      <c r="AA692" s="139"/>
      <c r="AB692" s="149"/>
      <c r="AC692" s="11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74"/>
      <c r="AR692" s="222"/>
    </row>
    <row r="693" spans="2:44" s="22" customFormat="1" ht="18" customHeight="1" x14ac:dyDescent="0.25">
      <c r="B693" s="145"/>
      <c r="C693" s="139"/>
      <c r="D693" s="146"/>
      <c r="E693" s="139"/>
      <c r="F693" s="139"/>
      <c r="G693" s="139"/>
      <c r="H693" s="139"/>
      <c r="I693" s="139"/>
      <c r="J693" s="139"/>
      <c r="K693" s="139"/>
      <c r="L693" s="243"/>
      <c r="M693" s="243"/>
      <c r="N693" s="139"/>
      <c r="O693" s="139"/>
      <c r="P693" s="139"/>
      <c r="Q693" s="147"/>
      <c r="R693" s="139"/>
      <c r="S693" s="139"/>
      <c r="T693" s="139"/>
      <c r="U693" s="139"/>
      <c r="V693" s="139"/>
      <c r="W693" s="139"/>
      <c r="X693" s="146"/>
      <c r="Y693" s="148"/>
      <c r="Z693" s="145"/>
      <c r="AA693" s="139"/>
      <c r="AB693" s="149"/>
      <c r="AC693" s="11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74"/>
      <c r="AR693" s="222"/>
    </row>
    <row r="694" spans="2:44" s="22" customFormat="1" ht="18" customHeight="1" x14ac:dyDescent="0.25">
      <c r="B694" s="145"/>
      <c r="C694" s="139"/>
      <c r="D694" s="146"/>
      <c r="E694" s="139"/>
      <c r="F694" s="139"/>
      <c r="G694" s="139"/>
      <c r="H694" s="139"/>
      <c r="I694" s="139"/>
      <c r="J694" s="139"/>
      <c r="K694" s="139"/>
      <c r="L694" s="243"/>
      <c r="M694" s="243"/>
      <c r="N694" s="139"/>
      <c r="O694" s="139"/>
      <c r="P694" s="139"/>
      <c r="Q694" s="147"/>
      <c r="R694" s="139"/>
      <c r="S694" s="139"/>
      <c r="T694" s="139"/>
      <c r="U694" s="139"/>
      <c r="V694" s="139"/>
      <c r="W694" s="139"/>
      <c r="X694" s="146"/>
      <c r="Y694" s="148"/>
      <c r="Z694" s="145"/>
      <c r="AA694" s="139"/>
      <c r="AB694" s="149"/>
      <c r="AC694" s="11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74"/>
      <c r="AR694" s="222"/>
    </row>
    <row r="695" spans="2:44" s="22" customFormat="1" ht="18" customHeight="1" x14ac:dyDescent="0.25">
      <c r="B695" s="145"/>
      <c r="C695" s="139"/>
      <c r="D695" s="146"/>
      <c r="E695" s="139"/>
      <c r="F695" s="139"/>
      <c r="G695" s="139"/>
      <c r="H695" s="139"/>
      <c r="I695" s="139"/>
      <c r="J695" s="139"/>
      <c r="K695" s="139"/>
      <c r="L695" s="243"/>
      <c r="M695" s="243"/>
      <c r="N695" s="139"/>
      <c r="O695" s="139"/>
      <c r="P695" s="139"/>
      <c r="Q695" s="147"/>
      <c r="R695" s="139"/>
      <c r="S695" s="139"/>
      <c r="T695" s="139"/>
      <c r="U695" s="139"/>
      <c r="V695" s="139"/>
      <c r="W695" s="139"/>
      <c r="X695" s="146"/>
      <c r="Y695" s="148"/>
      <c r="Z695" s="145"/>
      <c r="AA695" s="139"/>
      <c r="AB695" s="149"/>
      <c r="AC695" s="11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74"/>
      <c r="AR695" s="222"/>
    </row>
    <row r="696" spans="2:44" s="22" customFormat="1" ht="18" customHeight="1" x14ac:dyDescent="0.25">
      <c r="B696" s="145"/>
      <c r="C696" s="139"/>
      <c r="D696" s="146"/>
      <c r="E696" s="139"/>
      <c r="F696" s="139"/>
      <c r="G696" s="139"/>
      <c r="H696" s="139"/>
      <c r="I696" s="139"/>
      <c r="J696" s="139"/>
      <c r="K696" s="139"/>
      <c r="L696" s="243"/>
      <c r="M696" s="243"/>
      <c r="N696" s="139"/>
      <c r="O696" s="139"/>
      <c r="P696" s="139"/>
      <c r="Q696" s="147"/>
      <c r="R696" s="139"/>
      <c r="S696" s="139"/>
      <c r="T696" s="139"/>
      <c r="U696" s="139"/>
      <c r="V696" s="139"/>
      <c r="W696" s="139"/>
      <c r="X696" s="146"/>
      <c r="Y696" s="148"/>
      <c r="Z696" s="145"/>
      <c r="AA696" s="139"/>
      <c r="AB696" s="149"/>
      <c r="AC696" s="11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74"/>
      <c r="AR696" s="222"/>
    </row>
    <row r="697" spans="2:44" s="22" customFormat="1" ht="18" customHeight="1" x14ac:dyDescent="0.25">
      <c r="B697" s="145"/>
      <c r="C697" s="139"/>
      <c r="D697" s="146"/>
      <c r="E697" s="139"/>
      <c r="F697" s="139"/>
      <c r="G697" s="139"/>
      <c r="H697" s="139"/>
      <c r="I697" s="139"/>
      <c r="J697" s="139"/>
      <c r="K697" s="139"/>
      <c r="L697" s="243"/>
      <c r="M697" s="243"/>
      <c r="N697" s="139"/>
      <c r="O697" s="139"/>
      <c r="P697" s="139"/>
      <c r="Q697" s="147"/>
      <c r="R697" s="139"/>
      <c r="S697" s="139"/>
      <c r="T697" s="139"/>
      <c r="U697" s="139"/>
      <c r="V697" s="139"/>
      <c r="W697" s="139"/>
      <c r="X697" s="146"/>
      <c r="Y697" s="148"/>
      <c r="Z697" s="145"/>
      <c r="AA697" s="139"/>
      <c r="AB697" s="149"/>
      <c r="AC697" s="11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74"/>
      <c r="AR697" s="222"/>
    </row>
    <row r="698" spans="2:44" s="140" customFormat="1" ht="18" customHeight="1" x14ac:dyDescent="0.25">
      <c r="B698" s="145"/>
      <c r="C698" s="139"/>
      <c r="D698" s="146"/>
      <c r="E698" s="139"/>
      <c r="F698" s="139"/>
      <c r="G698" s="139"/>
      <c r="H698" s="139"/>
      <c r="I698" s="139"/>
      <c r="J698" s="139"/>
      <c r="K698" s="139"/>
      <c r="L698" s="243"/>
      <c r="M698" s="243"/>
      <c r="N698" s="139"/>
      <c r="O698" s="139"/>
      <c r="P698" s="139"/>
      <c r="Q698" s="147"/>
      <c r="R698" s="139"/>
      <c r="S698" s="139"/>
      <c r="T698" s="139"/>
      <c r="U698" s="139"/>
      <c r="V698" s="139"/>
      <c r="W698" s="139"/>
      <c r="X698" s="146"/>
      <c r="Y698" s="148"/>
      <c r="Z698" s="145"/>
      <c r="AA698" s="139"/>
      <c r="AB698" s="149"/>
      <c r="AC698" s="11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74"/>
      <c r="AR698" s="222"/>
    </row>
    <row r="699" spans="2:44" s="22" customFormat="1" ht="18" customHeight="1" x14ac:dyDescent="0.25">
      <c r="B699" s="145"/>
      <c r="C699" s="139"/>
      <c r="D699" s="146"/>
      <c r="E699" s="139"/>
      <c r="F699" s="139"/>
      <c r="G699" s="139"/>
      <c r="H699" s="139"/>
      <c r="I699" s="139"/>
      <c r="J699" s="139"/>
      <c r="K699" s="139"/>
      <c r="L699" s="243"/>
      <c r="M699" s="243"/>
      <c r="N699" s="139"/>
      <c r="O699" s="139"/>
      <c r="P699" s="139"/>
      <c r="Q699" s="147"/>
      <c r="R699" s="139"/>
      <c r="S699" s="139"/>
      <c r="T699" s="139"/>
      <c r="U699" s="139"/>
      <c r="V699" s="139"/>
      <c r="W699" s="139"/>
      <c r="X699" s="146"/>
      <c r="Y699" s="148"/>
      <c r="Z699" s="145"/>
      <c r="AA699" s="139"/>
      <c r="AB699" s="149"/>
      <c r="AC699" s="11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74"/>
      <c r="AR699" s="222"/>
    </row>
    <row r="700" spans="2:44" s="22" customFormat="1" ht="18" customHeight="1" x14ac:dyDescent="0.25">
      <c r="B700" s="145"/>
      <c r="C700" s="139"/>
      <c r="D700" s="146"/>
      <c r="E700" s="139"/>
      <c r="F700" s="139"/>
      <c r="G700" s="139"/>
      <c r="H700" s="139"/>
      <c r="I700" s="139"/>
      <c r="J700" s="139"/>
      <c r="K700" s="139"/>
      <c r="L700" s="243"/>
      <c r="M700" s="243"/>
      <c r="N700" s="139"/>
      <c r="O700" s="139"/>
      <c r="P700" s="139"/>
      <c r="Q700" s="147"/>
      <c r="R700" s="139"/>
      <c r="S700" s="139"/>
      <c r="T700" s="139"/>
      <c r="U700" s="139"/>
      <c r="V700" s="139"/>
      <c r="W700" s="139"/>
      <c r="X700" s="146"/>
      <c r="Y700" s="148"/>
      <c r="Z700" s="145"/>
      <c r="AA700" s="139"/>
      <c r="AB700" s="149"/>
      <c r="AC700" s="11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74"/>
      <c r="AR700" s="222"/>
    </row>
    <row r="701" spans="2:44" s="22" customFormat="1" ht="18" customHeight="1" x14ac:dyDescent="0.25">
      <c r="B701" s="145"/>
      <c r="C701" s="139"/>
      <c r="D701" s="146"/>
      <c r="E701" s="139"/>
      <c r="F701" s="139"/>
      <c r="G701" s="139"/>
      <c r="H701" s="139"/>
      <c r="I701" s="139"/>
      <c r="J701" s="139"/>
      <c r="K701" s="139"/>
      <c r="L701" s="243"/>
      <c r="M701" s="243"/>
      <c r="N701" s="139"/>
      <c r="O701" s="139"/>
      <c r="P701" s="139"/>
      <c r="Q701" s="147"/>
      <c r="R701" s="139"/>
      <c r="S701" s="139"/>
      <c r="T701" s="139"/>
      <c r="U701" s="139"/>
      <c r="V701" s="139"/>
      <c r="W701" s="139"/>
      <c r="X701" s="146"/>
      <c r="Y701" s="148"/>
      <c r="Z701" s="145"/>
      <c r="AA701" s="139"/>
      <c r="AB701" s="149"/>
      <c r="AC701" s="11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74"/>
      <c r="AR701" s="222"/>
    </row>
    <row r="702" spans="2:44" s="22" customFormat="1" ht="18" customHeight="1" x14ac:dyDescent="0.25">
      <c r="B702" s="145"/>
      <c r="C702" s="139"/>
      <c r="D702" s="146"/>
      <c r="E702" s="139"/>
      <c r="F702" s="139"/>
      <c r="G702" s="139"/>
      <c r="H702" s="139"/>
      <c r="I702" s="139"/>
      <c r="J702" s="139"/>
      <c r="K702" s="139"/>
      <c r="L702" s="243"/>
      <c r="M702" s="243"/>
      <c r="N702" s="139"/>
      <c r="O702" s="139"/>
      <c r="P702" s="139"/>
      <c r="Q702" s="147"/>
      <c r="R702" s="139"/>
      <c r="S702" s="139"/>
      <c r="T702" s="139"/>
      <c r="U702" s="139"/>
      <c r="V702" s="139"/>
      <c r="W702" s="139"/>
      <c r="X702" s="146"/>
      <c r="Y702" s="148"/>
      <c r="Z702" s="145"/>
      <c r="AA702" s="139"/>
      <c r="AB702" s="149"/>
      <c r="AC702" s="11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74"/>
      <c r="AR702" s="222"/>
    </row>
    <row r="703" spans="2:44" s="22" customFormat="1" ht="18" customHeight="1" x14ac:dyDescent="0.25">
      <c r="B703" s="145"/>
      <c r="C703" s="139"/>
      <c r="D703" s="146"/>
      <c r="E703" s="139"/>
      <c r="F703" s="139"/>
      <c r="G703" s="139"/>
      <c r="H703" s="139"/>
      <c r="I703" s="139"/>
      <c r="J703" s="139"/>
      <c r="K703" s="139"/>
      <c r="L703" s="243"/>
      <c r="M703" s="243"/>
      <c r="N703" s="139"/>
      <c r="O703" s="139"/>
      <c r="P703" s="139"/>
      <c r="Q703" s="147"/>
      <c r="R703" s="139"/>
      <c r="S703" s="139"/>
      <c r="T703" s="139"/>
      <c r="U703" s="139"/>
      <c r="V703" s="139"/>
      <c r="W703" s="139"/>
      <c r="X703" s="146"/>
      <c r="Y703" s="148"/>
      <c r="Z703" s="145"/>
      <c r="AA703" s="139"/>
      <c r="AB703" s="149"/>
      <c r="AC703" s="11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74"/>
      <c r="AR703" s="222"/>
    </row>
    <row r="704" spans="2:44" s="22" customFormat="1" ht="18" customHeight="1" x14ac:dyDescent="0.25">
      <c r="B704" s="145"/>
      <c r="C704" s="139"/>
      <c r="D704" s="146"/>
      <c r="E704" s="139"/>
      <c r="F704" s="139"/>
      <c r="G704" s="139"/>
      <c r="H704" s="139"/>
      <c r="I704" s="139"/>
      <c r="J704" s="139"/>
      <c r="K704" s="139"/>
      <c r="L704" s="243"/>
      <c r="M704" s="243"/>
      <c r="N704" s="139"/>
      <c r="O704" s="139"/>
      <c r="P704" s="139"/>
      <c r="Q704" s="147"/>
      <c r="R704" s="139"/>
      <c r="S704" s="139"/>
      <c r="T704" s="139"/>
      <c r="U704" s="139"/>
      <c r="V704" s="139"/>
      <c r="W704" s="139"/>
      <c r="X704" s="146"/>
      <c r="Y704" s="148"/>
      <c r="Z704" s="145"/>
      <c r="AA704" s="139"/>
      <c r="AB704" s="149"/>
      <c r="AC704" s="11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74"/>
      <c r="AR704" s="222"/>
    </row>
    <row r="705" spans="2:44" s="22" customFormat="1" ht="18" customHeight="1" x14ac:dyDescent="0.25">
      <c r="B705" s="145"/>
      <c r="C705" s="139"/>
      <c r="D705" s="146"/>
      <c r="E705" s="139"/>
      <c r="F705" s="139"/>
      <c r="G705" s="139"/>
      <c r="H705" s="139"/>
      <c r="I705" s="139"/>
      <c r="J705" s="139"/>
      <c r="K705" s="139"/>
      <c r="L705" s="243"/>
      <c r="M705" s="243"/>
      <c r="N705" s="139"/>
      <c r="O705" s="139"/>
      <c r="P705" s="139"/>
      <c r="Q705" s="147"/>
      <c r="R705" s="139"/>
      <c r="S705" s="139"/>
      <c r="T705" s="139"/>
      <c r="U705" s="139"/>
      <c r="V705" s="139"/>
      <c r="W705" s="139"/>
      <c r="X705" s="146"/>
      <c r="Y705" s="148"/>
      <c r="Z705" s="145"/>
      <c r="AA705" s="139"/>
      <c r="AB705" s="149"/>
      <c r="AC705" s="11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74"/>
      <c r="AR705" s="222"/>
    </row>
    <row r="706" spans="2:44" s="22" customFormat="1" ht="18" customHeight="1" x14ac:dyDescent="0.25">
      <c r="B706" s="145"/>
      <c r="C706" s="139"/>
      <c r="D706" s="146"/>
      <c r="E706" s="139"/>
      <c r="F706" s="139"/>
      <c r="G706" s="139"/>
      <c r="H706" s="139"/>
      <c r="I706" s="139"/>
      <c r="J706" s="139"/>
      <c r="K706" s="139"/>
      <c r="L706" s="243"/>
      <c r="M706" s="243"/>
      <c r="N706" s="139"/>
      <c r="O706" s="139"/>
      <c r="P706" s="139"/>
      <c r="Q706" s="147"/>
      <c r="R706" s="139"/>
      <c r="S706" s="139"/>
      <c r="T706" s="139"/>
      <c r="U706" s="139"/>
      <c r="V706" s="139"/>
      <c r="W706" s="139"/>
      <c r="X706" s="146"/>
      <c r="Y706" s="148"/>
      <c r="Z706" s="145"/>
      <c r="AA706" s="139"/>
      <c r="AB706" s="149"/>
      <c r="AC706" s="11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74"/>
      <c r="AR706" s="222"/>
    </row>
    <row r="707" spans="2:44" s="141" customFormat="1" ht="18" customHeight="1" x14ac:dyDescent="0.25">
      <c r="B707" s="145"/>
      <c r="C707" s="139"/>
      <c r="D707" s="146"/>
      <c r="E707" s="139"/>
      <c r="F707" s="139"/>
      <c r="G707" s="139"/>
      <c r="H707" s="139"/>
      <c r="I707" s="139"/>
      <c r="J707" s="139"/>
      <c r="K707" s="139"/>
      <c r="L707" s="243"/>
      <c r="M707" s="243"/>
      <c r="N707" s="139"/>
      <c r="O707" s="139"/>
      <c r="P707" s="139"/>
      <c r="Q707" s="147"/>
      <c r="R707" s="139"/>
      <c r="S707" s="139"/>
      <c r="T707" s="139"/>
      <c r="U707" s="139"/>
      <c r="V707" s="139"/>
      <c r="W707" s="139"/>
      <c r="X707" s="146"/>
      <c r="Y707" s="148"/>
      <c r="Z707" s="145"/>
      <c r="AA707" s="139"/>
      <c r="AB707" s="149"/>
      <c r="AC707" s="11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74"/>
      <c r="AR707" s="222"/>
    </row>
    <row r="708" spans="2:44" s="22" customFormat="1" ht="18" customHeight="1" x14ac:dyDescent="0.25">
      <c r="B708" s="145"/>
      <c r="C708" s="139"/>
      <c r="D708" s="146"/>
      <c r="E708" s="139"/>
      <c r="F708" s="139"/>
      <c r="G708" s="139"/>
      <c r="H708" s="139"/>
      <c r="I708" s="139"/>
      <c r="J708" s="139"/>
      <c r="K708" s="139"/>
      <c r="L708" s="243"/>
      <c r="M708" s="243"/>
      <c r="N708" s="139"/>
      <c r="O708" s="139"/>
      <c r="P708" s="139"/>
      <c r="Q708" s="147"/>
      <c r="R708" s="139"/>
      <c r="S708" s="139"/>
      <c r="T708" s="139"/>
      <c r="U708" s="139"/>
      <c r="V708" s="139"/>
      <c r="W708" s="139"/>
      <c r="X708" s="146"/>
      <c r="Y708" s="148"/>
      <c r="Z708" s="145"/>
      <c r="AA708" s="139"/>
      <c r="AB708" s="149"/>
      <c r="AC708" s="11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74"/>
      <c r="AR708" s="222"/>
    </row>
    <row r="709" spans="2:44" s="22" customFormat="1" ht="18" customHeight="1" x14ac:dyDescent="0.25">
      <c r="B709" s="145"/>
      <c r="C709" s="139"/>
      <c r="D709" s="146"/>
      <c r="E709" s="139"/>
      <c r="F709" s="139"/>
      <c r="G709" s="139"/>
      <c r="H709" s="139"/>
      <c r="I709" s="139"/>
      <c r="J709" s="139"/>
      <c r="K709" s="139"/>
      <c r="L709" s="243"/>
      <c r="M709" s="243"/>
      <c r="N709" s="139"/>
      <c r="O709" s="139"/>
      <c r="P709" s="139"/>
      <c r="Q709" s="147"/>
      <c r="R709" s="139"/>
      <c r="S709" s="139"/>
      <c r="T709" s="139"/>
      <c r="U709" s="139"/>
      <c r="V709" s="139"/>
      <c r="W709" s="139"/>
      <c r="X709" s="146"/>
      <c r="Y709" s="148"/>
      <c r="Z709" s="145"/>
      <c r="AA709" s="139"/>
      <c r="AB709" s="149"/>
      <c r="AC709" s="11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74"/>
      <c r="AR709" s="222"/>
    </row>
    <row r="710" spans="2:44" s="140" customFormat="1" ht="18" customHeight="1" x14ac:dyDescent="0.25">
      <c r="B710" s="145"/>
      <c r="C710" s="139"/>
      <c r="D710" s="146"/>
      <c r="E710" s="139"/>
      <c r="F710" s="139"/>
      <c r="G710" s="139"/>
      <c r="H710" s="139"/>
      <c r="I710" s="139"/>
      <c r="J710" s="139"/>
      <c r="K710" s="139"/>
      <c r="L710" s="243"/>
      <c r="M710" s="243"/>
      <c r="N710" s="139"/>
      <c r="O710" s="139"/>
      <c r="P710" s="139"/>
      <c r="Q710" s="147"/>
      <c r="R710" s="139"/>
      <c r="S710" s="139"/>
      <c r="T710" s="139"/>
      <c r="U710" s="139"/>
      <c r="V710" s="139"/>
      <c r="W710" s="139"/>
      <c r="X710" s="146"/>
      <c r="Y710" s="148"/>
      <c r="Z710" s="145"/>
      <c r="AA710" s="139"/>
      <c r="AB710" s="149"/>
      <c r="AC710" s="11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74"/>
      <c r="AR710" s="222"/>
    </row>
    <row r="711" spans="2:44" s="22" customFormat="1" ht="18" customHeight="1" x14ac:dyDescent="0.25">
      <c r="B711" s="145"/>
      <c r="C711" s="139"/>
      <c r="D711" s="146"/>
      <c r="E711" s="139"/>
      <c r="F711" s="139"/>
      <c r="G711" s="139"/>
      <c r="H711" s="139"/>
      <c r="I711" s="139"/>
      <c r="J711" s="139"/>
      <c r="K711" s="139"/>
      <c r="L711" s="243"/>
      <c r="M711" s="243"/>
      <c r="N711" s="139"/>
      <c r="O711" s="139"/>
      <c r="P711" s="139"/>
      <c r="Q711" s="147"/>
      <c r="R711" s="139"/>
      <c r="S711" s="139"/>
      <c r="T711" s="139"/>
      <c r="U711" s="139"/>
      <c r="V711" s="139"/>
      <c r="W711" s="139"/>
      <c r="X711" s="146"/>
      <c r="Y711" s="148"/>
      <c r="Z711" s="145"/>
      <c r="AA711" s="139"/>
      <c r="AB711" s="149"/>
      <c r="AC711" s="11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74"/>
      <c r="AR711" s="222"/>
    </row>
    <row r="712" spans="2:44" s="22" customFormat="1" ht="18" customHeight="1" x14ac:dyDescent="0.25">
      <c r="B712" s="145"/>
      <c r="C712" s="139"/>
      <c r="D712" s="146"/>
      <c r="E712" s="139"/>
      <c r="F712" s="139"/>
      <c r="G712" s="139"/>
      <c r="H712" s="139"/>
      <c r="I712" s="139"/>
      <c r="J712" s="139"/>
      <c r="K712" s="139"/>
      <c r="L712" s="243"/>
      <c r="M712" s="243"/>
      <c r="N712" s="139"/>
      <c r="O712" s="139"/>
      <c r="P712" s="139"/>
      <c r="Q712" s="147"/>
      <c r="R712" s="139"/>
      <c r="S712" s="139"/>
      <c r="T712" s="139"/>
      <c r="U712" s="139"/>
      <c r="V712" s="139"/>
      <c r="W712" s="139"/>
      <c r="X712" s="146"/>
      <c r="Y712" s="148"/>
      <c r="Z712" s="145"/>
      <c r="AA712" s="139"/>
      <c r="AB712" s="149"/>
      <c r="AC712" s="11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74"/>
      <c r="AR712" s="222"/>
    </row>
    <row r="713" spans="2:44" s="22" customFormat="1" ht="18" customHeight="1" x14ac:dyDescent="0.25">
      <c r="B713" s="145"/>
      <c r="C713" s="139"/>
      <c r="D713" s="146"/>
      <c r="E713" s="139"/>
      <c r="F713" s="139"/>
      <c r="G713" s="139"/>
      <c r="H713" s="139"/>
      <c r="I713" s="139"/>
      <c r="J713" s="139"/>
      <c r="K713" s="139"/>
      <c r="L713" s="243"/>
      <c r="M713" s="243"/>
      <c r="N713" s="139"/>
      <c r="O713" s="139"/>
      <c r="P713" s="139"/>
      <c r="Q713" s="147"/>
      <c r="R713" s="139"/>
      <c r="S713" s="139"/>
      <c r="T713" s="139"/>
      <c r="U713" s="139"/>
      <c r="V713" s="139"/>
      <c r="W713" s="139"/>
      <c r="X713" s="146"/>
      <c r="Y713" s="148"/>
      <c r="Z713" s="145"/>
      <c r="AA713" s="139"/>
      <c r="AB713" s="149"/>
      <c r="AC713" s="11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74"/>
      <c r="AR713" s="222"/>
    </row>
    <row r="714" spans="2:44" s="22" customFormat="1" ht="18" customHeight="1" x14ac:dyDescent="0.25">
      <c r="B714" s="145"/>
      <c r="C714" s="139"/>
      <c r="D714" s="146"/>
      <c r="E714" s="139"/>
      <c r="F714" s="139"/>
      <c r="G714" s="139"/>
      <c r="H714" s="139"/>
      <c r="I714" s="139"/>
      <c r="J714" s="139"/>
      <c r="K714" s="139"/>
      <c r="L714" s="243"/>
      <c r="M714" s="243"/>
      <c r="N714" s="139"/>
      <c r="O714" s="139"/>
      <c r="P714" s="139"/>
      <c r="Q714" s="147"/>
      <c r="R714" s="139"/>
      <c r="S714" s="139"/>
      <c r="T714" s="139"/>
      <c r="U714" s="139"/>
      <c r="V714" s="139"/>
      <c r="W714" s="139"/>
      <c r="X714" s="146"/>
      <c r="Y714" s="148"/>
      <c r="Z714" s="145"/>
      <c r="AA714" s="139"/>
      <c r="AB714" s="149"/>
      <c r="AC714" s="11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74"/>
      <c r="AR714" s="222"/>
    </row>
    <row r="715" spans="2:44" s="22" customFormat="1" ht="18" customHeight="1" x14ac:dyDescent="0.25">
      <c r="B715" s="145"/>
      <c r="C715" s="139"/>
      <c r="D715" s="146"/>
      <c r="E715" s="139"/>
      <c r="F715" s="139"/>
      <c r="G715" s="139"/>
      <c r="H715" s="139"/>
      <c r="I715" s="139"/>
      <c r="J715" s="139"/>
      <c r="K715" s="139"/>
      <c r="L715" s="243"/>
      <c r="M715" s="243"/>
      <c r="N715" s="139"/>
      <c r="O715" s="139"/>
      <c r="P715" s="139"/>
      <c r="Q715" s="147"/>
      <c r="R715" s="139"/>
      <c r="S715" s="139"/>
      <c r="T715" s="139"/>
      <c r="U715" s="139"/>
      <c r="V715" s="139"/>
      <c r="W715" s="139"/>
      <c r="X715" s="146"/>
      <c r="Y715" s="148"/>
      <c r="Z715" s="145"/>
      <c r="AA715" s="139"/>
      <c r="AB715" s="149"/>
      <c r="AC715" s="11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74"/>
      <c r="AR715" s="222"/>
    </row>
    <row r="716" spans="2:44" s="22" customFormat="1" ht="18" customHeight="1" x14ac:dyDescent="0.25">
      <c r="B716" s="145"/>
      <c r="C716" s="139"/>
      <c r="D716" s="146"/>
      <c r="E716" s="139"/>
      <c r="F716" s="139"/>
      <c r="G716" s="139"/>
      <c r="H716" s="139"/>
      <c r="I716" s="139"/>
      <c r="J716" s="139"/>
      <c r="K716" s="139"/>
      <c r="L716" s="243"/>
      <c r="M716" s="243"/>
      <c r="N716" s="139"/>
      <c r="O716" s="139"/>
      <c r="P716" s="139"/>
      <c r="Q716" s="147"/>
      <c r="R716" s="139"/>
      <c r="S716" s="139"/>
      <c r="T716" s="139"/>
      <c r="U716" s="139"/>
      <c r="V716" s="139"/>
      <c r="W716" s="139"/>
      <c r="X716" s="146"/>
      <c r="Y716" s="148"/>
      <c r="Z716" s="145"/>
      <c r="AA716" s="139"/>
      <c r="AB716" s="149"/>
      <c r="AC716" s="11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74"/>
      <c r="AR716" s="222"/>
    </row>
    <row r="717" spans="2:44" s="22" customFormat="1" ht="18" customHeight="1" x14ac:dyDescent="0.25">
      <c r="B717" s="145"/>
      <c r="C717" s="139"/>
      <c r="D717" s="146"/>
      <c r="E717" s="139"/>
      <c r="F717" s="139"/>
      <c r="G717" s="139"/>
      <c r="H717" s="139"/>
      <c r="I717" s="139"/>
      <c r="J717" s="139"/>
      <c r="K717" s="139"/>
      <c r="L717" s="243"/>
      <c r="M717" s="243"/>
      <c r="N717" s="139"/>
      <c r="O717" s="139"/>
      <c r="P717" s="139"/>
      <c r="Q717" s="147"/>
      <c r="R717" s="139"/>
      <c r="S717" s="139"/>
      <c r="T717" s="139"/>
      <c r="U717" s="139"/>
      <c r="V717" s="139"/>
      <c r="W717" s="139"/>
      <c r="X717" s="146"/>
      <c r="Y717" s="148"/>
      <c r="Z717" s="145"/>
      <c r="AA717" s="139"/>
      <c r="AB717" s="149"/>
      <c r="AC717" s="11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74"/>
      <c r="AR717" s="222"/>
    </row>
    <row r="718" spans="2:44" s="22" customFormat="1" ht="18" customHeight="1" x14ac:dyDescent="0.25">
      <c r="B718" s="145"/>
      <c r="C718" s="139"/>
      <c r="D718" s="146"/>
      <c r="E718" s="139"/>
      <c r="F718" s="139"/>
      <c r="G718" s="139"/>
      <c r="H718" s="139"/>
      <c r="I718" s="139"/>
      <c r="J718" s="139"/>
      <c r="K718" s="139"/>
      <c r="L718" s="243"/>
      <c r="M718" s="243"/>
      <c r="N718" s="139"/>
      <c r="O718" s="139"/>
      <c r="P718" s="139"/>
      <c r="Q718" s="147"/>
      <c r="R718" s="139"/>
      <c r="S718" s="139"/>
      <c r="T718" s="139"/>
      <c r="U718" s="139"/>
      <c r="V718" s="139"/>
      <c r="W718" s="139"/>
      <c r="X718" s="146"/>
      <c r="Y718" s="148"/>
      <c r="Z718" s="145"/>
      <c r="AA718" s="139"/>
      <c r="AB718" s="149"/>
      <c r="AC718" s="11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74"/>
      <c r="AR718" s="222"/>
    </row>
    <row r="719" spans="2:44" s="140" customFormat="1" ht="18" customHeight="1" x14ac:dyDescent="0.25">
      <c r="B719" s="145"/>
      <c r="C719" s="139"/>
      <c r="D719" s="146"/>
      <c r="E719" s="139"/>
      <c r="F719" s="139"/>
      <c r="G719" s="139"/>
      <c r="H719" s="139"/>
      <c r="I719" s="139"/>
      <c r="J719" s="139"/>
      <c r="K719" s="139"/>
      <c r="L719" s="243"/>
      <c r="M719" s="243"/>
      <c r="N719" s="139"/>
      <c r="O719" s="139"/>
      <c r="P719" s="139"/>
      <c r="Q719" s="147"/>
      <c r="R719" s="139"/>
      <c r="S719" s="139"/>
      <c r="T719" s="139"/>
      <c r="U719" s="139"/>
      <c r="V719" s="139"/>
      <c r="W719" s="139"/>
      <c r="X719" s="146"/>
      <c r="Y719" s="148"/>
      <c r="Z719" s="145"/>
      <c r="AA719" s="139"/>
      <c r="AB719" s="149"/>
      <c r="AC719" s="11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74"/>
      <c r="AR719" s="222"/>
    </row>
    <row r="720" spans="2:44" s="140" customFormat="1" ht="18" customHeight="1" x14ac:dyDescent="0.25">
      <c r="B720" s="145"/>
      <c r="C720" s="139"/>
      <c r="D720" s="146"/>
      <c r="E720" s="139"/>
      <c r="F720" s="139"/>
      <c r="G720" s="139"/>
      <c r="H720" s="139"/>
      <c r="I720" s="139"/>
      <c r="J720" s="139"/>
      <c r="K720" s="139"/>
      <c r="L720" s="243"/>
      <c r="M720" s="243"/>
      <c r="N720" s="139"/>
      <c r="O720" s="139"/>
      <c r="P720" s="139"/>
      <c r="Q720" s="147"/>
      <c r="R720" s="139"/>
      <c r="S720" s="139"/>
      <c r="T720" s="139"/>
      <c r="U720" s="139"/>
      <c r="V720" s="139"/>
      <c r="W720" s="139"/>
      <c r="X720" s="146"/>
      <c r="Y720" s="148"/>
      <c r="Z720" s="145"/>
      <c r="AA720" s="139"/>
      <c r="AB720" s="149"/>
      <c r="AC720" s="11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74"/>
      <c r="AR720" s="222"/>
    </row>
    <row r="721" spans="2:44" s="140" customFormat="1" ht="18" customHeight="1" x14ac:dyDescent="0.25">
      <c r="B721" s="145"/>
      <c r="C721" s="139"/>
      <c r="D721" s="146"/>
      <c r="E721" s="139"/>
      <c r="F721" s="139"/>
      <c r="G721" s="139"/>
      <c r="H721" s="139"/>
      <c r="I721" s="139"/>
      <c r="J721" s="139"/>
      <c r="K721" s="139"/>
      <c r="L721" s="243"/>
      <c r="M721" s="243"/>
      <c r="N721" s="139"/>
      <c r="O721" s="139"/>
      <c r="P721" s="139"/>
      <c r="Q721" s="147"/>
      <c r="R721" s="139"/>
      <c r="S721" s="139"/>
      <c r="T721" s="139"/>
      <c r="U721" s="139"/>
      <c r="V721" s="139"/>
      <c r="W721" s="139"/>
      <c r="X721" s="146"/>
      <c r="Y721" s="148"/>
      <c r="Z721" s="145"/>
      <c r="AA721" s="139"/>
      <c r="AB721" s="149"/>
      <c r="AC721" s="11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74"/>
      <c r="AR721" s="222"/>
    </row>
    <row r="722" spans="2:44" s="140" customFormat="1" ht="18" customHeight="1" x14ac:dyDescent="0.25">
      <c r="B722" s="145"/>
      <c r="C722" s="139"/>
      <c r="D722" s="146"/>
      <c r="E722" s="139"/>
      <c r="F722" s="139"/>
      <c r="G722" s="139"/>
      <c r="H722" s="139"/>
      <c r="I722" s="139"/>
      <c r="J722" s="139"/>
      <c r="K722" s="139"/>
      <c r="L722" s="243"/>
      <c r="M722" s="243"/>
      <c r="N722" s="139"/>
      <c r="O722" s="139"/>
      <c r="P722" s="139"/>
      <c r="Q722" s="147"/>
      <c r="R722" s="139"/>
      <c r="S722" s="139"/>
      <c r="T722" s="139"/>
      <c r="U722" s="139"/>
      <c r="V722" s="139"/>
      <c r="W722" s="139"/>
      <c r="X722" s="146"/>
      <c r="Y722" s="148"/>
      <c r="Z722" s="145"/>
      <c r="AA722" s="139"/>
      <c r="AB722" s="149"/>
      <c r="AC722" s="11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74"/>
      <c r="AR722" s="222"/>
    </row>
    <row r="723" spans="2:44" s="22" customFormat="1" ht="18" customHeight="1" x14ac:dyDescent="0.25">
      <c r="B723" s="145"/>
      <c r="C723" s="139"/>
      <c r="D723" s="146"/>
      <c r="E723" s="139"/>
      <c r="F723" s="139"/>
      <c r="G723" s="139"/>
      <c r="H723" s="139"/>
      <c r="I723" s="139"/>
      <c r="J723" s="139"/>
      <c r="K723" s="139"/>
      <c r="L723" s="243"/>
      <c r="M723" s="243"/>
      <c r="N723" s="139"/>
      <c r="O723" s="139"/>
      <c r="P723" s="139"/>
      <c r="Q723" s="147"/>
      <c r="R723" s="139"/>
      <c r="S723" s="139"/>
      <c r="T723" s="139"/>
      <c r="U723" s="139"/>
      <c r="V723" s="139"/>
      <c r="W723" s="139"/>
      <c r="X723" s="146"/>
      <c r="Y723" s="148"/>
      <c r="Z723" s="145"/>
      <c r="AA723" s="139"/>
      <c r="AB723" s="149"/>
      <c r="AC723" s="11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74"/>
      <c r="AR723" s="222"/>
    </row>
    <row r="724" spans="2:44" s="22" customFormat="1" ht="18" customHeight="1" x14ac:dyDescent="0.25">
      <c r="B724" s="145"/>
      <c r="C724" s="139"/>
      <c r="D724" s="146"/>
      <c r="E724" s="139"/>
      <c r="F724" s="139"/>
      <c r="G724" s="139"/>
      <c r="H724" s="139"/>
      <c r="I724" s="139"/>
      <c r="J724" s="139"/>
      <c r="K724" s="139"/>
      <c r="L724" s="243"/>
      <c r="M724" s="243"/>
      <c r="N724" s="139"/>
      <c r="O724" s="139"/>
      <c r="P724" s="139"/>
      <c r="Q724" s="147"/>
      <c r="R724" s="139"/>
      <c r="S724" s="139"/>
      <c r="T724" s="139"/>
      <c r="U724" s="139"/>
      <c r="V724" s="139"/>
      <c r="W724" s="139"/>
      <c r="X724" s="146"/>
      <c r="Y724" s="148"/>
      <c r="Z724" s="145"/>
      <c r="AA724" s="139"/>
      <c r="AB724" s="149"/>
      <c r="AC724" s="11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74"/>
      <c r="AR724" s="222"/>
    </row>
    <row r="725" spans="2:44" s="22" customFormat="1" ht="18" customHeight="1" x14ac:dyDescent="0.25">
      <c r="B725" s="145"/>
      <c r="C725" s="139"/>
      <c r="D725" s="146"/>
      <c r="E725" s="139"/>
      <c r="F725" s="139"/>
      <c r="G725" s="139"/>
      <c r="H725" s="139"/>
      <c r="I725" s="139"/>
      <c r="J725" s="139"/>
      <c r="K725" s="139"/>
      <c r="L725" s="243"/>
      <c r="M725" s="243"/>
      <c r="N725" s="139"/>
      <c r="O725" s="139"/>
      <c r="P725" s="139"/>
      <c r="Q725" s="147"/>
      <c r="R725" s="139"/>
      <c r="S725" s="139"/>
      <c r="T725" s="139"/>
      <c r="U725" s="139"/>
      <c r="V725" s="139"/>
      <c r="W725" s="139"/>
      <c r="X725" s="146"/>
      <c r="Y725" s="148"/>
      <c r="Z725" s="145"/>
      <c r="AA725" s="139"/>
      <c r="AB725" s="149"/>
      <c r="AC725" s="11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74"/>
      <c r="AR725" s="222"/>
    </row>
    <row r="726" spans="2:44" s="22" customFormat="1" ht="18" customHeight="1" x14ac:dyDescent="0.25">
      <c r="B726" s="145"/>
      <c r="C726" s="139"/>
      <c r="D726" s="146"/>
      <c r="E726" s="139"/>
      <c r="F726" s="139"/>
      <c r="G726" s="139"/>
      <c r="H726" s="139"/>
      <c r="I726" s="139"/>
      <c r="J726" s="139"/>
      <c r="K726" s="139"/>
      <c r="L726" s="243"/>
      <c r="M726" s="243"/>
      <c r="N726" s="139"/>
      <c r="O726" s="139"/>
      <c r="P726" s="139"/>
      <c r="Q726" s="147"/>
      <c r="R726" s="139"/>
      <c r="S726" s="139"/>
      <c r="T726" s="139"/>
      <c r="U726" s="139"/>
      <c r="V726" s="139"/>
      <c r="W726" s="139"/>
      <c r="X726" s="146"/>
      <c r="Y726" s="148"/>
      <c r="Z726" s="145"/>
      <c r="AA726" s="139"/>
      <c r="AB726" s="149"/>
      <c r="AC726" s="11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74"/>
      <c r="AR726" s="222"/>
    </row>
    <row r="727" spans="2:44" s="22" customFormat="1" ht="18" customHeight="1" x14ac:dyDescent="0.25">
      <c r="B727" s="145"/>
      <c r="C727" s="139"/>
      <c r="D727" s="146"/>
      <c r="E727" s="139"/>
      <c r="F727" s="139"/>
      <c r="G727" s="139"/>
      <c r="H727" s="139"/>
      <c r="I727" s="139"/>
      <c r="J727" s="139"/>
      <c r="K727" s="139"/>
      <c r="L727" s="243"/>
      <c r="M727" s="243"/>
      <c r="N727" s="139"/>
      <c r="O727" s="139"/>
      <c r="P727" s="139"/>
      <c r="Q727" s="147"/>
      <c r="R727" s="139"/>
      <c r="S727" s="139"/>
      <c r="T727" s="139"/>
      <c r="U727" s="139"/>
      <c r="V727" s="139"/>
      <c r="W727" s="139"/>
      <c r="X727" s="146"/>
      <c r="Y727" s="148"/>
      <c r="Z727" s="145"/>
      <c r="AA727" s="139"/>
      <c r="AB727" s="149"/>
      <c r="AC727" s="11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74"/>
      <c r="AR727" s="222"/>
    </row>
    <row r="728" spans="2:44" s="22" customFormat="1" ht="18" customHeight="1" x14ac:dyDescent="0.25">
      <c r="B728" s="145"/>
      <c r="C728" s="139"/>
      <c r="D728" s="146"/>
      <c r="E728" s="139"/>
      <c r="F728" s="139"/>
      <c r="G728" s="139"/>
      <c r="H728" s="139"/>
      <c r="I728" s="139"/>
      <c r="J728" s="139"/>
      <c r="K728" s="139"/>
      <c r="L728" s="243"/>
      <c r="M728" s="243"/>
      <c r="N728" s="139"/>
      <c r="O728" s="139"/>
      <c r="P728" s="139"/>
      <c r="Q728" s="147"/>
      <c r="R728" s="139"/>
      <c r="S728" s="139"/>
      <c r="T728" s="139"/>
      <c r="U728" s="139"/>
      <c r="V728" s="139"/>
      <c r="W728" s="139"/>
      <c r="X728" s="146"/>
      <c r="Y728" s="148"/>
      <c r="Z728" s="145"/>
      <c r="AA728" s="139"/>
      <c r="AB728" s="149"/>
      <c r="AC728" s="11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74"/>
      <c r="AR728" s="222"/>
    </row>
    <row r="729" spans="2:44" s="22" customFormat="1" ht="18" customHeight="1" x14ac:dyDescent="0.25">
      <c r="B729" s="145"/>
      <c r="C729" s="139"/>
      <c r="D729" s="146"/>
      <c r="E729" s="139"/>
      <c r="F729" s="139"/>
      <c r="G729" s="139"/>
      <c r="H729" s="139"/>
      <c r="I729" s="139"/>
      <c r="J729" s="139"/>
      <c r="K729" s="139"/>
      <c r="L729" s="243"/>
      <c r="M729" s="243"/>
      <c r="N729" s="139"/>
      <c r="O729" s="139"/>
      <c r="P729" s="139"/>
      <c r="Q729" s="147"/>
      <c r="R729" s="139"/>
      <c r="S729" s="139"/>
      <c r="T729" s="139"/>
      <c r="U729" s="139"/>
      <c r="V729" s="139"/>
      <c r="W729" s="139"/>
      <c r="X729" s="146"/>
      <c r="Y729" s="148"/>
      <c r="Z729" s="145"/>
      <c r="AA729" s="139"/>
      <c r="AB729" s="149"/>
      <c r="AC729" s="11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74"/>
      <c r="AR729" s="222"/>
    </row>
    <row r="730" spans="2:44" s="22" customFormat="1" ht="18" customHeight="1" x14ac:dyDescent="0.25">
      <c r="B730" s="145"/>
      <c r="C730" s="139"/>
      <c r="D730" s="146"/>
      <c r="E730" s="139"/>
      <c r="F730" s="139"/>
      <c r="G730" s="139"/>
      <c r="H730" s="139"/>
      <c r="I730" s="139"/>
      <c r="J730" s="139"/>
      <c r="K730" s="139"/>
      <c r="L730" s="243"/>
      <c r="M730" s="243"/>
      <c r="N730" s="139"/>
      <c r="O730" s="139"/>
      <c r="P730" s="139"/>
      <c r="Q730" s="147"/>
      <c r="R730" s="139"/>
      <c r="S730" s="139"/>
      <c r="T730" s="139"/>
      <c r="U730" s="139"/>
      <c r="V730" s="139"/>
      <c r="W730" s="139"/>
      <c r="X730" s="146"/>
      <c r="Y730" s="148"/>
      <c r="Z730" s="145"/>
      <c r="AA730" s="139"/>
      <c r="AB730" s="149"/>
      <c r="AC730" s="11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74"/>
      <c r="AR730" s="222"/>
    </row>
    <row r="731" spans="2:44" s="22" customFormat="1" ht="18" customHeight="1" x14ac:dyDescent="0.25">
      <c r="B731" s="145"/>
      <c r="C731" s="139"/>
      <c r="D731" s="146"/>
      <c r="E731" s="139"/>
      <c r="F731" s="139"/>
      <c r="G731" s="139"/>
      <c r="H731" s="139"/>
      <c r="I731" s="139"/>
      <c r="J731" s="139"/>
      <c r="K731" s="139"/>
      <c r="L731" s="243"/>
      <c r="M731" s="243"/>
      <c r="N731" s="139"/>
      <c r="O731" s="139"/>
      <c r="P731" s="139"/>
      <c r="Q731" s="147"/>
      <c r="R731" s="139"/>
      <c r="S731" s="139"/>
      <c r="T731" s="139"/>
      <c r="U731" s="139"/>
      <c r="V731" s="139"/>
      <c r="W731" s="139"/>
      <c r="X731" s="146"/>
      <c r="Y731" s="148"/>
      <c r="Z731" s="145"/>
      <c r="AA731" s="139"/>
      <c r="AB731" s="149"/>
      <c r="AC731" s="11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74"/>
      <c r="AR731" s="222"/>
    </row>
    <row r="732" spans="2:44" s="22" customFormat="1" ht="18" customHeight="1" x14ac:dyDescent="0.25">
      <c r="B732" s="145"/>
      <c r="C732" s="139"/>
      <c r="D732" s="146"/>
      <c r="E732" s="139"/>
      <c r="F732" s="139"/>
      <c r="G732" s="139"/>
      <c r="H732" s="139"/>
      <c r="I732" s="139"/>
      <c r="J732" s="139"/>
      <c r="K732" s="139"/>
      <c r="L732" s="243"/>
      <c r="M732" s="243"/>
      <c r="N732" s="139"/>
      <c r="O732" s="139"/>
      <c r="P732" s="139"/>
      <c r="Q732" s="147"/>
      <c r="R732" s="139"/>
      <c r="S732" s="139"/>
      <c r="T732" s="139"/>
      <c r="U732" s="139"/>
      <c r="V732" s="139"/>
      <c r="W732" s="139"/>
      <c r="X732" s="146"/>
      <c r="Y732" s="148"/>
      <c r="Z732" s="145"/>
      <c r="AA732" s="139"/>
      <c r="AB732" s="149"/>
      <c r="AC732" s="11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74"/>
      <c r="AR732" s="222"/>
    </row>
    <row r="733" spans="2:44" s="22" customFormat="1" ht="18" customHeight="1" x14ac:dyDescent="0.25">
      <c r="B733" s="145"/>
      <c r="C733" s="139"/>
      <c r="D733" s="146"/>
      <c r="E733" s="139"/>
      <c r="F733" s="139"/>
      <c r="G733" s="139"/>
      <c r="H733" s="139"/>
      <c r="I733" s="139"/>
      <c r="J733" s="139"/>
      <c r="K733" s="139"/>
      <c r="L733" s="243"/>
      <c r="M733" s="243"/>
      <c r="N733" s="139"/>
      <c r="O733" s="139"/>
      <c r="P733" s="139"/>
      <c r="Q733" s="147"/>
      <c r="R733" s="139"/>
      <c r="S733" s="139"/>
      <c r="T733" s="139"/>
      <c r="U733" s="139"/>
      <c r="V733" s="139"/>
      <c r="W733" s="139"/>
      <c r="X733" s="146"/>
      <c r="Y733" s="148"/>
      <c r="Z733" s="145"/>
      <c r="AA733" s="139"/>
      <c r="AB733" s="149"/>
      <c r="AC733" s="11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74"/>
      <c r="AR733" s="222"/>
    </row>
    <row r="734" spans="2:44" s="22" customFormat="1" ht="18" customHeight="1" x14ac:dyDescent="0.25">
      <c r="B734" s="145"/>
      <c r="C734" s="139"/>
      <c r="D734" s="146"/>
      <c r="E734" s="139"/>
      <c r="F734" s="139"/>
      <c r="G734" s="139"/>
      <c r="H734" s="139"/>
      <c r="I734" s="139"/>
      <c r="J734" s="139"/>
      <c r="K734" s="139"/>
      <c r="L734" s="243"/>
      <c r="M734" s="243"/>
      <c r="N734" s="139"/>
      <c r="O734" s="139"/>
      <c r="P734" s="139"/>
      <c r="Q734" s="147"/>
      <c r="R734" s="139"/>
      <c r="S734" s="139"/>
      <c r="T734" s="139"/>
      <c r="U734" s="139"/>
      <c r="V734" s="139"/>
      <c r="W734" s="139"/>
      <c r="X734" s="146"/>
      <c r="Y734" s="148"/>
      <c r="Z734" s="145"/>
      <c r="AA734" s="139"/>
      <c r="AB734" s="149"/>
      <c r="AC734" s="11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74"/>
      <c r="AR734" s="222"/>
    </row>
    <row r="735" spans="2:44" s="22" customFormat="1" ht="18" customHeight="1" x14ac:dyDescent="0.25">
      <c r="B735" s="145"/>
      <c r="C735" s="139"/>
      <c r="D735" s="146"/>
      <c r="E735" s="139"/>
      <c r="F735" s="139"/>
      <c r="G735" s="139"/>
      <c r="H735" s="139"/>
      <c r="I735" s="139"/>
      <c r="J735" s="139"/>
      <c r="K735" s="139"/>
      <c r="L735" s="243"/>
      <c r="M735" s="243"/>
      <c r="N735" s="139"/>
      <c r="O735" s="139"/>
      <c r="P735" s="139"/>
      <c r="Q735" s="147"/>
      <c r="R735" s="139"/>
      <c r="S735" s="139"/>
      <c r="T735" s="139"/>
      <c r="U735" s="139"/>
      <c r="V735" s="139"/>
      <c r="W735" s="139"/>
      <c r="X735" s="146"/>
      <c r="Y735" s="148"/>
      <c r="Z735" s="145"/>
      <c r="AA735" s="139"/>
      <c r="AB735" s="149"/>
      <c r="AC735" s="11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74"/>
      <c r="AR735" s="222"/>
    </row>
    <row r="736" spans="2:44" s="22" customFormat="1" ht="18" customHeight="1" x14ac:dyDescent="0.25">
      <c r="B736" s="145"/>
      <c r="C736" s="139"/>
      <c r="D736" s="146"/>
      <c r="E736" s="139"/>
      <c r="F736" s="139"/>
      <c r="G736" s="139"/>
      <c r="H736" s="139"/>
      <c r="I736" s="139"/>
      <c r="J736" s="139"/>
      <c r="K736" s="139"/>
      <c r="L736" s="243"/>
      <c r="M736" s="243"/>
      <c r="N736" s="139"/>
      <c r="O736" s="139"/>
      <c r="P736" s="139"/>
      <c r="Q736" s="147"/>
      <c r="R736" s="139"/>
      <c r="S736" s="139"/>
      <c r="T736" s="139"/>
      <c r="U736" s="139"/>
      <c r="V736" s="139"/>
      <c r="W736" s="139"/>
      <c r="X736" s="146"/>
      <c r="Y736" s="148"/>
      <c r="Z736" s="145"/>
      <c r="AA736" s="139"/>
      <c r="AB736" s="149"/>
      <c r="AC736" s="11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74"/>
      <c r="AR736" s="222"/>
    </row>
    <row r="737" spans="2:44" s="22" customFormat="1" ht="18" customHeight="1" x14ac:dyDescent="0.25">
      <c r="B737" s="145"/>
      <c r="C737" s="139"/>
      <c r="D737" s="146"/>
      <c r="E737" s="139"/>
      <c r="F737" s="139"/>
      <c r="G737" s="139"/>
      <c r="H737" s="139"/>
      <c r="I737" s="139"/>
      <c r="J737" s="139"/>
      <c r="K737" s="139"/>
      <c r="L737" s="243"/>
      <c r="M737" s="243"/>
      <c r="N737" s="139"/>
      <c r="O737" s="139"/>
      <c r="P737" s="139"/>
      <c r="Q737" s="147"/>
      <c r="R737" s="139"/>
      <c r="S737" s="139"/>
      <c r="T737" s="139"/>
      <c r="U737" s="139"/>
      <c r="V737" s="139"/>
      <c r="W737" s="139"/>
      <c r="X737" s="146"/>
      <c r="Y737" s="148"/>
      <c r="Z737" s="145"/>
      <c r="AA737" s="139"/>
      <c r="AB737" s="149"/>
      <c r="AC737" s="11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74"/>
      <c r="AR737" s="222"/>
    </row>
    <row r="738" spans="2:44" s="22" customFormat="1" ht="18" customHeight="1" x14ac:dyDescent="0.25">
      <c r="B738" s="145"/>
      <c r="C738" s="139"/>
      <c r="D738" s="146"/>
      <c r="E738" s="139"/>
      <c r="F738" s="139"/>
      <c r="G738" s="139"/>
      <c r="H738" s="139"/>
      <c r="I738" s="139"/>
      <c r="J738" s="139"/>
      <c r="K738" s="139"/>
      <c r="L738" s="243"/>
      <c r="M738" s="243"/>
      <c r="N738" s="139"/>
      <c r="O738" s="139"/>
      <c r="P738" s="139"/>
      <c r="Q738" s="147"/>
      <c r="R738" s="139"/>
      <c r="S738" s="139"/>
      <c r="T738" s="139"/>
      <c r="U738" s="139"/>
      <c r="V738" s="139"/>
      <c r="W738" s="139"/>
      <c r="X738" s="146"/>
      <c r="Y738" s="148"/>
      <c r="Z738" s="145"/>
      <c r="AA738" s="139"/>
      <c r="AB738" s="149"/>
      <c r="AC738" s="11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74"/>
      <c r="AR738" s="222"/>
    </row>
    <row r="739" spans="2:44" s="22" customFormat="1" ht="18" customHeight="1" x14ac:dyDescent="0.25">
      <c r="B739" s="145"/>
      <c r="C739" s="139"/>
      <c r="D739" s="146"/>
      <c r="E739" s="139"/>
      <c r="F739" s="139"/>
      <c r="G739" s="139"/>
      <c r="H739" s="139"/>
      <c r="I739" s="139"/>
      <c r="J739" s="139"/>
      <c r="K739" s="139"/>
      <c r="L739" s="243"/>
      <c r="M739" s="243"/>
      <c r="N739" s="139"/>
      <c r="O739" s="139"/>
      <c r="P739" s="139"/>
      <c r="Q739" s="147"/>
      <c r="R739" s="139"/>
      <c r="S739" s="139"/>
      <c r="T739" s="139"/>
      <c r="U739" s="139"/>
      <c r="V739" s="139"/>
      <c r="W739" s="139"/>
      <c r="X739" s="146"/>
      <c r="Y739" s="148"/>
      <c r="Z739" s="145"/>
      <c r="AA739" s="139"/>
      <c r="AB739" s="149"/>
      <c r="AC739" s="11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74"/>
      <c r="AR739" s="222"/>
    </row>
    <row r="740" spans="2:44" s="22" customFormat="1" ht="18" customHeight="1" x14ac:dyDescent="0.25">
      <c r="B740" s="145"/>
      <c r="C740" s="139"/>
      <c r="D740" s="146"/>
      <c r="E740" s="139"/>
      <c r="F740" s="139"/>
      <c r="G740" s="139"/>
      <c r="H740" s="139"/>
      <c r="I740" s="139"/>
      <c r="J740" s="139"/>
      <c r="K740" s="139"/>
      <c r="L740" s="243"/>
      <c r="M740" s="243"/>
      <c r="N740" s="139"/>
      <c r="O740" s="139"/>
      <c r="P740" s="139"/>
      <c r="Q740" s="147"/>
      <c r="R740" s="139"/>
      <c r="S740" s="139"/>
      <c r="T740" s="139"/>
      <c r="U740" s="139"/>
      <c r="V740" s="139"/>
      <c r="W740" s="139"/>
      <c r="X740" s="146"/>
      <c r="Y740" s="148"/>
      <c r="Z740" s="145"/>
      <c r="AA740" s="139"/>
      <c r="AB740" s="149"/>
      <c r="AC740" s="11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74"/>
      <c r="AR740" s="222"/>
    </row>
    <row r="741" spans="2:44" s="22" customFormat="1" ht="18" customHeight="1" x14ac:dyDescent="0.25">
      <c r="B741" s="145"/>
      <c r="C741" s="139"/>
      <c r="D741" s="146"/>
      <c r="E741" s="139"/>
      <c r="F741" s="139"/>
      <c r="G741" s="139"/>
      <c r="H741" s="139"/>
      <c r="I741" s="139"/>
      <c r="J741" s="139"/>
      <c r="K741" s="139"/>
      <c r="L741" s="243"/>
      <c r="M741" s="243"/>
      <c r="N741" s="139"/>
      <c r="O741" s="139"/>
      <c r="P741" s="139"/>
      <c r="Q741" s="147"/>
      <c r="R741" s="139"/>
      <c r="S741" s="139"/>
      <c r="T741" s="139"/>
      <c r="U741" s="139"/>
      <c r="V741" s="139"/>
      <c r="W741" s="139"/>
      <c r="X741" s="146"/>
      <c r="Y741" s="148"/>
      <c r="Z741" s="145"/>
      <c r="AA741" s="139"/>
      <c r="AB741" s="149"/>
      <c r="AC741" s="11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74"/>
      <c r="AR741" s="222"/>
    </row>
    <row r="742" spans="2:44" s="22" customFormat="1" ht="18" customHeight="1" x14ac:dyDescent="0.25">
      <c r="B742" s="145"/>
      <c r="C742" s="139"/>
      <c r="D742" s="146"/>
      <c r="E742" s="139"/>
      <c r="F742" s="139"/>
      <c r="G742" s="139"/>
      <c r="H742" s="139"/>
      <c r="I742" s="139"/>
      <c r="J742" s="139"/>
      <c r="K742" s="139"/>
      <c r="L742" s="243"/>
      <c r="M742" s="243"/>
      <c r="N742" s="139"/>
      <c r="O742" s="139"/>
      <c r="P742" s="139"/>
      <c r="Q742" s="147"/>
      <c r="R742" s="139"/>
      <c r="S742" s="139"/>
      <c r="T742" s="139"/>
      <c r="U742" s="139"/>
      <c r="V742" s="139"/>
      <c r="W742" s="139"/>
      <c r="X742" s="146"/>
      <c r="Y742" s="148"/>
      <c r="Z742" s="145"/>
      <c r="AA742" s="139"/>
      <c r="AB742" s="149"/>
      <c r="AC742" s="11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74"/>
      <c r="AR742" s="222"/>
    </row>
    <row r="743" spans="2:44" s="22" customFormat="1" ht="18" customHeight="1" x14ac:dyDescent="0.25">
      <c r="B743" s="145"/>
      <c r="C743" s="139"/>
      <c r="D743" s="146"/>
      <c r="E743" s="139"/>
      <c r="F743" s="139"/>
      <c r="G743" s="139"/>
      <c r="H743" s="139"/>
      <c r="I743" s="139"/>
      <c r="J743" s="139"/>
      <c r="K743" s="139"/>
      <c r="L743" s="243"/>
      <c r="M743" s="243"/>
      <c r="N743" s="139"/>
      <c r="O743" s="139"/>
      <c r="P743" s="139"/>
      <c r="Q743" s="147"/>
      <c r="R743" s="139"/>
      <c r="S743" s="139"/>
      <c r="T743" s="139"/>
      <c r="U743" s="139"/>
      <c r="V743" s="139"/>
      <c r="W743" s="139"/>
      <c r="X743" s="146"/>
      <c r="Y743" s="148"/>
      <c r="Z743" s="145"/>
      <c r="AA743" s="139"/>
      <c r="AB743" s="149"/>
      <c r="AC743" s="11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74"/>
      <c r="AR743" s="222"/>
    </row>
    <row r="744" spans="2:44" s="22" customFormat="1" ht="18" customHeight="1" x14ac:dyDescent="0.25">
      <c r="B744" s="145"/>
      <c r="C744" s="139"/>
      <c r="D744" s="146"/>
      <c r="E744" s="139"/>
      <c r="F744" s="139"/>
      <c r="G744" s="139"/>
      <c r="H744" s="139"/>
      <c r="I744" s="139"/>
      <c r="J744" s="139"/>
      <c r="K744" s="139"/>
      <c r="L744" s="243"/>
      <c r="M744" s="243"/>
      <c r="N744" s="139"/>
      <c r="O744" s="139"/>
      <c r="P744" s="139"/>
      <c r="Q744" s="147"/>
      <c r="R744" s="139"/>
      <c r="S744" s="139"/>
      <c r="T744" s="139"/>
      <c r="U744" s="139"/>
      <c r="V744" s="139"/>
      <c r="W744" s="139"/>
      <c r="X744" s="146"/>
      <c r="Y744" s="148"/>
      <c r="Z744" s="145"/>
      <c r="AA744" s="139"/>
      <c r="AB744" s="149"/>
      <c r="AC744" s="11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74"/>
      <c r="AR744" s="222"/>
    </row>
    <row r="745" spans="2:44" s="22" customFormat="1" ht="18" customHeight="1" x14ac:dyDescent="0.25">
      <c r="B745" s="145"/>
      <c r="C745" s="139"/>
      <c r="D745" s="146"/>
      <c r="E745" s="139"/>
      <c r="F745" s="139"/>
      <c r="G745" s="139"/>
      <c r="H745" s="139"/>
      <c r="I745" s="139"/>
      <c r="J745" s="139"/>
      <c r="K745" s="139"/>
      <c r="L745" s="243"/>
      <c r="M745" s="243"/>
      <c r="N745" s="139"/>
      <c r="O745" s="139"/>
      <c r="P745" s="139"/>
      <c r="Q745" s="147"/>
      <c r="R745" s="139"/>
      <c r="S745" s="139"/>
      <c r="T745" s="139"/>
      <c r="U745" s="139"/>
      <c r="V745" s="139"/>
      <c r="W745" s="139"/>
      <c r="X745" s="146"/>
      <c r="Y745" s="148"/>
      <c r="Z745" s="145"/>
      <c r="AA745" s="139"/>
      <c r="AB745" s="149"/>
      <c r="AC745" s="11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74"/>
      <c r="AR745" s="222"/>
    </row>
    <row r="746" spans="2:44" s="22" customFormat="1" ht="18" customHeight="1" x14ac:dyDescent="0.25">
      <c r="B746" s="145"/>
      <c r="C746" s="139"/>
      <c r="D746" s="146"/>
      <c r="E746" s="139"/>
      <c r="F746" s="139"/>
      <c r="G746" s="139"/>
      <c r="H746" s="139"/>
      <c r="I746" s="139"/>
      <c r="J746" s="139"/>
      <c r="K746" s="139"/>
      <c r="L746" s="243"/>
      <c r="M746" s="243"/>
      <c r="N746" s="139"/>
      <c r="O746" s="139"/>
      <c r="P746" s="139"/>
      <c r="Q746" s="147"/>
      <c r="R746" s="139"/>
      <c r="S746" s="139"/>
      <c r="T746" s="139"/>
      <c r="U746" s="139"/>
      <c r="V746" s="139"/>
      <c r="W746" s="139"/>
      <c r="X746" s="146"/>
      <c r="Y746" s="148"/>
      <c r="Z746" s="145"/>
      <c r="AA746" s="139"/>
      <c r="AB746" s="149"/>
      <c r="AC746" s="11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74"/>
      <c r="AR746" s="222"/>
    </row>
    <row r="747" spans="2:44" s="22" customFormat="1" ht="18" customHeight="1" x14ac:dyDescent="0.25">
      <c r="B747" s="145"/>
      <c r="C747" s="139"/>
      <c r="D747" s="146"/>
      <c r="E747" s="139"/>
      <c r="F747" s="139"/>
      <c r="G747" s="139"/>
      <c r="H747" s="139"/>
      <c r="I747" s="139"/>
      <c r="J747" s="139"/>
      <c r="K747" s="139"/>
      <c r="L747" s="243"/>
      <c r="M747" s="243"/>
      <c r="N747" s="139"/>
      <c r="O747" s="139"/>
      <c r="P747" s="139"/>
      <c r="Q747" s="147"/>
      <c r="R747" s="139"/>
      <c r="S747" s="139"/>
      <c r="T747" s="139"/>
      <c r="U747" s="139"/>
      <c r="V747" s="139"/>
      <c r="W747" s="139"/>
      <c r="X747" s="146"/>
      <c r="Y747" s="148"/>
      <c r="Z747" s="145"/>
      <c r="AA747" s="139"/>
      <c r="AB747" s="149"/>
      <c r="AC747" s="11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74"/>
      <c r="AR747" s="222"/>
    </row>
    <row r="748" spans="2:44" s="22" customFormat="1" ht="18" customHeight="1" x14ac:dyDescent="0.25">
      <c r="B748" s="145"/>
      <c r="C748" s="139"/>
      <c r="D748" s="146"/>
      <c r="E748" s="139"/>
      <c r="F748" s="139"/>
      <c r="G748" s="139"/>
      <c r="H748" s="139"/>
      <c r="I748" s="139"/>
      <c r="J748" s="139"/>
      <c r="K748" s="139"/>
      <c r="L748" s="243"/>
      <c r="M748" s="243"/>
      <c r="N748" s="139"/>
      <c r="O748" s="139"/>
      <c r="P748" s="139"/>
      <c r="Q748" s="147"/>
      <c r="R748" s="139"/>
      <c r="S748" s="139"/>
      <c r="T748" s="139"/>
      <c r="U748" s="139"/>
      <c r="V748" s="139"/>
      <c r="W748" s="139"/>
      <c r="X748" s="146"/>
      <c r="Y748" s="148"/>
      <c r="Z748" s="145"/>
      <c r="AA748" s="139"/>
      <c r="AB748" s="149"/>
      <c r="AC748" s="11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74"/>
      <c r="AR748" s="222"/>
    </row>
    <row r="749" spans="2:44" s="22" customFormat="1" ht="18" customHeight="1" x14ac:dyDescent="0.25">
      <c r="B749" s="145"/>
      <c r="C749" s="139"/>
      <c r="D749" s="146"/>
      <c r="E749" s="139"/>
      <c r="F749" s="139"/>
      <c r="G749" s="139"/>
      <c r="H749" s="139"/>
      <c r="I749" s="139"/>
      <c r="J749" s="139"/>
      <c r="K749" s="139"/>
      <c r="L749" s="243"/>
      <c r="M749" s="243"/>
      <c r="N749" s="139"/>
      <c r="O749" s="139"/>
      <c r="P749" s="139"/>
      <c r="Q749" s="147"/>
      <c r="R749" s="139"/>
      <c r="S749" s="139"/>
      <c r="T749" s="139"/>
      <c r="U749" s="139"/>
      <c r="V749" s="139"/>
      <c r="W749" s="139"/>
      <c r="X749" s="146"/>
      <c r="Y749" s="148"/>
      <c r="Z749" s="145"/>
      <c r="AA749" s="139"/>
      <c r="AB749" s="149"/>
      <c r="AC749" s="11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74"/>
      <c r="AR749" s="222"/>
    </row>
    <row r="750" spans="2:44" s="22" customFormat="1" ht="18" customHeight="1" x14ac:dyDescent="0.25">
      <c r="B750" s="145"/>
      <c r="C750" s="139"/>
      <c r="D750" s="146"/>
      <c r="E750" s="139"/>
      <c r="F750" s="139"/>
      <c r="G750" s="139"/>
      <c r="H750" s="139"/>
      <c r="I750" s="139"/>
      <c r="J750" s="139"/>
      <c r="K750" s="139"/>
      <c r="L750" s="243"/>
      <c r="M750" s="243"/>
      <c r="N750" s="139"/>
      <c r="O750" s="139"/>
      <c r="P750" s="139"/>
      <c r="Q750" s="147"/>
      <c r="R750" s="139"/>
      <c r="S750" s="139"/>
      <c r="T750" s="139"/>
      <c r="U750" s="139"/>
      <c r="V750" s="139"/>
      <c r="W750" s="139"/>
      <c r="X750" s="146"/>
      <c r="Y750" s="148"/>
      <c r="Z750" s="145"/>
      <c r="AA750" s="139"/>
      <c r="AB750" s="149"/>
      <c r="AC750" s="11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74"/>
      <c r="AR750" s="222"/>
    </row>
    <row r="751" spans="2:44" s="22" customFormat="1" ht="18" customHeight="1" x14ac:dyDescent="0.25">
      <c r="B751" s="145"/>
      <c r="C751" s="139"/>
      <c r="D751" s="146"/>
      <c r="E751" s="139"/>
      <c r="F751" s="139"/>
      <c r="G751" s="139"/>
      <c r="H751" s="139"/>
      <c r="I751" s="139"/>
      <c r="J751" s="139"/>
      <c r="K751" s="139"/>
      <c r="L751" s="243"/>
      <c r="M751" s="243"/>
      <c r="N751" s="139"/>
      <c r="O751" s="139"/>
      <c r="P751" s="139"/>
      <c r="Q751" s="147"/>
      <c r="R751" s="139"/>
      <c r="S751" s="139"/>
      <c r="T751" s="139"/>
      <c r="U751" s="139"/>
      <c r="V751" s="139"/>
      <c r="W751" s="139"/>
      <c r="X751" s="146"/>
      <c r="Y751" s="148"/>
      <c r="Z751" s="145"/>
      <c r="AA751" s="139"/>
      <c r="AB751" s="149"/>
      <c r="AC751" s="11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74"/>
      <c r="AR751" s="222"/>
    </row>
    <row r="752" spans="2:44" s="22" customFormat="1" ht="18" customHeight="1" x14ac:dyDescent="0.25">
      <c r="B752" s="145"/>
      <c r="C752" s="139"/>
      <c r="D752" s="146"/>
      <c r="E752" s="139"/>
      <c r="F752" s="139"/>
      <c r="G752" s="139"/>
      <c r="H752" s="139"/>
      <c r="I752" s="139"/>
      <c r="J752" s="139"/>
      <c r="K752" s="139"/>
      <c r="L752" s="243"/>
      <c r="M752" s="243"/>
      <c r="N752" s="139"/>
      <c r="O752" s="139"/>
      <c r="P752" s="139"/>
      <c r="Q752" s="147"/>
      <c r="R752" s="139"/>
      <c r="S752" s="139"/>
      <c r="T752" s="139"/>
      <c r="U752" s="139"/>
      <c r="V752" s="139"/>
      <c r="W752" s="139"/>
      <c r="X752" s="146"/>
      <c r="Y752" s="148"/>
      <c r="Z752" s="145"/>
      <c r="AA752" s="139"/>
      <c r="AB752" s="149"/>
      <c r="AC752" s="11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74"/>
      <c r="AR752" s="222"/>
    </row>
    <row r="753" spans="2:44" s="22" customFormat="1" ht="18" customHeight="1" x14ac:dyDescent="0.25">
      <c r="B753" s="145"/>
      <c r="C753" s="139"/>
      <c r="D753" s="146"/>
      <c r="E753" s="139"/>
      <c r="F753" s="139"/>
      <c r="G753" s="139"/>
      <c r="H753" s="139"/>
      <c r="I753" s="139"/>
      <c r="J753" s="139"/>
      <c r="K753" s="139"/>
      <c r="L753" s="243"/>
      <c r="M753" s="243"/>
      <c r="N753" s="139"/>
      <c r="O753" s="139"/>
      <c r="P753" s="139"/>
      <c r="Q753" s="147"/>
      <c r="R753" s="139"/>
      <c r="S753" s="139"/>
      <c r="T753" s="139"/>
      <c r="U753" s="139"/>
      <c r="V753" s="139"/>
      <c r="W753" s="139"/>
      <c r="X753" s="146"/>
      <c r="Y753" s="148"/>
      <c r="Z753" s="145"/>
      <c r="AA753" s="139"/>
      <c r="AB753" s="149"/>
      <c r="AC753" s="11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74"/>
      <c r="AR753" s="222"/>
    </row>
    <row r="754" spans="2:44" s="22" customFormat="1" ht="18" customHeight="1" x14ac:dyDescent="0.25">
      <c r="B754" s="145"/>
      <c r="C754" s="139"/>
      <c r="D754" s="146"/>
      <c r="E754" s="139"/>
      <c r="F754" s="139"/>
      <c r="G754" s="139"/>
      <c r="H754" s="139"/>
      <c r="I754" s="139"/>
      <c r="J754" s="139"/>
      <c r="K754" s="139"/>
      <c r="L754" s="243"/>
      <c r="M754" s="243"/>
      <c r="N754" s="139"/>
      <c r="O754" s="139"/>
      <c r="P754" s="139"/>
      <c r="Q754" s="147"/>
      <c r="R754" s="139"/>
      <c r="S754" s="139"/>
      <c r="T754" s="139"/>
      <c r="U754" s="139"/>
      <c r="V754" s="139"/>
      <c r="W754" s="139"/>
      <c r="X754" s="146"/>
      <c r="Y754" s="148"/>
      <c r="Z754" s="145"/>
      <c r="AA754" s="139"/>
      <c r="AB754" s="149"/>
      <c r="AC754" s="11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74"/>
      <c r="AR754" s="222"/>
    </row>
    <row r="755" spans="2:44" s="22" customFormat="1" ht="18" customHeight="1" x14ac:dyDescent="0.25">
      <c r="B755" s="145"/>
      <c r="C755" s="139"/>
      <c r="D755" s="146"/>
      <c r="E755" s="139"/>
      <c r="F755" s="139"/>
      <c r="G755" s="139"/>
      <c r="H755" s="139"/>
      <c r="I755" s="139"/>
      <c r="J755" s="139"/>
      <c r="K755" s="139"/>
      <c r="L755" s="243"/>
      <c r="M755" s="243"/>
      <c r="N755" s="139"/>
      <c r="O755" s="139"/>
      <c r="P755" s="139"/>
      <c r="Q755" s="147"/>
      <c r="R755" s="139"/>
      <c r="S755" s="139"/>
      <c r="T755" s="139"/>
      <c r="U755" s="139"/>
      <c r="V755" s="139"/>
      <c r="W755" s="139"/>
      <c r="X755" s="146"/>
      <c r="Y755" s="148"/>
      <c r="Z755" s="145"/>
      <c r="AA755" s="139"/>
      <c r="AB755" s="149"/>
      <c r="AC755" s="11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74"/>
      <c r="AR755" s="222"/>
    </row>
    <row r="756" spans="2:44" s="22" customFormat="1" ht="18" customHeight="1" x14ac:dyDescent="0.25">
      <c r="B756" s="145"/>
      <c r="C756" s="139"/>
      <c r="D756" s="146"/>
      <c r="E756" s="139"/>
      <c r="F756" s="139"/>
      <c r="G756" s="139"/>
      <c r="H756" s="139"/>
      <c r="I756" s="139"/>
      <c r="J756" s="139"/>
      <c r="K756" s="139"/>
      <c r="L756" s="243"/>
      <c r="M756" s="243"/>
      <c r="N756" s="139"/>
      <c r="O756" s="139"/>
      <c r="P756" s="139"/>
      <c r="Q756" s="147"/>
      <c r="R756" s="139"/>
      <c r="S756" s="139"/>
      <c r="T756" s="139"/>
      <c r="U756" s="139"/>
      <c r="V756" s="139"/>
      <c r="W756" s="139"/>
      <c r="X756" s="146"/>
      <c r="Y756" s="148"/>
      <c r="Z756" s="145"/>
      <c r="AA756" s="139"/>
      <c r="AB756" s="149"/>
      <c r="AC756" s="11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74"/>
      <c r="AR756" s="222"/>
    </row>
    <row r="757" spans="2:44" s="22" customFormat="1" ht="18" customHeight="1" x14ac:dyDescent="0.25">
      <c r="B757" s="145"/>
      <c r="C757" s="139"/>
      <c r="D757" s="146"/>
      <c r="E757" s="139"/>
      <c r="F757" s="139"/>
      <c r="G757" s="139"/>
      <c r="H757" s="139"/>
      <c r="I757" s="139"/>
      <c r="J757" s="139"/>
      <c r="K757" s="139"/>
      <c r="L757" s="243"/>
      <c r="M757" s="243"/>
      <c r="N757" s="139"/>
      <c r="O757" s="139"/>
      <c r="P757" s="139"/>
      <c r="Q757" s="147"/>
      <c r="R757" s="139"/>
      <c r="S757" s="139"/>
      <c r="T757" s="139"/>
      <c r="U757" s="139"/>
      <c r="V757" s="139"/>
      <c r="W757" s="139"/>
      <c r="X757" s="146"/>
      <c r="Y757" s="148"/>
      <c r="Z757" s="145"/>
      <c r="AA757" s="139"/>
      <c r="AB757" s="149"/>
      <c r="AC757" s="11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74"/>
      <c r="AR757" s="222"/>
    </row>
    <row r="758" spans="2:44" s="22" customFormat="1" ht="18" customHeight="1" x14ac:dyDescent="0.25">
      <c r="B758" s="145"/>
      <c r="C758" s="139"/>
      <c r="D758" s="146"/>
      <c r="E758" s="139"/>
      <c r="F758" s="139"/>
      <c r="G758" s="139"/>
      <c r="H758" s="139"/>
      <c r="I758" s="139"/>
      <c r="J758" s="139"/>
      <c r="K758" s="139"/>
      <c r="L758" s="243"/>
      <c r="M758" s="243"/>
      <c r="N758" s="139"/>
      <c r="O758" s="139"/>
      <c r="P758" s="139"/>
      <c r="Q758" s="147"/>
      <c r="R758" s="139"/>
      <c r="S758" s="139"/>
      <c r="T758" s="139"/>
      <c r="U758" s="139"/>
      <c r="V758" s="139"/>
      <c r="W758" s="139"/>
      <c r="X758" s="146"/>
      <c r="Y758" s="148"/>
      <c r="Z758" s="145"/>
      <c r="AA758" s="139"/>
      <c r="AB758" s="149"/>
      <c r="AC758" s="11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74"/>
      <c r="AR758" s="222"/>
    </row>
    <row r="759" spans="2:44" s="22" customFormat="1" ht="18" customHeight="1" x14ac:dyDescent="0.25">
      <c r="B759" s="145"/>
      <c r="C759" s="139"/>
      <c r="D759" s="146"/>
      <c r="E759" s="139"/>
      <c r="F759" s="139"/>
      <c r="G759" s="139"/>
      <c r="H759" s="139"/>
      <c r="I759" s="139"/>
      <c r="J759" s="139"/>
      <c r="K759" s="139"/>
      <c r="L759" s="243"/>
      <c r="M759" s="243"/>
      <c r="N759" s="139"/>
      <c r="O759" s="139"/>
      <c r="P759" s="139"/>
      <c r="Q759" s="147"/>
      <c r="R759" s="139"/>
      <c r="S759" s="139"/>
      <c r="T759" s="139"/>
      <c r="U759" s="139"/>
      <c r="V759" s="139"/>
      <c r="W759" s="139"/>
      <c r="X759" s="146"/>
      <c r="Y759" s="148"/>
      <c r="Z759" s="145"/>
      <c r="AA759" s="139"/>
      <c r="AB759" s="149"/>
      <c r="AC759" s="11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74"/>
      <c r="AR759" s="222"/>
    </row>
    <row r="760" spans="2:44" s="22" customFormat="1" ht="18" customHeight="1" x14ac:dyDescent="0.25">
      <c r="B760" s="145"/>
      <c r="C760" s="139"/>
      <c r="D760" s="146"/>
      <c r="E760" s="139"/>
      <c r="F760" s="139"/>
      <c r="G760" s="139"/>
      <c r="H760" s="139"/>
      <c r="I760" s="139"/>
      <c r="J760" s="139"/>
      <c r="K760" s="139"/>
      <c r="L760" s="243"/>
      <c r="M760" s="243"/>
      <c r="N760" s="139"/>
      <c r="O760" s="139"/>
      <c r="P760" s="139"/>
      <c r="Q760" s="147"/>
      <c r="R760" s="139"/>
      <c r="S760" s="139"/>
      <c r="T760" s="139"/>
      <c r="U760" s="139"/>
      <c r="V760" s="139"/>
      <c r="W760" s="139"/>
      <c r="X760" s="146"/>
      <c r="Y760" s="148"/>
      <c r="Z760" s="145"/>
      <c r="AA760" s="139"/>
      <c r="AB760" s="149"/>
      <c r="AC760" s="11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74"/>
      <c r="AR760" s="222"/>
    </row>
    <row r="761" spans="2:44" s="22" customFormat="1" ht="18" customHeight="1" x14ac:dyDescent="0.25">
      <c r="B761" s="145"/>
      <c r="C761" s="139"/>
      <c r="D761" s="146"/>
      <c r="E761" s="139"/>
      <c r="F761" s="139"/>
      <c r="G761" s="139"/>
      <c r="H761" s="139"/>
      <c r="I761" s="139"/>
      <c r="J761" s="139"/>
      <c r="K761" s="139"/>
      <c r="L761" s="243"/>
      <c r="M761" s="243"/>
      <c r="N761" s="139"/>
      <c r="O761" s="139"/>
      <c r="P761" s="139"/>
      <c r="Q761" s="147"/>
      <c r="R761" s="139"/>
      <c r="S761" s="139"/>
      <c r="T761" s="139"/>
      <c r="U761" s="139"/>
      <c r="V761" s="139"/>
      <c r="W761" s="139"/>
      <c r="X761" s="146"/>
      <c r="Y761" s="148"/>
      <c r="Z761" s="145"/>
      <c r="AA761" s="139"/>
      <c r="AB761" s="149"/>
      <c r="AC761" s="11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74"/>
      <c r="AR761" s="222"/>
    </row>
    <row r="762" spans="2:44" s="22" customFormat="1" ht="18" customHeight="1" x14ac:dyDescent="0.25">
      <c r="B762" s="145"/>
      <c r="C762" s="139"/>
      <c r="D762" s="146"/>
      <c r="E762" s="139"/>
      <c r="F762" s="139"/>
      <c r="G762" s="139"/>
      <c r="H762" s="139"/>
      <c r="I762" s="139"/>
      <c r="J762" s="139"/>
      <c r="K762" s="139"/>
      <c r="L762" s="243"/>
      <c r="M762" s="243"/>
      <c r="N762" s="139"/>
      <c r="O762" s="139"/>
      <c r="P762" s="139"/>
      <c r="Q762" s="147"/>
      <c r="R762" s="139"/>
      <c r="S762" s="139"/>
      <c r="T762" s="139"/>
      <c r="U762" s="139"/>
      <c r="V762" s="139"/>
      <c r="W762" s="139"/>
      <c r="X762" s="146"/>
      <c r="Y762" s="148"/>
      <c r="Z762" s="145"/>
      <c r="AA762" s="139"/>
      <c r="AB762" s="149"/>
      <c r="AC762" s="11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74"/>
      <c r="AR762" s="222"/>
    </row>
    <row r="763" spans="2:44" s="22" customFormat="1" ht="18" customHeight="1" x14ac:dyDescent="0.25">
      <c r="B763" s="145"/>
      <c r="C763" s="139"/>
      <c r="D763" s="146"/>
      <c r="E763" s="139"/>
      <c r="F763" s="139"/>
      <c r="G763" s="139"/>
      <c r="H763" s="139"/>
      <c r="I763" s="139"/>
      <c r="J763" s="139"/>
      <c r="K763" s="139"/>
      <c r="L763" s="243"/>
      <c r="M763" s="243"/>
      <c r="N763" s="139"/>
      <c r="O763" s="139"/>
      <c r="P763" s="139"/>
      <c r="Q763" s="147"/>
      <c r="R763" s="139"/>
      <c r="S763" s="139"/>
      <c r="T763" s="139"/>
      <c r="U763" s="139"/>
      <c r="V763" s="139"/>
      <c r="W763" s="139"/>
      <c r="X763" s="146"/>
      <c r="Y763" s="148"/>
      <c r="Z763" s="145"/>
      <c r="AA763" s="139"/>
      <c r="AB763" s="149"/>
      <c r="AC763" s="11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74"/>
      <c r="AR763" s="222"/>
    </row>
    <row r="764" spans="2:44" s="140" customFormat="1" ht="18" customHeight="1" x14ac:dyDescent="0.25">
      <c r="B764" s="145"/>
      <c r="C764" s="139"/>
      <c r="D764" s="146"/>
      <c r="E764" s="139"/>
      <c r="F764" s="139"/>
      <c r="G764" s="139"/>
      <c r="H764" s="139"/>
      <c r="I764" s="139"/>
      <c r="J764" s="139"/>
      <c r="K764" s="139"/>
      <c r="L764" s="243"/>
      <c r="M764" s="243"/>
      <c r="N764" s="139"/>
      <c r="O764" s="139"/>
      <c r="P764" s="139"/>
      <c r="Q764" s="147"/>
      <c r="R764" s="139"/>
      <c r="S764" s="139"/>
      <c r="T764" s="139"/>
      <c r="U764" s="139"/>
      <c r="V764" s="139"/>
      <c r="W764" s="139"/>
      <c r="X764" s="146"/>
      <c r="Y764" s="148"/>
      <c r="Z764" s="145"/>
      <c r="AA764" s="139"/>
      <c r="AB764" s="149"/>
      <c r="AC764" s="11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74"/>
      <c r="AR764" s="222"/>
    </row>
    <row r="765" spans="2:44" s="22" customFormat="1" ht="18" customHeight="1" x14ac:dyDescent="0.25">
      <c r="B765" s="145"/>
      <c r="C765" s="139"/>
      <c r="D765" s="146"/>
      <c r="E765" s="139"/>
      <c r="F765" s="139"/>
      <c r="G765" s="139"/>
      <c r="H765" s="139"/>
      <c r="I765" s="139"/>
      <c r="J765" s="139"/>
      <c r="K765" s="139"/>
      <c r="L765" s="243"/>
      <c r="M765" s="243"/>
      <c r="N765" s="139"/>
      <c r="O765" s="139"/>
      <c r="P765" s="139"/>
      <c r="Q765" s="147"/>
      <c r="R765" s="139"/>
      <c r="S765" s="139"/>
      <c r="T765" s="139"/>
      <c r="U765" s="139"/>
      <c r="V765" s="139"/>
      <c r="W765" s="139"/>
      <c r="X765" s="146"/>
      <c r="Y765" s="148"/>
      <c r="Z765" s="145"/>
      <c r="AA765" s="139"/>
      <c r="AB765" s="149"/>
      <c r="AC765" s="11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74"/>
      <c r="AR765" s="222"/>
    </row>
    <row r="766" spans="2:44" s="22" customFormat="1" ht="18" customHeight="1" x14ac:dyDescent="0.25">
      <c r="B766" s="145"/>
      <c r="C766" s="139"/>
      <c r="D766" s="146"/>
      <c r="E766" s="139"/>
      <c r="F766" s="139"/>
      <c r="G766" s="139"/>
      <c r="H766" s="139"/>
      <c r="I766" s="139"/>
      <c r="J766" s="139"/>
      <c r="K766" s="139"/>
      <c r="L766" s="243"/>
      <c r="M766" s="243"/>
      <c r="N766" s="139"/>
      <c r="O766" s="139"/>
      <c r="P766" s="139"/>
      <c r="Q766" s="147"/>
      <c r="R766" s="139"/>
      <c r="S766" s="139"/>
      <c r="T766" s="139"/>
      <c r="U766" s="139"/>
      <c r="V766" s="139"/>
      <c r="W766" s="139"/>
      <c r="X766" s="146"/>
      <c r="Y766" s="148"/>
      <c r="Z766" s="145"/>
      <c r="AA766" s="139"/>
      <c r="AB766" s="149"/>
      <c r="AC766" s="11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74"/>
      <c r="AR766" s="222"/>
    </row>
    <row r="767" spans="2:44" s="22" customFormat="1" ht="18" customHeight="1" x14ac:dyDescent="0.25">
      <c r="B767" s="145"/>
      <c r="C767" s="139"/>
      <c r="D767" s="146"/>
      <c r="E767" s="139"/>
      <c r="F767" s="139"/>
      <c r="G767" s="139"/>
      <c r="H767" s="139"/>
      <c r="I767" s="139"/>
      <c r="J767" s="139"/>
      <c r="K767" s="139"/>
      <c r="L767" s="243"/>
      <c r="M767" s="243"/>
      <c r="N767" s="139"/>
      <c r="O767" s="139"/>
      <c r="P767" s="139"/>
      <c r="Q767" s="147"/>
      <c r="R767" s="139"/>
      <c r="S767" s="139"/>
      <c r="T767" s="139"/>
      <c r="U767" s="139"/>
      <c r="V767" s="139"/>
      <c r="W767" s="139"/>
      <c r="X767" s="146"/>
      <c r="Y767" s="148"/>
      <c r="Z767" s="145"/>
      <c r="AA767" s="139"/>
      <c r="AB767" s="149"/>
      <c r="AC767" s="11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74"/>
      <c r="AR767" s="222"/>
    </row>
    <row r="768" spans="2:44" s="22" customFormat="1" ht="18" customHeight="1" x14ac:dyDescent="0.25">
      <c r="B768" s="145"/>
      <c r="C768" s="139"/>
      <c r="D768" s="146"/>
      <c r="E768" s="139"/>
      <c r="F768" s="139"/>
      <c r="G768" s="139"/>
      <c r="H768" s="139"/>
      <c r="I768" s="139"/>
      <c r="J768" s="139"/>
      <c r="K768" s="139"/>
      <c r="L768" s="243"/>
      <c r="M768" s="243"/>
      <c r="N768" s="139"/>
      <c r="O768" s="139"/>
      <c r="P768" s="139"/>
      <c r="Q768" s="147"/>
      <c r="R768" s="139"/>
      <c r="S768" s="139"/>
      <c r="T768" s="139"/>
      <c r="U768" s="139"/>
      <c r="V768" s="139"/>
      <c r="W768" s="139"/>
      <c r="X768" s="146"/>
      <c r="Y768" s="148"/>
      <c r="Z768" s="145"/>
      <c r="AA768" s="139"/>
      <c r="AB768" s="149"/>
      <c r="AC768" s="11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74"/>
      <c r="AR768" s="222"/>
    </row>
    <row r="769" spans="2:44" s="22" customFormat="1" ht="18" customHeight="1" x14ac:dyDescent="0.25">
      <c r="B769" s="145"/>
      <c r="C769" s="139"/>
      <c r="D769" s="146"/>
      <c r="E769" s="139"/>
      <c r="F769" s="139"/>
      <c r="G769" s="139"/>
      <c r="H769" s="139"/>
      <c r="I769" s="139"/>
      <c r="J769" s="139"/>
      <c r="K769" s="139"/>
      <c r="L769" s="243"/>
      <c r="M769" s="243"/>
      <c r="N769" s="139"/>
      <c r="O769" s="139"/>
      <c r="P769" s="139"/>
      <c r="Q769" s="147"/>
      <c r="R769" s="139"/>
      <c r="S769" s="139"/>
      <c r="T769" s="139"/>
      <c r="U769" s="139"/>
      <c r="V769" s="139"/>
      <c r="W769" s="139"/>
      <c r="X769" s="146"/>
      <c r="Y769" s="148"/>
      <c r="Z769" s="145"/>
      <c r="AA769" s="139"/>
      <c r="AB769" s="149"/>
      <c r="AC769" s="11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74"/>
      <c r="AR769" s="222"/>
    </row>
    <row r="770" spans="2:44" s="140" customFormat="1" ht="18" customHeight="1" x14ac:dyDescent="0.25">
      <c r="B770" s="145"/>
      <c r="C770" s="139"/>
      <c r="D770" s="146"/>
      <c r="E770" s="139"/>
      <c r="F770" s="139"/>
      <c r="G770" s="139"/>
      <c r="H770" s="139"/>
      <c r="I770" s="139"/>
      <c r="J770" s="139"/>
      <c r="K770" s="139"/>
      <c r="L770" s="243"/>
      <c r="M770" s="243"/>
      <c r="N770" s="139"/>
      <c r="O770" s="139"/>
      <c r="P770" s="139"/>
      <c r="Q770" s="147"/>
      <c r="R770" s="139"/>
      <c r="S770" s="139"/>
      <c r="T770" s="139"/>
      <c r="U770" s="139"/>
      <c r="V770" s="139"/>
      <c r="W770" s="139"/>
      <c r="X770" s="146"/>
      <c r="Y770" s="148"/>
      <c r="Z770" s="145"/>
      <c r="AA770" s="139"/>
      <c r="AB770" s="149"/>
      <c r="AC770" s="11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74"/>
      <c r="AR770" s="222"/>
    </row>
    <row r="771" spans="2:44" s="22" customFormat="1" ht="18" customHeight="1" x14ac:dyDescent="0.25">
      <c r="B771" s="145"/>
      <c r="C771" s="139"/>
      <c r="D771" s="146"/>
      <c r="E771" s="139"/>
      <c r="F771" s="139"/>
      <c r="G771" s="139"/>
      <c r="H771" s="139"/>
      <c r="I771" s="139"/>
      <c r="J771" s="139"/>
      <c r="K771" s="139"/>
      <c r="L771" s="243"/>
      <c r="M771" s="243"/>
      <c r="N771" s="139"/>
      <c r="O771" s="139"/>
      <c r="P771" s="139"/>
      <c r="Q771" s="147"/>
      <c r="R771" s="139"/>
      <c r="S771" s="139"/>
      <c r="T771" s="139"/>
      <c r="U771" s="139"/>
      <c r="V771" s="139"/>
      <c r="W771" s="139"/>
      <c r="X771" s="146"/>
      <c r="Y771" s="148"/>
      <c r="Z771" s="145"/>
      <c r="AA771" s="139"/>
      <c r="AB771" s="149"/>
      <c r="AC771" s="11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74"/>
      <c r="AR771" s="222"/>
    </row>
    <row r="772" spans="2:44" s="22" customFormat="1" ht="18" customHeight="1" x14ac:dyDescent="0.25">
      <c r="B772" s="145"/>
      <c r="C772" s="139"/>
      <c r="D772" s="146"/>
      <c r="E772" s="139"/>
      <c r="F772" s="139"/>
      <c r="G772" s="139"/>
      <c r="H772" s="139"/>
      <c r="I772" s="139"/>
      <c r="J772" s="139"/>
      <c r="K772" s="139"/>
      <c r="L772" s="243"/>
      <c r="M772" s="243"/>
      <c r="N772" s="139"/>
      <c r="O772" s="139"/>
      <c r="P772" s="139"/>
      <c r="Q772" s="147"/>
      <c r="R772" s="139"/>
      <c r="S772" s="139"/>
      <c r="T772" s="139"/>
      <c r="U772" s="139"/>
      <c r="V772" s="139"/>
      <c r="W772" s="139"/>
      <c r="X772" s="146"/>
      <c r="Y772" s="148"/>
      <c r="Z772" s="145"/>
      <c r="AA772" s="139"/>
      <c r="AB772" s="149"/>
      <c r="AC772" s="11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74"/>
      <c r="AR772" s="222"/>
    </row>
    <row r="773" spans="2:44" s="141" customFormat="1" ht="18" customHeight="1" x14ac:dyDescent="0.25">
      <c r="B773" s="145"/>
      <c r="C773" s="139"/>
      <c r="D773" s="146"/>
      <c r="E773" s="139"/>
      <c r="F773" s="139"/>
      <c r="G773" s="139"/>
      <c r="H773" s="139"/>
      <c r="I773" s="139"/>
      <c r="J773" s="139"/>
      <c r="K773" s="139"/>
      <c r="L773" s="243"/>
      <c r="M773" s="243"/>
      <c r="N773" s="139"/>
      <c r="O773" s="139"/>
      <c r="P773" s="139"/>
      <c r="Q773" s="147"/>
      <c r="R773" s="139"/>
      <c r="S773" s="139"/>
      <c r="T773" s="139"/>
      <c r="U773" s="139"/>
      <c r="V773" s="139"/>
      <c r="W773" s="139"/>
      <c r="X773" s="146"/>
      <c r="Y773" s="148"/>
      <c r="Z773" s="145"/>
      <c r="AA773" s="139"/>
      <c r="AB773" s="149"/>
      <c r="AC773" s="11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74"/>
      <c r="AR773" s="222"/>
    </row>
    <row r="774" spans="2:44" s="22" customFormat="1" ht="18" customHeight="1" x14ac:dyDescent="0.25">
      <c r="B774" s="145"/>
      <c r="C774" s="139"/>
      <c r="D774" s="146"/>
      <c r="E774" s="139"/>
      <c r="F774" s="139"/>
      <c r="G774" s="139"/>
      <c r="H774" s="139"/>
      <c r="I774" s="139"/>
      <c r="J774" s="139"/>
      <c r="K774" s="139"/>
      <c r="L774" s="243"/>
      <c r="M774" s="243"/>
      <c r="N774" s="139"/>
      <c r="O774" s="139"/>
      <c r="P774" s="139"/>
      <c r="Q774" s="147"/>
      <c r="R774" s="139"/>
      <c r="S774" s="139"/>
      <c r="T774" s="139"/>
      <c r="U774" s="139"/>
      <c r="V774" s="139"/>
      <c r="W774" s="139"/>
      <c r="X774" s="146"/>
      <c r="Y774" s="148"/>
      <c r="Z774" s="145"/>
      <c r="AA774" s="139"/>
      <c r="AB774" s="149"/>
      <c r="AC774" s="11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74"/>
      <c r="AR774" s="222"/>
    </row>
    <row r="775" spans="2:44" s="22" customFormat="1" ht="18" customHeight="1" x14ac:dyDescent="0.25">
      <c r="B775" s="145"/>
      <c r="C775" s="139"/>
      <c r="D775" s="146"/>
      <c r="E775" s="139"/>
      <c r="F775" s="139"/>
      <c r="G775" s="139"/>
      <c r="H775" s="139"/>
      <c r="I775" s="139"/>
      <c r="J775" s="139"/>
      <c r="K775" s="139"/>
      <c r="L775" s="243"/>
      <c r="M775" s="243"/>
      <c r="N775" s="139"/>
      <c r="O775" s="139"/>
      <c r="P775" s="139"/>
      <c r="Q775" s="147"/>
      <c r="R775" s="139"/>
      <c r="S775" s="139"/>
      <c r="T775" s="139"/>
      <c r="U775" s="139"/>
      <c r="V775" s="139"/>
      <c r="W775" s="139"/>
      <c r="X775" s="146"/>
      <c r="Y775" s="148"/>
      <c r="Z775" s="145"/>
      <c r="AA775" s="139"/>
      <c r="AB775" s="149"/>
      <c r="AC775" s="11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74"/>
      <c r="AR775" s="222"/>
    </row>
    <row r="776" spans="2:44" s="22" customFormat="1" ht="18" customHeight="1" x14ac:dyDescent="0.25">
      <c r="B776" s="145"/>
      <c r="C776" s="139"/>
      <c r="D776" s="146"/>
      <c r="E776" s="139"/>
      <c r="F776" s="139"/>
      <c r="G776" s="139"/>
      <c r="H776" s="139"/>
      <c r="I776" s="139"/>
      <c r="J776" s="139"/>
      <c r="K776" s="139"/>
      <c r="L776" s="243"/>
      <c r="M776" s="243"/>
      <c r="N776" s="139"/>
      <c r="O776" s="139"/>
      <c r="P776" s="139"/>
      <c r="Q776" s="147"/>
      <c r="R776" s="139"/>
      <c r="S776" s="139"/>
      <c r="T776" s="139"/>
      <c r="U776" s="139"/>
      <c r="V776" s="139"/>
      <c r="W776" s="139"/>
      <c r="X776" s="146"/>
      <c r="Y776" s="148"/>
      <c r="Z776" s="145"/>
      <c r="AA776" s="139"/>
      <c r="AB776" s="149"/>
      <c r="AC776" s="11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74"/>
      <c r="AR776" s="222"/>
    </row>
    <row r="777" spans="2:44" s="22" customFormat="1" ht="18" customHeight="1" x14ac:dyDescent="0.25">
      <c r="B777" s="145"/>
      <c r="C777" s="139"/>
      <c r="D777" s="146"/>
      <c r="E777" s="139"/>
      <c r="F777" s="139"/>
      <c r="G777" s="139"/>
      <c r="H777" s="139"/>
      <c r="I777" s="139"/>
      <c r="J777" s="139"/>
      <c r="K777" s="139"/>
      <c r="L777" s="243"/>
      <c r="M777" s="243"/>
      <c r="N777" s="139"/>
      <c r="O777" s="139"/>
      <c r="P777" s="139"/>
      <c r="Q777" s="147"/>
      <c r="R777" s="139"/>
      <c r="S777" s="139"/>
      <c r="T777" s="139"/>
      <c r="U777" s="139"/>
      <c r="V777" s="139"/>
      <c r="W777" s="139"/>
      <c r="X777" s="146"/>
      <c r="Y777" s="148"/>
      <c r="Z777" s="145"/>
      <c r="AA777" s="139"/>
      <c r="AB777" s="149"/>
      <c r="AC777" s="11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74"/>
      <c r="AR777" s="222"/>
    </row>
    <row r="778" spans="2:44" s="22" customFormat="1" ht="18" customHeight="1" x14ac:dyDescent="0.25">
      <c r="B778" s="145"/>
      <c r="C778" s="139"/>
      <c r="D778" s="146"/>
      <c r="E778" s="139"/>
      <c r="F778" s="139"/>
      <c r="G778" s="139"/>
      <c r="H778" s="139"/>
      <c r="I778" s="139"/>
      <c r="J778" s="139"/>
      <c r="K778" s="139"/>
      <c r="L778" s="243"/>
      <c r="M778" s="243"/>
      <c r="N778" s="139"/>
      <c r="O778" s="139"/>
      <c r="P778" s="139"/>
      <c r="Q778" s="147"/>
      <c r="R778" s="139"/>
      <c r="S778" s="139"/>
      <c r="T778" s="139"/>
      <c r="U778" s="139"/>
      <c r="V778" s="139"/>
      <c r="W778" s="139"/>
      <c r="X778" s="146"/>
      <c r="Y778" s="148"/>
      <c r="Z778" s="145"/>
      <c r="AA778" s="139"/>
      <c r="AB778" s="149"/>
      <c r="AC778" s="11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74"/>
      <c r="AR778" s="222"/>
    </row>
    <row r="779" spans="2:44" s="22" customFormat="1" ht="18" customHeight="1" x14ac:dyDescent="0.25">
      <c r="B779" s="145"/>
      <c r="C779" s="139"/>
      <c r="D779" s="146"/>
      <c r="E779" s="139"/>
      <c r="F779" s="139"/>
      <c r="G779" s="139"/>
      <c r="H779" s="139"/>
      <c r="I779" s="139"/>
      <c r="J779" s="139"/>
      <c r="K779" s="139"/>
      <c r="L779" s="243"/>
      <c r="M779" s="243"/>
      <c r="N779" s="139"/>
      <c r="O779" s="139"/>
      <c r="P779" s="139"/>
      <c r="Q779" s="147"/>
      <c r="R779" s="139"/>
      <c r="S779" s="139"/>
      <c r="T779" s="139"/>
      <c r="U779" s="139"/>
      <c r="V779" s="139"/>
      <c r="W779" s="139"/>
      <c r="X779" s="146"/>
      <c r="Y779" s="148"/>
      <c r="Z779" s="145"/>
      <c r="AA779" s="139"/>
      <c r="AB779" s="149"/>
      <c r="AC779" s="11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74"/>
      <c r="AR779" s="222"/>
    </row>
    <row r="780" spans="2:44" s="22" customFormat="1" ht="18" customHeight="1" x14ac:dyDescent="0.25">
      <c r="B780" s="145"/>
      <c r="C780" s="139"/>
      <c r="D780" s="146"/>
      <c r="E780" s="139"/>
      <c r="F780" s="139"/>
      <c r="G780" s="139"/>
      <c r="H780" s="139"/>
      <c r="I780" s="139"/>
      <c r="J780" s="139"/>
      <c r="K780" s="139"/>
      <c r="L780" s="243"/>
      <c r="M780" s="243"/>
      <c r="N780" s="139"/>
      <c r="O780" s="139"/>
      <c r="P780" s="139"/>
      <c r="Q780" s="147"/>
      <c r="R780" s="139"/>
      <c r="S780" s="139"/>
      <c r="T780" s="139"/>
      <c r="U780" s="139"/>
      <c r="V780" s="139"/>
      <c r="W780" s="139"/>
      <c r="X780" s="146"/>
      <c r="Y780" s="148"/>
      <c r="Z780" s="145"/>
      <c r="AA780" s="139"/>
      <c r="AB780" s="149"/>
      <c r="AC780" s="11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74"/>
      <c r="AR780" s="222"/>
    </row>
    <row r="781" spans="2:44" s="22" customFormat="1" ht="18" customHeight="1" x14ac:dyDescent="0.25">
      <c r="B781" s="145"/>
      <c r="C781" s="139"/>
      <c r="D781" s="146"/>
      <c r="E781" s="139"/>
      <c r="F781" s="139"/>
      <c r="G781" s="139"/>
      <c r="H781" s="139"/>
      <c r="I781" s="139"/>
      <c r="J781" s="139"/>
      <c r="K781" s="139"/>
      <c r="L781" s="243"/>
      <c r="M781" s="243"/>
      <c r="N781" s="139"/>
      <c r="O781" s="139"/>
      <c r="P781" s="139"/>
      <c r="Q781" s="147"/>
      <c r="R781" s="139"/>
      <c r="S781" s="139"/>
      <c r="T781" s="139"/>
      <c r="U781" s="139"/>
      <c r="V781" s="139"/>
      <c r="W781" s="139"/>
      <c r="X781" s="146"/>
      <c r="Y781" s="148"/>
      <c r="Z781" s="145"/>
      <c r="AA781" s="139"/>
      <c r="AB781" s="149"/>
      <c r="AC781" s="11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74"/>
      <c r="AR781" s="222"/>
    </row>
    <row r="782" spans="2:44" s="22" customFormat="1" ht="18" customHeight="1" x14ac:dyDescent="0.25">
      <c r="B782" s="145"/>
      <c r="C782" s="139"/>
      <c r="D782" s="146"/>
      <c r="E782" s="139"/>
      <c r="F782" s="139"/>
      <c r="G782" s="139"/>
      <c r="H782" s="139"/>
      <c r="I782" s="139"/>
      <c r="J782" s="139"/>
      <c r="K782" s="139"/>
      <c r="L782" s="243"/>
      <c r="M782" s="243"/>
      <c r="N782" s="139"/>
      <c r="O782" s="139"/>
      <c r="P782" s="139"/>
      <c r="Q782" s="147"/>
      <c r="R782" s="139"/>
      <c r="S782" s="139"/>
      <c r="T782" s="139"/>
      <c r="U782" s="139"/>
      <c r="V782" s="139"/>
      <c r="W782" s="139"/>
      <c r="X782" s="146"/>
      <c r="Y782" s="148"/>
      <c r="Z782" s="145"/>
      <c r="AA782" s="139"/>
      <c r="AB782" s="149"/>
      <c r="AC782" s="11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74"/>
      <c r="AR782" s="222"/>
    </row>
    <row r="783" spans="2:44" s="22" customFormat="1" ht="18" customHeight="1" x14ac:dyDescent="0.25">
      <c r="B783" s="145"/>
      <c r="C783" s="139"/>
      <c r="D783" s="146"/>
      <c r="E783" s="139"/>
      <c r="F783" s="139"/>
      <c r="G783" s="139"/>
      <c r="H783" s="139"/>
      <c r="I783" s="139"/>
      <c r="J783" s="139"/>
      <c r="K783" s="139"/>
      <c r="L783" s="243"/>
      <c r="M783" s="243"/>
      <c r="N783" s="139"/>
      <c r="O783" s="139"/>
      <c r="P783" s="139"/>
      <c r="Q783" s="147"/>
      <c r="R783" s="139"/>
      <c r="S783" s="139"/>
      <c r="T783" s="139"/>
      <c r="U783" s="139"/>
      <c r="V783" s="139"/>
      <c r="W783" s="139"/>
      <c r="X783" s="146"/>
      <c r="Y783" s="148"/>
      <c r="Z783" s="145"/>
      <c r="AA783" s="139"/>
      <c r="AB783" s="149"/>
      <c r="AC783" s="11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74"/>
      <c r="AR783" s="222"/>
    </row>
    <row r="784" spans="2:44" s="22" customFormat="1" ht="18" customHeight="1" x14ac:dyDescent="0.25">
      <c r="B784" s="145"/>
      <c r="C784" s="139"/>
      <c r="D784" s="146"/>
      <c r="E784" s="139"/>
      <c r="F784" s="139"/>
      <c r="G784" s="139"/>
      <c r="H784" s="139"/>
      <c r="I784" s="139"/>
      <c r="J784" s="139"/>
      <c r="K784" s="139"/>
      <c r="L784" s="243"/>
      <c r="M784" s="243"/>
      <c r="N784" s="139"/>
      <c r="O784" s="139"/>
      <c r="P784" s="139"/>
      <c r="Q784" s="147"/>
      <c r="R784" s="139"/>
      <c r="S784" s="139"/>
      <c r="T784" s="139"/>
      <c r="U784" s="139"/>
      <c r="V784" s="139"/>
      <c r="W784" s="139"/>
      <c r="X784" s="146"/>
      <c r="Y784" s="148"/>
      <c r="Z784" s="145"/>
      <c r="AA784" s="139"/>
      <c r="AB784" s="149"/>
      <c r="AC784" s="11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74"/>
      <c r="AR784" s="222"/>
    </row>
    <row r="785" spans="2:44" s="22" customFormat="1" ht="18" customHeight="1" x14ac:dyDescent="0.25">
      <c r="B785" s="145"/>
      <c r="C785" s="139"/>
      <c r="D785" s="146"/>
      <c r="E785" s="139"/>
      <c r="F785" s="139"/>
      <c r="G785" s="139"/>
      <c r="H785" s="139"/>
      <c r="I785" s="139"/>
      <c r="J785" s="139"/>
      <c r="K785" s="139"/>
      <c r="L785" s="243"/>
      <c r="M785" s="243"/>
      <c r="N785" s="139"/>
      <c r="O785" s="139"/>
      <c r="P785" s="139"/>
      <c r="Q785" s="147"/>
      <c r="R785" s="139"/>
      <c r="S785" s="139"/>
      <c r="T785" s="139"/>
      <c r="U785" s="139"/>
      <c r="V785" s="139"/>
      <c r="W785" s="139"/>
      <c r="X785" s="146"/>
      <c r="Y785" s="148"/>
      <c r="Z785" s="145"/>
      <c r="AA785" s="139"/>
      <c r="AB785" s="149"/>
      <c r="AC785" s="11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74"/>
      <c r="AR785" s="222"/>
    </row>
    <row r="786" spans="2:44" s="22" customFormat="1" ht="18" customHeight="1" x14ac:dyDescent="0.25">
      <c r="B786" s="145"/>
      <c r="C786" s="139"/>
      <c r="D786" s="146"/>
      <c r="E786" s="139"/>
      <c r="F786" s="139"/>
      <c r="G786" s="139"/>
      <c r="H786" s="139"/>
      <c r="I786" s="139"/>
      <c r="J786" s="139"/>
      <c r="K786" s="139"/>
      <c r="L786" s="243"/>
      <c r="M786" s="243"/>
      <c r="N786" s="139"/>
      <c r="O786" s="139"/>
      <c r="P786" s="139"/>
      <c r="Q786" s="147"/>
      <c r="R786" s="139"/>
      <c r="S786" s="139"/>
      <c r="T786" s="139"/>
      <c r="U786" s="139"/>
      <c r="V786" s="139"/>
      <c r="W786" s="139"/>
      <c r="X786" s="146"/>
      <c r="Y786" s="148"/>
      <c r="Z786" s="145"/>
      <c r="AA786" s="139"/>
      <c r="AB786" s="149"/>
      <c r="AC786" s="11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74"/>
      <c r="AR786" s="222"/>
    </row>
    <row r="787" spans="2:44" s="22" customFormat="1" ht="18" customHeight="1" x14ac:dyDescent="0.25">
      <c r="B787" s="145"/>
      <c r="C787" s="139"/>
      <c r="D787" s="146"/>
      <c r="E787" s="139"/>
      <c r="F787" s="139"/>
      <c r="G787" s="139"/>
      <c r="H787" s="139"/>
      <c r="I787" s="139"/>
      <c r="J787" s="139"/>
      <c r="K787" s="139"/>
      <c r="L787" s="243"/>
      <c r="M787" s="243"/>
      <c r="N787" s="139"/>
      <c r="O787" s="139"/>
      <c r="P787" s="139"/>
      <c r="Q787" s="147"/>
      <c r="R787" s="139"/>
      <c r="S787" s="139"/>
      <c r="T787" s="139"/>
      <c r="U787" s="139"/>
      <c r="V787" s="139"/>
      <c r="W787" s="139"/>
      <c r="X787" s="146"/>
      <c r="Y787" s="148"/>
      <c r="Z787" s="145"/>
      <c r="AA787" s="139"/>
      <c r="AB787" s="149"/>
      <c r="AC787" s="11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74"/>
      <c r="AR787" s="222"/>
    </row>
    <row r="788" spans="2:44" s="22" customFormat="1" ht="18" customHeight="1" x14ac:dyDescent="0.25">
      <c r="B788" s="145"/>
      <c r="C788" s="139"/>
      <c r="D788" s="146"/>
      <c r="E788" s="139"/>
      <c r="F788" s="139"/>
      <c r="G788" s="139"/>
      <c r="H788" s="139"/>
      <c r="I788" s="139"/>
      <c r="J788" s="139"/>
      <c r="K788" s="139"/>
      <c r="L788" s="243"/>
      <c r="M788" s="243"/>
      <c r="N788" s="139"/>
      <c r="O788" s="139"/>
      <c r="P788" s="139"/>
      <c r="Q788" s="147"/>
      <c r="R788" s="139"/>
      <c r="S788" s="139"/>
      <c r="T788" s="139"/>
      <c r="U788" s="139"/>
      <c r="V788" s="139"/>
      <c r="W788" s="139"/>
      <c r="X788" s="146"/>
      <c r="Y788" s="148"/>
      <c r="Z788" s="145"/>
      <c r="AA788" s="139"/>
      <c r="AB788" s="149"/>
      <c r="AC788" s="11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74"/>
      <c r="AR788" s="222"/>
    </row>
    <row r="789" spans="2:44" s="22" customFormat="1" ht="18" customHeight="1" x14ac:dyDescent="0.25">
      <c r="B789" s="145"/>
      <c r="C789" s="139"/>
      <c r="D789" s="146"/>
      <c r="E789" s="139"/>
      <c r="F789" s="139"/>
      <c r="G789" s="139"/>
      <c r="H789" s="139"/>
      <c r="I789" s="139"/>
      <c r="J789" s="139"/>
      <c r="K789" s="139"/>
      <c r="L789" s="243"/>
      <c r="M789" s="243"/>
      <c r="N789" s="139"/>
      <c r="O789" s="139"/>
      <c r="P789" s="139"/>
      <c r="Q789" s="147"/>
      <c r="R789" s="139"/>
      <c r="S789" s="139"/>
      <c r="T789" s="139"/>
      <c r="U789" s="139"/>
      <c r="V789" s="139"/>
      <c r="W789" s="139"/>
      <c r="X789" s="146"/>
      <c r="Y789" s="148"/>
      <c r="Z789" s="145"/>
      <c r="AA789" s="139"/>
      <c r="AB789" s="149"/>
      <c r="AC789" s="11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74"/>
      <c r="AR789" s="222"/>
    </row>
    <row r="790" spans="2:44" s="22" customFormat="1" ht="18" customHeight="1" x14ac:dyDescent="0.25">
      <c r="B790" s="145"/>
      <c r="C790" s="139"/>
      <c r="D790" s="146"/>
      <c r="E790" s="139"/>
      <c r="F790" s="139"/>
      <c r="G790" s="139"/>
      <c r="H790" s="139"/>
      <c r="I790" s="139"/>
      <c r="J790" s="139"/>
      <c r="K790" s="139"/>
      <c r="L790" s="243"/>
      <c r="M790" s="243"/>
      <c r="N790" s="139"/>
      <c r="O790" s="139"/>
      <c r="P790" s="139"/>
      <c r="Q790" s="147"/>
      <c r="R790" s="139"/>
      <c r="S790" s="139"/>
      <c r="T790" s="139"/>
      <c r="U790" s="139"/>
      <c r="V790" s="139"/>
      <c r="W790" s="139"/>
      <c r="X790" s="146"/>
      <c r="Y790" s="148"/>
      <c r="Z790" s="145"/>
      <c r="AA790" s="139"/>
      <c r="AB790" s="149"/>
      <c r="AC790" s="11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74"/>
      <c r="AR790" s="222"/>
    </row>
    <row r="791" spans="2:44" s="22" customFormat="1" ht="18" customHeight="1" x14ac:dyDescent="0.25">
      <c r="B791" s="145"/>
      <c r="C791" s="139"/>
      <c r="D791" s="146"/>
      <c r="E791" s="139"/>
      <c r="F791" s="139"/>
      <c r="G791" s="139"/>
      <c r="H791" s="139"/>
      <c r="I791" s="139"/>
      <c r="J791" s="139"/>
      <c r="K791" s="139"/>
      <c r="L791" s="243"/>
      <c r="M791" s="243"/>
      <c r="N791" s="139"/>
      <c r="O791" s="139"/>
      <c r="P791" s="139"/>
      <c r="Q791" s="147"/>
      <c r="R791" s="139"/>
      <c r="S791" s="139"/>
      <c r="T791" s="139"/>
      <c r="U791" s="139"/>
      <c r="V791" s="139"/>
      <c r="W791" s="139"/>
      <c r="X791" s="146"/>
      <c r="Y791" s="148"/>
      <c r="Z791" s="145"/>
      <c r="AA791" s="139"/>
      <c r="AB791" s="149"/>
      <c r="AC791" s="11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74"/>
      <c r="AR791" s="222"/>
    </row>
    <row r="792" spans="2:44" s="22" customFormat="1" ht="18" customHeight="1" x14ac:dyDescent="0.25">
      <c r="B792" s="145"/>
      <c r="C792" s="139"/>
      <c r="D792" s="146"/>
      <c r="E792" s="139"/>
      <c r="F792" s="139"/>
      <c r="G792" s="139"/>
      <c r="H792" s="139"/>
      <c r="I792" s="139"/>
      <c r="J792" s="139"/>
      <c r="K792" s="139"/>
      <c r="L792" s="243"/>
      <c r="M792" s="243"/>
      <c r="N792" s="139"/>
      <c r="O792" s="139"/>
      <c r="P792" s="139"/>
      <c r="Q792" s="147"/>
      <c r="R792" s="139"/>
      <c r="S792" s="139"/>
      <c r="T792" s="139"/>
      <c r="U792" s="139"/>
      <c r="V792" s="139"/>
      <c r="W792" s="139"/>
      <c r="X792" s="146"/>
      <c r="Y792" s="148"/>
      <c r="Z792" s="145"/>
      <c r="AA792" s="139"/>
      <c r="AB792" s="149"/>
      <c r="AC792" s="11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74"/>
      <c r="AR792" s="222"/>
    </row>
    <row r="793" spans="2:44" s="22" customFormat="1" ht="18" customHeight="1" x14ac:dyDescent="0.25">
      <c r="B793" s="145"/>
      <c r="C793" s="139"/>
      <c r="D793" s="146"/>
      <c r="E793" s="139"/>
      <c r="F793" s="139"/>
      <c r="G793" s="139"/>
      <c r="H793" s="139"/>
      <c r="I793" s="139"/>
      <c r="J793" s="139"/>
      <c r="K793" s="139"/>
      <c r="L793" s="243"/>
      <c r="M793" s="243"/>
      <c r="N793" s="139"/>
      <c r="O793" s="139"/>
      <c r="P793" s="139"/>
      <c r="Q793" s="147"/>
      <c r="R793" s="139"/>
      <c r="S793" s="139"/>
      <c r="T793" s="139"/>
      <c r="U793" s="139"/>
      <c r="V793" s="139"/>
      <c r="W793" s="139"/>
      <c r="X793" s="146"/>
      <c r="Y793" s="148"/>
      <c r="Z793" s="145"/>
      <c r="AA793" s="139"/>
      <c r="AB793" s="149"/>
      <c r="AC793" s="11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74"/>
      <c r="AR793" s="222"/>
    </row>
    <row r="794" spans="2:44" s="22" customFormat="1" ht="18" customHeight="1" x14ac:dyDescent="0.25">
      <c r="B794" s="145"/>
      <c r="C794" s="139"/>
      <c r="D794" s="146"/>
      <c r="E794" s="139"/>
      <c r="F794" s="139"/>
      <c r="G794" s="139"/>
      <c r="H794" s="139"/>
      <c r="I794" s="139"/>
      <c r="J794" s="139"/>
      <c r="K794" s="139"/>
      <c r="L794" s="243"/>
      <c r="M794" s="243"/>
      <c r="N794" s="139"/>
      <c r="O794" s="139"/>
      <c r="P794" s="139"/>
      <c r="Q794" s="147"/>
      <c r="R794" s="139"/>
      <c r="S794" s="139"/>
      <c r="T794" s="139"/>
      <c r="U794" s="139"/>
      <c r="V794" s="139"/>
      <c r="W794" s="139"/>
      <c r="X794" s="146"/>
      <c r="Y794" s="148"/>
      <c r="Z794" s="145"/>
      <c r="AA794" s="139"/>
      <c r="AB794" s="149"/>
      <c r="AC794" s="11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74"/>
      <c r="AR794" s="222"/>
    </row>
    <row r="795" spans="2:44" s="140" customFormat="1" ht="18" customHeight="1" x14ac:dyDescent="0.25">
      <c r="B795" s="145"/>
      <c r="C795" s="139"/>
      <c r="D795" s="146"/>
      <c r="E795" s="139"/>
      <c r="F795" s="139"/>
      <c r="G795" s="139"/>
      <c r="H795" s="139"/>
      <c r="I795" s="139"/>
      <c r="J795" s="139"/>
      <c r="K795" s="139"/>
      <c r="L795" s="243"/>
      <c r="M795" s="243"/>
      <c r="N795" s="139"/>
      <c r="O795" s="139"/>
      <c r="P795" s="139"/>
      <c r="Q795" s="147"/>
      <c r="R795" s="139"/>
      <c r="S795" s="139"/>
      <c r="T795" s="139"/>
      <c r="U795" s="139"/>
      <c r="V795" s="139"/>
      <c r="W795" s="139"/>
      <c r="X795" s="146"/>
      <c r="Y795" s="148"/>
      <c r="Z795" s="145"/>
      <c r="AA795" s="139"/>
      <c r="AB795" s="149"/>
      <c r="AC795" s="11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74"/>
      <c r="AR795" s="222"/>
    </row>
    <row r="796" spans="2:44" s="22" customFormat="1" ht="18" customHeight="1" x14ac:dyDescent="0.25">
      <c r="B796" s="145"/>
      <c r="C796" s="139"/>
      <c r="D796" s="146"/>
      <c r="E796" s="139"/>
      <c r="F796" s="139"/>
      <c r="G796" s="139"/>
      <c r="H796" s="139"/>
      <c r="I796" s="139"/>
      <c r="J796" s="139"/>
      <c r="K796" s="139"/>
      <c r="L796" s="243"/>
      <c r="M796" s="243"/>
      <c r="N796" s="139"/>
      <c r="O796" s="139"/>
      <c r="P796" s="139"/>
      <c r="Q796" s="147"/>
      <c r="R796" s="139"/>
      <c r="S796" s="139"/>
      <c r="T796" s="139"/>
      <c r="U796" s="139"/>
      <c r="V796" s="139"/>
      <c r="W796" s="139"/>
      <c r="X796" s="146"/>
      <c r="Y796" s="148"/>
      <c r="Z796" s="145"/>
      <c r="AA796" s="139"/>
      <c r="AB796" s="149"/>
      <c r="AC796" s="11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74"/>
      <c r="AR796" s="222"/>
    </row>
    <row r="797" spans="2:44" s="22" customFormat="1" ht="18" customHeight="1" x14ac:dyDescent="0.25">
      <c r="B797" s="145"/>
      <c r="C797" s="139"/>
      <c r="D797" s="146"/>
      <c r="E797" s="139"/>
      <c r="F797" s="139"/>
      <c r="G797" s="139"/>
      <c r="H797" s="139"/>
      <c r="I797" s="139"/>
      <c r="J797" s="139"/>
      <c r="K797" s="139"/>
      <c r="L797" s="243"/>
      <c r="M797" s="243"/>
      <c r="N797" s="139"/>
      <c r="O797" s="139"/>
      <c r="P797" s="139"/>
      <c r="Q797" s="147"/>
      <c r="R797" s="139"/>
      <c r="S797" s="139"/>
      <c r="T797" s="139"/>
      <c r="U797" s="139"/>
      <c r="V797" s="139"/>
      <c r="W797" s="139"/>
      <c r="X797" s="146"/>
      <c r="Y797" s="148"/>
      <c r="Z797" s="145"/>
      <c r="AA797" s="139"/>
      <c r="AB797" s="149"/>
      <c r="AC797" s="11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74"/>
      <c r="AR797" s="222"/>
    </row>
    <row r="798" spans="2:44" s="22" customFormat="1" ht="18" customHeight="1" x14ac:dyDescent="0.25">
      <c r="B798" s="145"/>
      <c r="C798" s="139"/>
      <c r="D798" s="146"/>
      <c r="E798" s="139"/>
      <c r="F798" s="139"/>
      <c r="G798" s="139"/>
      <c r="H798" s="139"/>
      <c r="I798" s="139"/>
      <c r="J798" s="139"/>
      <c r="K798" s="139"/>
      <c r="L798" s="243"/>
      <c r="M798" s="243"/>
      <c r="N798" s="139"/>
      <c r="O798" s="139"/>
      <c r="P798" s="139"/>
      <c r="Q798" s="147"/>
      <c r="R798" s="139"/>
      <c r="S798" s="139"/>
      <c r="T798" s="139"/>
      <c r="U798" s="139"/>
      <c r="V798" s="139"/>
      <c r="W798" s="139"/>
      <c r="X798" s="146"/>
      <c r="Y798" s="148"/>
      <c r="Z798" s="145"/>
      <c r="AA798" s="139"/>
      <c r="AB798" s="149"/>
      <c r="AC798" s="11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74"/>
      <c r="AR798" s="222"/>
    </row>
    <row r="799" spans="2:44" s="22" customFormat="1" ht="18" customHeight="1" x14ac:dyDescent="0.25">
      <c r="B799" s="145"/>
      <c r="C799" s="139"/>
      <c r="D799" s="146"/>
      <c r="E799" s="139"/>
      <c r="F799" s="139"/>
      <c r="G799" s="139"/>
      <c r="H799" s="139"/>
      <c r="I799" s="139"/>
      <c r="J799" s="139"/>
      <c r="K799" s="139"/>
      <c r="L799" s="243"/>
      <c r="M799" s="243"/>
      <c r="N799" s="139"/>
      <c r="O799" s="139"/>
      <c r="P799" s="139"/>
      <c r="Q799" s="147"/>
      <c r="R799" s="139"/>
      <c r="S799" s="139"/>
      <c r="T799" s="139"/>
      <c r="U799" s="139"/>
      <c r="V799" s="139"/>
      <c r="W799" s="139"/>
      <c r="X799" s="146"/>
      <c r="Y799" s="148"/>
      <c r="Z799" s="145"/>
      <c r="AA799" s="139"/>
      <c r="AB799" s="149"/>
      <c r="AC799" s="11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74"/>
      <c r="AR799" s="222"/>
    </row>
    <row r="800" spans="2:44" s="22" customFormat="1" ht="18" customHeight="1" x14ac:dyDescent="0.25">
      <c r="B800" s="145"/>
      <c r="C800" s="139"/>
      <c r="D800" s="146"/>
      <c r="E800" s="139"/>
      <c r="F800" s="139"/>
      <c r="G800" s="139"/>
      <c r="H800" s="139"/>
      <c r="I800" s="139"/>
      <c r="J800" s="139"/>
      <c r="K800" s="139"/>
      <c r="L800" s="243"/>
      <c r="M800" s="243"/>
      <c r="N800" s="139"/>
      <c r="O800" s="139"/>
      <c r="P800" s="139"/>
      <c r="Q800" s="147"/>
      <c r="R800" s="139"/>
      <c r="S800" s="139"/>
      <c r="T800" s="139"/>
      <c r="U800" s="139"/>
      <c r="V800" s="139"/>
      <c r="W800" s="139"/>
      <c r="X800" s="146"/>
      <c r="Y800" s="148"/>
      <c r="Z800" s="145"/>
      <c r="AA800" s="139"/>
      <c r="AB800" s="149"/>
      <c r="AC800" s="11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74"/>
      <c r="AR800" s="222"/>
    </row>
    <row r="801" spans="2:44" s="140" customFormat="1" ht="18" customHeight="1" x14ac:dyDescent="0.25">
      <c r="B801" s="145"/>
      <c r="C801" s="139"/>
      <c r="D801" s="146"/>
      <c r="E801" s="139"/>
      <c r="F801" s="139"/>
      <c r="G801" s="139"/>
      <c r="H801" s="139"/>
      <c r="I801" s="139"/>
      <c r="J801" s="139"/>
      <c r="K801" s="139"/>
      <c r="L801" s="243"/>
      <c r="M801" s="243"/>
      <c r="N801" s="139"/>
      <c r="O801" s="139"/>
      <c r="P801" s="139"/>
      <c r="Q801" s="147"/>
      <c r="R801" s="139"/>
      <c r="S801" s="139"/>
      <c r="T801" s="139"/>
      <c r="U801" s="139"/>
      <c r="V801" s="139"/>
      <c r="W801" s="139"/>
      <c r="X801" s="146"/>
      <c r="Y801" s="148"/>
      <c r="Z801" s="145"/>
      <c r="AA801" s="139"/>
      <c r="AB801" s="149"/>
      <c r="AC801" s="11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74"/>
      <c r="AR801" s="222"/>
    </row>
    <row r="802" spans="2:44" s="141" customFormat="1" ht="18" customHeight="1" x14ac:dyDescent="0.25">
      <c r="B802" s="145"/>
      <c r="C802" s="139"/>
      <c r="D802" s="146"/>
      <c r="E802" s="139"/>
      <c r="F802" s="139"/>
      <c r="G802" s="139"/>
      <c r="H802" s="139"/>
      <c r="I802" s="139"/>
      <c r="J802" s="139"/>
      <c r="K802" s="139"/>
      <c r="L802" s="243"/>
      <c r="M802" s="243"/>
      <c r="N802" s="139"/>
      <c r="O802" s="139"/>
      <c r="P802" s="139"/>
      <c r="Q802" s="147"/>
      <c r="R802" s="139"/>
      <c r="S802" s="139"/>
      <c r="T802" s="139"/>
      <c r="U802" s="139"/>
      <c r="V802" s="139"/>
      <c r="W802" s="139"/>
      <c r="X802" s="146"/>
      <c r="Y802" s="148"/>
      <c r="Z802" s="145"/>
      <c r="AA802" s="139"/>
      <c r="AB802" s="149"/>
      <c r="AC802" s="11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74"/>
      <c r="AR802" s="222"/>
    </row>
    <row r="803" spans="2:44" s="141" customFormat="1" ht="18" customHeight="1" x14ac:dyDescent="0.25">
      <c r="B803" s="145"/>
      <c r="C803" s="139"/>
      <c r="D803" s="146"/>
      <c r="E803" s="139"/>
      <c r="F803" s="139"/>
      <c r="G803" s="139"/>
      <c r="H803" s="139"/>
      <c r="I803" s="139"/>
      <c r="J803" s="139"/>
      <c r="K803" s="139"/>
      <c r="L803" s="243"/>
      <c r="M803" s="243"/>
      <c r="N803" s="139"/>
      <c r="O803" s="139"/>
      <c r="P803" s="139"/>
      <c r="Q803" s="147"/>
      <c r="R803" s="139"/>
      <c r="S803" s="139"/>
      <c r="T803" s="139"/>
      <c r="U803" s="139"/>
      <c r="V803" s="139"/>
      <c r="W803" s="139"/>
      <c r="X803" s="146"/>
      <c r="Y803" s="148"/>
      <c r="Z803" s="145"/>
      <c r="AA803" s="139"/>
      <c r="AB803" s="149"/>
      <c r="AC803" s="11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74"/>
      <c r="AR803" s="222"/>
    </row>
    <row r="804" spans="2:44" s="140" customFormat="1" ht="18" customHeight="1" x14ac:dyDescent="0.25">
      <c r="B804" s="145"/>
      <c r="C804" s="139"/>
      <c r="D804" s="146"/>
      <c r="E804" s="139"/>
      <c r="F804" s="139"/>
      <c r="G804" s="139"/>
      <c r="H804" s="139"/>
      <c r="I804" s="139"/>
      <c r="J804" s="139"/>
      <c r="K804" s="139"/>
      <c r="L804" s="243"/>
      <c r="M804" s="243"/>
      <c r="N804" s="139"/>
      <c r="O804" s="139"/>
      <c r="P804" s="139"/>
      <c r="Q804" s="147"/>
      <c r="R804" s="139"/>
      <c r="S804" s="139"/>
      <c r="T804" s="139"/>
      <c r="U804" s="139"/>
      <c r="V804" s="139"/>
      <c r="W804" s="139"/>
      <c r="X804" s="146"/>
      <c r="Y804" s="148"/>
      <c r="Z804" s="145"/>
      <c r="AA804" s="139"/>
      <c r="AB804" s="149"/>
      <c r="AC804" s="11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74"/>
      <c r="AR804" s="222"/>
    </row>
    <row r="805" spans="2:44" s="140" customFormat="1" ht="18" customHeight="1" x14ac:dyDescent="0.25">
      <c r="B805" s="145"/>
      <c r="C805" s="139"/>
      <c r="D805" s="146"/>
      <c r="E805" s="139"/>
      <c r="F805" s="139"/>
      <c r="G805" s="139"/>
      <c r="H805" s="139"/>
      <c r="I805" s="139"/>
      <c r="J805" s="139"/>
      <c r="K805" s="139"/>
      <c r="L805" s="243"/>
      <c r="M805" s="243"/>
      <c r="N805" s="139"/>
      <c r="O805" s="139"/>
      <c r="P805" s="139"/>
      <c r="Q805" s="147"/>
      <c r="R805" s="139"/>
      <c r="S805" s="139"/>
      <c r="T805" s="139"/>
      <c r="U805" s="139"/>
      <c r="V805" s="139"/>
      <c r="W805" s="139"/>
      <c r="X805" s="146"/>
      <c r="Y805" s="148"/>
      <c r="Z805" s="145"/>
      <c r="AA805" s="139"/>
      <c r="AB805" s="149"/>
      <c r="AC805" s="11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74"/>
      <c r="AR805" s="222"/>
    </row>
    <row r="806" spans="2:44" s="140" customFormat="1" ht="18" customHeight="1" x14ac:dyDescent="0.25">
      <c r="B806" s="145"/>
      <c r="C806" s="139"/>
      <c r="D806" s="146"/>
      <c r="E806" s="139"/>
      <c r="F806" s="139"/>
      <c r="G806" s="139"/>
      <c r="H806" s="139"/>
      <c r="I806" s="139"/>
      <c r="J806" s="139"/>
      <c r="K806" s="139"/>
      <c r="L806" s="243"/>
      <c r="M806" s="243"/>
      <c r="N806" s="139"/>
      <c r="O806" s="139"/>
      <c r="P806" s="139"/>
      <c r="Q806" s="147"/>
      <c r="R806" s="139"/>
      <c r="S806" s="139"/>
      <c r="T806" s="139"/>
      <c r="U806" s="139"/>
      <c r="V806" s="139"/>
      <c r="W806" s="139"/>
      <c r="X806" s="146"/>
      <c r="Y806" s="148"/>
      <c r="Z806" s="145"/>
      <c r="AA806" s="139"/>
      <c r="AB806" s="149"/>
      <c r="AC806" s="11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74"/>
      <c r="AR806" s="222"/>
    </row>
    <row r="807" spans="2:44" s="22" customFormat="1" ht="18" customHeight="1" x14ac:dyDescent="0.25">
      <c r="B807" s="145"/>
      <c r="C807" s="139"/>
      <c r="D807" s="146"/>
      <c r="E807" s="139"/>
      <c r="F807" s="139"/>
      <c r="G807" s="139"/>
      <c r="H807" s="139"/>
      <c r="I807" s="139"/>
      <c r="J807" s="139"/>
      <c r="K807" s="139"/>
      <c r="L807" s="243"/>
      <c r="M807" s="243"/>
      <c r="N807" s="139"/>
      <c r="O807" s="139"/>
      <c r="P807" s="139"/>
      <c r="Q807" s="147"/>
      <c r="R807" s="139"/>
      <c r="S807" s="139"/>
      <c r="T807" s="139"/>
      <c r="U807" s="139"/>
      <c r="V807" s="139"/>
      <c r="W807" s="139"/>
      <c r="X807" s="146"/>
      <c r="Y807" s="148"/>
      <c r="Z807" s="145"/>
      <c r="AA807" s="139"/>
      <c r="AB807" s="149"/>
      <c r="AC807" s="11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74"/>
      <c r="AR807" s="222"/>
    </row>
    <row r="808" spans="2:44" s="141" customFormat="1" ht="18" customHeight="1" x14ac:dyDescent="0.25">
      <c r="B808" s="145"/>
      <c r="C808" s="139"/>
      <c r="D808" s="146"/>
      <c r="E808" s="139"/>
      <c r="F808" s="139"/>
      <c r="G808" s="139"/>
      <c r="H808" s="139"/>
      <c r="I808" s="139"/>
      <c r="J808" s="139"/>
      <c r="K808" s="139"/>
      <c r="L808" s="243"/>
      <c r="M808" s="243"/>
      <c r="N808" s="139"/>
      <c r="O808" s="139"/>
      <c r="P808" s="139"/>
      <c r="Q808" s="147"/>
      <c r="R808" s="139"/>
      <c r="S808" s="139"/>
      <c r="T808" s="139"/>
      <c r="U808" s="139"/>
      <c r="V808" s="139"/>
      <c r="W808" s="139"/>
      <c r="X808" s="146"/>
      <c r="Y808" s="148"/>
      <c r="Z808" s="145"/>
      <c r="AA808" s="139"/>
      <c r="AB808" s="149"/>
      <c r="AC808" s="11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74"/>
      <c r="AR808" s="222"/>
    </row>
    <row r="809" spans="2:44" s="22" customFormat="1" ht="18" customHeight="1" x14ac:dyDescent="0.25">
      <c r="B809" s="145"/>
      <c r="C809" s="139"/>
      <c r="D809" s="146"/>
      <c r="E809" s="139"/>
      <c r="F809" s="139"/>
      <c r="G809" s="139"/>
      <c r="H809" s="139"/>
      <c r="I809" s="139"/>
      <c r="J809" s="139"/>
      <c r="K809" s="139"/>
      <c r="L809" s="243"/>
      <c r="M809" s="243"/>
      <c r="N809" s="139"/>
      <c r="O809" s="139"/>
      <c r="P809" s="139"/>
      <c r="Q809" s="147"/>
      <c r="R809" s="139"/>
      <c r="S809" s="139"/>
      <c r="T809" s="139"/>
      <c r="U809" s="139"/>
      <c r="V809" s="139"/>
      <c r="W809" s="139"/>
      <c r="X809" s="146"/>
      <c r="Y809" s="148"/>
      <c r="Z809" s="145"/>
      <c r="AA809" s="139"/>
      <c r="AB809" s="149"/>
      <c r="AC809" s="11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74"/>
      <c r="AR809" s="222"/>
    </row>
    <row r="810" spans="2:44" s="22" customFormat="1" ht="18" customHeight="1" x14ac:dyDescent="0.25">
      <c r="B810" s="145"/>
      <c r="C810" s="139"/>
      <c r="D810" s="146"/>
      <c r="E810" s="139"/>
      <c r="F810" s="139"/>
      <c r="G810" s="139"/>
      <c r="H810" s="139"/>
      <c r="I810" s="139"/>
      <c r="J810" s="139"/>
      <c r="K810" s="139"/>
      <c r="L810" s="243"/>
      <c r="M810" s="243"/>
      <c r="N810" s="139"/>
      <c r="O810" s="139"/>
      <c r="P810" s="139"/>
      <c r="Q810" s="147"/>
      <c r="R810" s="139"/>
      <c r="S810" s="139"/>
      <c r="T810" s="139"/>
      <c r="U810" s="139"/>
      <c r="V810" s="139"/>
      <c r="W810" s="139"/>
      <c r="X810" s="146"/>
      <c r="Y810" s="148"/>
      <c r="Z810" s="145"/>
      <c r="AA810" s="139"/>
      <c r="AB810" s="149"/>
      <c r="AC810" s="11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74"/>
      <c r="AR810" s="222"/>
    </row>
    <row r="811" spans="2:44" s="22" customFormat="1" ht="18" customHeight="1" x14ac:dyDescent="0.25">
      <c r="B811" s="145"/>
      <c r="C811" s="139"/>
      <c r="D811" s="146"/>
      <c r="E811" s="139"/>
      <c r="F811" s="139"/>
      <c r="G811" s="139"/>
      <c r="H811" s="139"/>
      <c r="I811" s="139"/>
      <c r="J811" s="139"/>
      <c r="K811" s="139"/>
      <c r="L811" s="243"/>
      <c r="M811" s="243"/>
      <c r="N811" s="139"/>
      <c r="O811" s="139"/>
      <c r="P811" s="139"/>
      <c r="Q811" s="147"/>
      <c r="R811" s="139"/>
      <c r="S811" s="139"/>
      <c r="T811" s="139"/>
      <c r="U811" s="139"/>
      <c r="V811" s="139"/>
      <c r="W811" s="139"/>
      <c r="X811" s="146"/>
      <c r="Y811" s="148"/>
      <c r="Z811" s="145"/>
      <c r="AA811" s="139"/>
      <c r="AB811" s="149"/>
      <c r="AC811" s="11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74"/>
      <c r="AR811" s="222"/>
    </row>
    <row r="812" spans="2:44" s="140" customFormat="1" ht="18" customHeight="1" x14ac:dyDescent="0.25">
      <c r="B812" s="145"/>
      <c r="C812" s="139"/>
      <c r="D812" s="146"/>
      <c r="E812" s="139"/>
      <c r="F812" s="139"/>
      <c r="G812" s="139"/>
      <c r="H812" s="139"/>
      <c r="I812" s="139"/>
      <c r="J812" s="139"/>
      <c r="K812" s="139"/>
      <c r="L812" s="243"/>
      <c r="M812" s="243"/>
      <c r="N812" s="139"/>
      <c r="O812" s="139"/>
      <c r="P812" s="139"/>
      <c r="Q812" s="147"/>
      <c r="R812" s="139"/>
      <c r="S812" s="139"/>
      <c r="T812" s="139"/>
      <c r="U812" s="139"/>
      <c r="V812" s="139"/>
      <c r="W812" s="139"/>
      <c r="X812" s="146"/>
      <c r="Y812" s="148"/>
      <c r="Z812" s="145"/>
      <c r="AA812" s="139"/>
      <c r="AB812" s="149"/>
      <c r="AC812" s="11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74"/>
      <c r="AR812" s="222"/>
    </row>
    <row r="813" spans="2:44" s="22" customFormat="1" ht="18" customHeight="1" x14ac:dyDescent="0.25">
      <c r="B813" s="145"/>
      <c r="C813" s="139"/>
      <c r="D813" s="146"/>
      <c r="E813" s="139"/>
      <c r="F813" s="139"/>
      <c r="G813" s="139"/>
      <c r="H813" s="139"/>
      <c r="I813" s="139"/>
      <c r="J813" s="139"/>
      <c r="K813" s="139"/>
      <c r="L813" s="243"/>
      <c r="M813" s="243"/>
      <c r="N813" s="139"/>
      <c r="O813" s="139"/>
      <c r="P813" s="139"/>
      <c r="Q813" s="147"/>
      <c r="R813" s="139"/>
      <c r="S813" s="139"/>
      <c r="T813" s="139"/>
      <c r="U813" s="139"/>
      <c r="V813" s="139"/>
      <c r="W813" s="139"/>
      <c r="X813" s="146"/>
      <c r="Y813" s="148"/>
      <c r="Z813" s="145"/>
      <c r="AA813" s="139"/>
      <c r="AB813" s="149"/>
      <c r="AC813" s="11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74"/>
      <c r="AR813" s="222"/>
    </row>
    <row r="814" spans="2:44" s="22" customFormat="1" ht="18" customHeight="1" x14ac:dyDescent="0.25">
      <c r="B814" s="145"/>
      <c r="C814" s="139"/>
      <c r="D814" s="146"/>
      <c r="E814" s="139"/>
      <c r="F814" s="139"/>
      <c r="G814" s="139"/>
      <c r="H814" s="139"/>
      <c r="I814" s="139"/>
      <c r="J814" s="139"/>
      <c r="K814" s="139"/>
      <c r="L814" s="243"/>
      <c r="M814" s="243"/>
      <c r="N814" s="139"/>
      <c r="O814" s="139"/>
      <c r="P814" s="139"/>
      <c r="Q814" s="147"/>
      <c r="R814" s="139"/>
      <c r="S814" s="139"/>
      <c r="T814" s="139"/>
      <c r="U814" s="139"/>
      <c r="V814" s="139"/>
      <c r="W814" s="139"/>
      <c r="X814" s="146"/>
      <c r="Y814" s="148"/>
      <c r="Z814" s="145"/>
      <c r="AA814" s="139"/>
      <c r="AB814" s="149"/>
      <c r="AC814" s="11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74"/>
      <c r="AR814" s="222"/>
    </row>
    <row r="815" spans="2:44" s="22" customFormat="1" ht="18" customHeight="1" x14ac:dyDescent="0.25">
      <c r="B815" s="145"/>
      <c r="C815" s="139"/>
      <c r="D815" s="146"/>
      <c r="E815" s="139"/>
      <c r="F815" s="139"/>
      <c r="G815" s="139"/>
      <c r="H815" s="139"/>
      <c r="I815" s="139"/>
      <c r="J815" s="139"/>
      <c r="K815" s="139"/>
      <c r="L815" s="243"/>
      <c r="M815" s="243"/>
      <c r="N815" s="139"/>
      <c r="O815" s="139"/>
      <c r="P815" s="139"/>
      <c r="Q815" s="147"/>
      <c r="R815" s="139"/>
      <c r="S815" s="139"/>
      <c r="T815" s="139"/>
      <c r="U815" s="139"/>
      <c r="V815" s="139"/>
      <c r="W815" s="139"/>
      <c r="X815" s="146"/>
      <c r="Y815" s="148"/>
      <c r="Z815" s="145"/>
      <c r="AA815" s="139"/>
      <c r="AB815" s="149"/>
      <c r="AC815" s="11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74"/>
      <c r="AR815" s="222"/>
    </row>
    <row r="816" spans="2:44" s="22" customFormat="1" ht="18" customHeight="1" x14ac:dyDescent="0.25">
      <c r="B816" s="145"/>
      <c r="C816" s="139"/>
      <c r="D816" s="146"/>
      <c r="E816" s="139"/>
      <c r="F816" s="139"/>
      <c r="G816" s="139"/>
      <c r="H816" s="139"/>
      <c r="I816" s="139"/>
      <c r="J816" s="139"/>
      <c r="K816" s="139"/>
      <c r="L816" s="243"/>
      <c r="M816" s="243"/>
      <c r="N816" s="139"/>
      <c r="O816" s="139"/>
      <c r="P816" s="139"/>
      <c r="Q816" s="147"/>
      <c r="R816" s="139"/>
      <c r="S816" s="139"/>
      <c r="T816" s="139"/>
      <c r="U816" s="139"/>
      <c r="V816" s="139"/>
      <c r="W816" s="139"/>
      <c r="X816" s="146"/>
      <c r="Y816" s="148"/>
      <c r="Z816" s="145"/>
      <c r="AA816" s="139"/>
      <c r="AB816" s="149"/>
      <c r="AC816" s="11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74"/>
      <c r="AR816" s="222"/>
    </row>
    <row r="817" spans="2:44" s="140" customFormat="1" ht="18" customHeight="1" x14ac:dyDescent="0.25">
      <c r="B817" s="145"/>
      <c r="C817" s="139"/>
      <c r="D817" s="146"/>
      <c r="E817" s="139"/>
      <c r="F817" s="139"/>
      <c r="G817" s="139"/>
      <c r="H817" s="139"/>
      <c r="I817" s="139"/>
      <c r="J817" s="139"/>
      <c r="K817" s="139"/>
      <c r="L817" s="243"/>
      <c r="M817" s="243"/>
      <c r="N817" s="139"/>
      <c r="O817" s="139"/>
      <c r="P817" s="139"/>
      <c r="Q817" s="147"/>
      <c r="R817" s="139"/>
      <c r="S817" s="139"/>
      <c r="T817" s="139"/>
      <c r="U817" s="139"/>
      <c r="V817" s="139"/>
      <c r="W817" s="139"/>
      <c r="X817" s="146"/>
      <c r="Y817" s="148"/>
      <c r="Z817" s="145"/>
      <c r="AA817" s="139"/>
      <c r="AB817" s="149"/>
      <c r="AC817" s="11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74"/>
      <c r="AR817" s="222"/>
    </row>
    <row r="818" spans="2:44" s="140" customFormat="1" ht="18" customHeight="1" x14ac:dyDescent="0.25">
      <c r="B818" s="145"/>
      <c r="C818" s="139"/>
      <c r="D818" s="146"/>
      <c r="E818" s="139"/>
      <c r="F818" s="139"/>
      <c r="G818" s="139"/>
      <c r="H818" s="139"/>
      <c r="I818" s="139"/>
      <c r="J818" s="139"/>
      <c r="K818" s="139"/>
      <c r="L818" s="243"/>
      <c r="M818" s="243"/>
      <c r="N818" s="139"/>
      <c r="O818" s="139"/>
      <c r="P818" s="139"/>
      <c r="Q818" s="147"/>
      <c r="R818" s="139"/>
      <c r="S818" s="139"/>
      <c r="T818" s="139"/>
      <c r="U818" s="139"/>
      <c r="V818" s="139"/>
      <c r="W818" s="139"/>
      <c r="X818" s="146"/>
      <c r="Y818" s="148"/>
      <c r="Z818" s="145"/>
      <c r="AA818" s="139"/>
      <c r="AB818" s="149"/>
      <c r="AC818" s="11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74"/>
      <c r="AR818" s="222"/>
    </row>
    <row r="819" spans="2:44" s="140" customFormat="1" ht="18" customHeight="1" x14ac:dyDescent="0.25">
      <c r="B819" s="145"/>
      <c r="C819" s="139"/>
      <c r="D819" s="146"/>
      <c r="E819" s="139"/>
      <c r="F819" s="139"/>
      <c r="G819" s="139"/>
      <c r="H819" s="139"/>
      <c r="I819" s="139"/>
      <c r="J819" s="139"/>
      <c r="K819" s="139"/>
      <c r="L819" s="243"/>
      <c r="M819" s="243"/>
      <c r="N819" s="139"/>
      <c r="O819" s="139"/>
      <c r="P819" s="139"/>
      <c r="Q819" s="147"/>
      <c r="R819" s="139"/>
      <c r="S819" s="139"/>
      <c r="T819" s="139"/>
      <c r="U819" s="139"/>
      <c r="V819" s="139"/>
      <c r="W819" s="139"/>
      <c r="X819" s="146"/>
      <c r="Y819" s="148"/>
      <c r="Z819" s="145"/>
      <c r="AA819" s="139"/>
      <c r="AB819" s="149"/>
      <c r="AC819" s="11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74"/>
      <c r="AR819" s="222"/>
    </row>
    <row r="820" spans="2:44" s="22" customFormat="1" ht="18" customHeight="1" x14ac:dyDescent="0.25">
      <c r="B820" s="145"/>
      <c r="C820" s="139"/>
      <c r="D820" s="146"/>
      <c r="E820" s="139"/>
      <c r="F820" s="139"/>
      <c r="G820" s="139"/>
      <c r="H820" s="139"/>
      <c r="I820" s="139"/>
      <c r="J820" s="139"/>
      <c r="K820" s="139"/>
      <c r="L820" s="243"/>
      <c r="M820" s="243"/>
      <c r="N820" s="139"/>
      <c r="O820" s="139"/>
      <c r="P820" s="139"/>
      <c r="Q820" s="147"/>
      <c r="R820" s="139"/>
      <c r="S820" s="139"/>
      <c r="T820" s="139"/>
      <c r="U820" s="139"/>
      <c r="V820" s="139"/>
      <c r="W820" s="139"/>
      <c r="X820" s="146"/>
      <c r="Y820" s="148"/>
      <c r="Z820" s="145"/>
      <c r="AA820" s="139"/>
      <c r="AB820" s="149"/>
      <c r="AC820" s="11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74"/>
      <c r="AR820" s="222"/>
    </row>
    <row r="821" spans="2:44" s="22" customFormat="1" ht="18" customHeight="1" x14ac:dyDescent="0.25">
      <c r="B821" s="145"/>
      <c r="C821" s="139"/>
      <c r="D821" s="146"/>
      <c r="E821" s="139"/>
      <c r="F821" s="139"/>
      <c r="G821" s="139"/>
      <c r="H821" s="139"/>
      <c r="I821" s="139"/>
      <c r="J821" s="139"/>
      <c r="K821" s="139"/>
      <c r="L821" s="243"/>
      <c r="M821" s="243"/>
      <c r="N821" s="139"/>
      <c r="O821" s="139"/>
      <c r="P821" s="139"/>
      <c r="Q821" s="147"/>
      <c r="R821" s="139"/>
      <c r="S821" s="139"/>
      <c r="T821" s="139"/>
      <c r="U821" s="139"/>
      <c r="V821" s="139"/>
      <c r="W821" s="139"/>
      <c r="X821" s="146"/>
      <c r="Y821" s="148"/>
      <c r="Z821" s="145"/>
      <c r="AA821" s="139"/>
      <c r="AB821" s="149"/>
      <c r="AC821" s="11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74"/>
      <c r="AR821" s="222"/>
    </row>
    <row r="822" spans="2:44" s="22" customFormat="1" ht="18" customHeight="1" x14ac:dyDescent="0.25">
      <c r="B822" s="145"/>
      <c r="C822" s="139"/>
      <c r="D822" s="146"/>
      <c r="E822" s="139"/>
      <c r="F822" s="139"/>
      <c r="G822" s="139"/>
      <c r="H822" s="139"/>
      <c r="I822" s="139"/>
      <c r="J822" s="139"/>
      <c r="K822" s="139"/>
      <c r="L822" s="243"/>
      <c r="M822" s="243"/>
      <c r="N822" s="139"/>
      <c r="O822" s="139"/>
      <c r="P822" s="139"/>
      <c r="Q822" s="147"/>
      <c r="R822" s="139"/>
      <c r="S822" s="139"/>
      <c r="T822" s="139"/>
      <c r="U822" s="139"/>
      <c r="V822" s="139"/>
      <c r="W822" s="139"/>
      <c r="X822" s="146"/>
      <c r="Y822" s="148"/>
      <c r="Z822" s="145"/>
      <c r="AA822" s="139"/>
      <c r="AB822" s="149"/>
      <c r="AC822" s="11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74"/>
      <c r="AR822" s="222"/>
    </row>
    <row r="823" spans="2:44" s="22" customFormat="1" ht="18" customHeight="1" x14ac:dyDescent="0.25">
      <c r="B823" s="145"/>
      <c r="C823" s="139"/>
      <c r="D823" s="146"/>
      <c r="E823" s="139"/>
      <c r="F823" s="139"/>
      <c r="G823" s="139"/>
      <c r="H823" s="139"/>
      <c r="I823" s="139"/>
      <c r="J823" s="139"/>
      <c r="K823" s="139"/>
      <c r="L823" s="243"/>
      <c r="M823" s="243"/>
      <c r="N823" s="139"/>
      <c r="O823" s="139"/>
      <c r="P823" s="139"/>
      <c r="Q823" s="147"/>
      <c r="R823" s="139"/>
      <c r="S823" s="139"/>
      <c r="T823" s="139"/>
      <c r="U823" s="139"/>
      <c r="V823" s="139"/>
      <c r="W823" s="139"/>
      <c r="X823" s="146"/>
      <c r="Y823" s="148"/>
      <c r="Z823" s="145"/>
      <c r="AA823" s="139"/>
      <c r="AB823" s="149"/>
      <c r="AC823" s="11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74"/>
      <c r="AR823" s="222"/>
    </row>
    <row r="824" spans="2:44" s="22" customFormat="1" ht="18" customHeight="1" x14ac:dyDescent="0.25">
      <c r="B824" s="145"/>
      <c r="C824" s="139"/>
      <c r="D824" s="146"/>
      <c r="E824" s="139"/>
      <c r="F824" s="139"/>
      <c r="G824" s="139"/>
      <c r="H824" s="139"/>
      <c r="I824" s="139"/>
      <c r="J824" s="139"/>
      <c r="K824" s="139"/>
      <c r="L824" s="243"/>
      <c r="M824" s="243"/>
      <c r="N824" s="139"/>
      <c r="O824" s="139"/>
      <c r="P824" s="139"/>
      <c r="Q824" s="147"/>
      <c r="R824" s="139"/>
      <c r="S824" s="139"/>
      <c r="T824" s="139"/>
      <c r="U824" s="139"/>
      <c r="V824" s="139"/>
      <c r="W824" s="139"/>
      <c r="X824" s="146"/>
      <c r="Y824" s="148"/>
      <c r="Z824" s="145"/>
      <c r="AA824" s="139"/>
      <c r="AB824" s="149"/>
      <c r="AC824" s="11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74"/>
      <c r="AR824" s="222"/>
    </row>
    <row r="825" spans="2:44" s="22" customFormat="1" ht="18" customHeight="1" x14ac:dyDescent="0.25">
      <c r="B825" s="145"/>
      <c r="C825" s="139"/>
      <c r="D825" s="146"/>
      <c r="E825" s="139"/>
      <c r="F825" s="139"/>
      <c r="G825" s="139"/>
      <c r="H825" s="139"/>
      <c r="I825" s="139"/>
      <c r="J825" s="139"/>
      <c r="K825" s="139"/>
      <c r="L825" s="243"/>
      <c r="M825" s="243"/>
      <c r="N825" s="139"/>
      <c r="O825" s="139"/>
      <c r="P825" s="139"/>
      <c r="Q825" s="147"/>
      <c r="R825" s="139"/>
      <c r="S825" s="139"/>
      <c r="T825" s="139"/>
      <c r="U825" s="139"/>
      <c r="V825" s="139"/>
      <c r="W825" s="139"/>
      <c r="X825" s="146"/>
      <c r="Y825" s="148"/>
      <c r="Z825" s="145"/>
      <c r="AA825" s="139"/>
      <c r="AB825" s="149"/>
      <c r="AC825" s="11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74"/>
      <c r="AR825" s="222"/>
    </row>
    <row r="826" spans="2:44" s="22" customFormat="1" ht="18" customHeight="1" x14ac:dyDescent="0.25">
      <c r="B826" s="145"/>
      <c r="C826" s="139"/>
      <c r="D826" s="146"/>
      <c r="E826" s="139"/>
      <c r="F826" s="139"/>
      <c r="G826" s="139"/>
      <c r="H826" s="139"/>
      <c r="I826" s="139"/>
      <c r="J826" s="139"/>
      <c r="K826" s="139"/>
      <c r="L826" s="243"/>
      <c r="M826" s="243"/>
      <c r="N826" s="139"/>
      <c r="O826" s="139"/>
      <c r="P826" s="139"/>
      <c r="Q826" s="147"/>
      <c r="R826" s="139"/>
      <c r="S826" s="139"/>
      <c r="T826" s="139"/>
      <c r="U826" s="139"/>
      <c r="V826" s="139"/>
      <c r="W826" s="139"/>
      <c r="X826" s="146"/>
      <c r="Y826" s="148"/>
      <c r="Z826" s="145"/>
      <c r="AA826" s="139"/>
      <c r="AB826" s="149"/>
      <c r="AC826" s="11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74"/>
      <c r="AR826" s="222"/>
    </row>
    <row r="827" spans="2:44" s="22" customFormat="1" ht="18" customHeight="1" x14ac:dyDescent="0.25">
      <c r="B827" s="145"/>
      <c r="C827" s="139"/>
      <c r="D827" s="146"/>
      <c r="E827" s="139"/>
      <c r="F827" s="139"/>
      <c r="G827" s="139"/>
      <c r="H827" s="139"/>
      <c r="I827" s="139"/>
      <c r="J827" s="139"/>
      <c r="K827" s="139"/>
      <c r="L827" s="243"/>
      <c r="M827" s="243"/>
      <c r="N827" s="139"/>
      <c r="O827" s="139"/>
      <c r="P827" s="139"/>
      <c r="Q827" s="147"/>
      <c r="R827" s="139"/>
      <c r="S827" s="139"/>
      <c r="T827" s="139"/>
      <c r="U827" s="139"/>
      <c r="V827" s="139"/>
      <c r="W827" s="139"/>
      <c r="X827" s="146"/>
      <c r="Y827" s="148"/>
      <c r="Z827" s="145"/>
      <c r="AA827" s="139"/>
      <c r="AB827" s="149"/>
      <c r="AC827" s="11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74"/>
      <c r="AR827" s="222"/>
    </row>
    <row r="828" spans="2:44" s="22" customFormat="1" ht="18" customHeight="1" x14ac:dyDescent="0.25">
      <c r="B828" s="145"/>
      <c r="C828" s="139"/>
      <c r="D828" s="146"/>
      <c r="E828" s="139"/>
      <c r="F828" s="139"/>
      <c r="G828" s="139"/>
      <c r="H828" s="139"/>
      <c r="I828" s="139"/>
      <c r="J828" s="139"/>
      <c r="K828" s="139"/>
      <c r="L828" s="243"/>
      <c r="M828" s="243"/>
      <c r="N828" s="139"/>
      <c r="O828" s="139"/>
      <c r="P828" s="139"/>
      <c r="Q828" s="147"/>
      <c r="R828" s="139"/>
      <c r="S828" s="139"/>
      <c r="T828" s="139"/>
      <c r="U828" s="139"/>
      <c r="V828" s="139"/>
      <c r="W828" s="139"/>
      <c r="X828" s="146"/>
      <c r="Y828" s="148"/>
      <c r="Z828" s="145"/>
      <c r="AA828" s="139"/>
      <c r="AB828" s="149"/>
      <c r="AC828" s="11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74"/>
      <c r="AR828" s="222"/>
    </row>
    <row r="829" spans="2:44" s="22" customFormat="1" ht="18" customHeight="1" x14ac:dyDescent="0.25">
      <c r="B829" s="145"/>
      <c r="C829" s="139"/>
      <c r="D829" s="146"/>
      <c r="E829" s="139"/>
      <c r="F829" s="139"/>
      <c r="G829" s="139"/>
      <c r="H829" s="139"/>
      <c r="I829" s="139"/>
      <c r="J829" s="139"/>
      <c r="K829" s="139"/>
      <c r="L829" s="243"/>
      <c r="M829" s="243"/>
      <c r="N829" s="139"/>
      <c r="O829" s="139"/>
      <c r="P829" s="139"/>
      <c r="Q829" s="147"/>
      <c r="R829" s="139"/>
      <c r="S829" s="139"/>
      <c r="T829" s="139"/>
      <c r="U829" s="139"/>
      <c r="V829" s="139"/>
      <c r="W829" s="139"/>
      <c r="X829" s="146"/>
      <c r="Y829" s="148"/>
      <c r="Z829" s="145"/>
      <c r="AA829" s="139"/>
      <c r="AB829" s="149"/>
      <c r="AC829" s="11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74"/>
      <c r="AR829" s="222"/>
    </row>
    <row r="830" spans="2:44" s="22" customFormat="1" ht="18" customHeight="1" x14ac:dyDescent="0.25">
      <c r="B830" s="145"/>
      <c r="C830" s="139"/>
      <c r="D830" s="146"/>
      <c r="E830" s="139"/>
      <c r="F830" s="139"/>
      <c r="G830" s="139"/>
      <c r="H830" s="139"/>
      <c r="I830" s="139"/>
      <c r="J830" s="139"/>
      <c r="K830" s="139"/>
      <c r="L830" s="243"/>
      <c r="M830" s="243"/>
      <c r="N830" s="139"/>
      <c r="O830" s="139"/>
      <c r="P830" s="139"/>
      <c r="Q830" s="147"/>
      <c r="R830" s="139"/>
      <c r="S830" s="139"/>
      <c r="T830" s="139"/>
      <c r="U830" s="139"/>
      <c r="V830" s="139"/>
      <c r="W830" s="139"/>
      <c r="X830" s="146"/>
      <c r="Y830" s="148"/>
      <c r="Z830" s="145"/>
      <c r="AA830" s="139"/>
      <c r="AB830" s="149"/>
      <c r="AC830" s="11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74"/>
      <c r="AR830" s="222"/>
    </row>
    <row r="831" spans="2:44" s="22" customFormat="1" ht="18" customHeight="1" x14ac:dyDescent="0.25">
      <c r="B831" s="145"/>
      <c r="C831" s="139"/>
      <c r="D831" s="146"/>
      <c r="E831" s="139"/>
      <c r="F831" s="139"/>
      <c r="G831" s="139"/>
      <c r="H831" s="139"/>
      <c r="I831" s="139"/>
      <c r="J831" s="139"/>
      <c r="K831" s="139"/>
      <c r="L831" s="243"/>
      <c r="M831" s="243"/>
      <c r="N831" s="139"/>
      <c r="O831" s="139"/>
      <c r="P831" s="139"/>
      <c r="Q831" s="147"/>
      <c r="R831" s="139"/>
      <c r="S831" s="139"/>
      <c r="T831" s="139"/>
      <c r="U831" s="139"/>
      <c r="V831" s="139"/>
      <c r="W831" s="139"/>
      <c r="X831" s="146"/>
      <c r="Y831" s="148"/>
      <c r="Z831" s="145"/>
      <c r="AA831" s="139"/>
      <c r="AB831" s="149"/>
      <c r="AC831" s="11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74"/>
      <c r="AR831" s="222"/>
    </row>
    <row r="832" spans="2:44" s="22" customFormat="1" ht="18" customHeight="1" x14ac:dyDescent="0.25">
      <c r="B832" s="145"/>
      <c r="C832" s="139"/>
      <c r="D832" s="146"/>
      <c r="E832" s="139"/>
      <c r="F832" s="139"/>
      <c r="G832" s="139"/>
      <c r="H832" s="139"/>
      <c r="I832" s="139"/>
      <c r="J832" s="139"/>
      <c r="K832" s="139"/>
      <c r="L832" s="243"/>
      <c r="M832" s="243"/>
      <c r="N832" s="139"/>
      <c r="O832" s="139"/>
      <c r="P832" s="139"/>
      <c r="Q832" s="147"/>
      <c r="R832" s="139"/>
      <c r="S832" s="139"/>
      <c r="T832" s="139"/>
      <c r="U832" s="139"/>
      <c r="V832" s="139"/>
      <c r="W832" s="139"/>
      <c r="X832" s="146"/>
      <c r="Y832" s="148"/>
      <c r="Z832" s="145"/>
      <c r="AA832" s="139"/>
      <c r="AB832" s="149"/>
      <c r="AC832" s="11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74"/>
      <c r="AR832" s="222"/>
    </row>
    <row r="833" spans="2:44" s="22" customFormat="1" ht="18" customHeight="1" x14ac:dyDescent="0.25">
      <c r="B833" s="145"/>
      <c r="C833" s="139"/>
      <c r="D833" s="146"/>
      <c r="E833" s="139"/>
      <c r="F833" s="139"/>
      <c r="G833" s="139"/>
      <c r="H833" s="139"/>
      <c r="I833" s="139"/>
      <c r="J833" s="139"/>
      <c r="K833" s="139"/>
      <c r="L833" s="243"/>
      <c r="M833" s="243"/>
      <c r="N833" s="139"/>
      <c r="O833" s="139"/>
      <c r="P833" s="139"/>
      <c r="Q833" s="147"/>
      <c r="R833" s="139"/>
      <c r="S833" s="139"/>
      <c r="T833" s="139"/>
      <c r="U833" s="139"/>
      <c r="V833" s="139"/>
      <c r="W833" s="139"/>
      <c r="X833" s="146"/>
      <c r="Y833" s="148"/>
      <c r="Z833" s="145"/>
      <c r="AA833" s="139"/>
      <c r="AB833" s="149"/>
      <c r="AC833" s="11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74"/>
      <c r="AR833" s="222"/>
    </row>
    <row r="834" spans="2:44" s="22" customFormat="1" ht="18" customHeight="1" x14ac:dyDescent="0.25">
      <c r="B834" s="145"/>
      <c r="C834" s="139"/>
      <c r="D834" s="146"/>
      <c r="E834" s="139"/>
      <c r="F834" s="139"/>
      <c r="G834" s="139"/>
      <c r="H834" s="139"/>
      <c r="I834" s="139"/>
      <c r="J834" s="139"/>
      <c r="K834" s="139"/>
      <c r="L834" s="243"/>
      <c r="M834" s="243"/>
      <c r="N834" s="139"/>
      <c r="O834" s="139"/>
      <c r="P834" s="139"/>
      <c r="Q834" s="147"/>
      <c r="R834" s="139"/>
      <c r="S834" s="139"/>
      <c r="T834" s="139"/>
      <c r="U834" s="139"/>
      <c r="V834" s="139"/>
      <c r="W834" s="139"/>
      <c r="X834" s="146"/>
      <c r="Y834" s="148"/>
      <c r="Z834" s="145"/>
      <c r="AA834" s="139"/>
      <c r="AB834" s="149"/>
      <c r="AC834" s="11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74"/>
      <c r="AR834" s="222"/>
    </row>
    <row r="835" spans="2:44" s="22" customFormat="1" ht="18" customHeight="1" x14ac:dyDescent="0.25">
      <c r="B835" s="145"/>
      <c r="C835" s="139"/>
      <c r="D835" s="146"/>
      <c r="E835" s="139"/>
      <c r="F835" s="139"/>
      <c r="G835" s="139"/>
      <c r="H835" s="139"/>
      <c r="I835" s="139"/>
      <c r="J835" s="139"/>
      <c r="K835" s="139"/>
      <c r="L835" s="243"/>
      <c r="M835" s="243"/>
      <c r="N835" s="139"/>
      <c r="O835" s="139"/>
      <c r="P835" s="139"/>
      <c r="Q835" s="147"/>
      <c r="R835" s="139"/>
      <c r="S835" s="139"/>
      <c r="T835" s="139"/>
      <c r="U835" s="139"/>
      <c r="V835" s="139"/>
      <c r="W835" s="139"/>
      <c r="X835" s="146"/>
      <c r="Y835" s="148"/>
      <c r="Z835" s="145"/>
      <c r="AA835" s="139"/>
      <c r="AB835" s="149"/>
      <c r="AC835" s="11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74"/>
      <c r="AR835" s="222"/>
    </row>
    <row r="836" spans="2:44" s="22" customFormat="1" ht="18" customHeight="1" x14ac:dyDescent="0.25">
      <c r="B836" s="145"/>
      <c r="C836" s="139"/>
      <c r="D836" s="146"/>
      <c r="E836" s="139"/>
      <c r="F836" s="139"/>
      <c r="G836" s="139"/>
      <c r="H836" s="139"/>
      <c r="I836" s="139"/>
      <c r="J836" s="139"/>
      <c r="K836" s="139"/>
      <c r="L836" s="243"/>
      <c r="M836" s="243"/>
      <c r="N836" s="139"/>
      <c r="O836" s="139"/>
      <c r="P836" s="139"/>
      <c r="Q836" s="147"/>
      <c r="R836" s="139"/>
      <c r="S836" s="139"/>
      <c r="T836" s="139"/>
      <c r="U836" s="139"/>
      <c r="V836" s="139"/>
      <c r="W836" s="139"/>
      <c r="X836" s="146"/>
      <c r="Y836" s="148"/>
      <c r="Z836" s="145"/>
      <c r="AA836" s="139"/>
      <c r="AB836" s="149"/>
      <c r="AC836" s="11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74"/>
      <c r="AR836" s="222"/>
    </row>
    <row r="837" spans="2:44" s="22" customFormat="1" ht="18" customHeight="1" x14ac:dyDescent="0.25">
      <c r="B837" s="145"/>
      <c r="C837" s="139"/>
      <c r="D837" s="146"/>
      <c r="E837" s="139"/>
      <c r="F837" s="139"/>
      <c r="G837" s="139"/>
      <c r="H837" s="139"/>
      <c r="I837" s="139"/>
      <c r="J837" s="139"/>
      <c r="K837" s="139"/>
      <c r="L837" s="243"/>
      <c r="M837" s="243"/>
      <c r="N837" s="139"/>
      <c r="O837" s="139"/>
      <c r="P837" s="139"/>
      <c r="Q837" s="147"/>
      <c r="R837" s="139"/>
      <c r="S837" s="139"/>
      <c r="T837" s="139"/>
      <c r="U837" s="139"/>
      <c r="V837" s="139"/>
      <c r="W837" s="139"/>
      <c r="X837" s="146"/>
      <c r="Y837" s="148"/>
      <c r="Z837" s="145"/>
      <c r="AA837" s="139"/>
      <c r="AB837" s="149"/>
      <c r="AC837" s="11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74"/>
      <c r="AR837" s="222"/>
    </row>
    <row r="838" spans="2:44" s="22" customFormat="1" ht="18" customHeight="1" x14ac:dyDescent="0.25">
      <c r="B838" s="145"/>
      <c r="C838" s="139"/>
      <c r="D838" s="146"/>
      <c r="E838" s="139"/>
      <c r="F838" s="139"/>
      <c r="G838" s="139"/>
      <c r="H838" s="139"/>
      <c r="I838" s="139"/>
      <c r="J838" s="139"/>
      <c r="K838" s="139"/>
      <c r="L838" s="243"/>
      <c r="M838" s="243"/>
      <c r="N838" s="139"/>
      <c r="O838" s="139"/>
      <c r="P838" s="139"/>
      <c r="Q838" s="147"/>
      <c r="R838" s="139"/>
      <c r="S838" s="139"/>
      <c r="T838" s="139"/>
      <c r="U838" s="139"/>
      <c r="V838" s="139"/>
      <c r="W838" s="139"/>
      <c r="X838" s="146"/>
      <c r="Y838" s="148"/>
      <c r="Z838" s="145"/>
      <c r="AA838" s="139"/>
      <c r="AB838" s="149"/>
      <c r="AC838" s="11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74"/>
      <c r="AR838" s="222"/>
    </row>
    <row r="839" spans="2:44" s="22" customFormat="1" ht="18" customHeight="1" x14ac:dyDescent="0.25">
      <c r="B839" s="145"/>
      <c r="C839" s="139"/>
      <c r="D839" s="146"/>
      <c r="E839" s="139"/>
      <c r="F839" s="139"/>
      <c r="G839" s="139"/>
      <c r="H839" s="139"/>
      <c r="I839" s="139"/>
      <c r="J839" s="139"/>
      <c r="K839" s="139"/>
      <c r="L839" s="243"/>
      <c r="M839" s="243"/>
      <c r="N839" s="139"/>
      <c r="O839" s="139"/>
      <c r="P839" s="139"/>
      <c r="Q839" s="147"/>
      <c r="R839" s="139"/>
      <c r="S839" s="139"/>
      <c r="T839" s="139"/>
      <c r="U839" s="139"/>
      <c r="V839" s="139"/>
      <c r="W839" s="139"/>
      <c r="X839" s="146"/>
      <c r="Y839" s="148"/>
      <c r="Z839" s="145"/>
      <c r="AA839" s="139"/>
      <c r="AB839" s="149"/>
      <c r="AC839" s="11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74"/>
      <c r="AR839" s="222"/>
    </row>
    <row r="840" spans="2:44" s="22" customFormat="1" ht="18" customHeight="1" x14ac:dyDescent="0.25">
      <c r="B840" s="145"/>
      <c r="C840" s="139"/>
      <c r="D840" s="146"/>
      <c r="E840" s="139"/>
      <c r="F840" s="139"/>
      <c r="G840" s="139"/>
      <c r="H840" s="139"/>
      <c r="I840" s="139"/>
      <c r="J840" s="139"/>
      <c r="K840" s="139"/>
      <c r="L840" s="243"/>
      <c r="M840" s="243"/>
      <c r="N840" s="139"/>
      <c r="O840" s="139"/>
      <c r="P840" s="139"/>
      <c r="Q840" s="147"/>
      <c r="R840" s="139"/>
      <c r="S840" s="139"/>
      <c r="T840" s="139"/>
      <c r="U840" s="139"/>
      <c r="V840" s="139"/>
      <c r="W840" s="139"/>
      <c r="X840" s="146"/>
      <c r="Y840" s="148"/>
      <c r="Z840" s="145"/>
      <c r="AA840" s="139"/>
      <c r="AB840" s="149"/>
      <c r="AC840" s="11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74"/>
      <c r="AR840" s="222"/>
    </row>
    <row r="841" spans="2:44" s="22" customFormat="1" ht="18" customHeight="1" x14ac:dyDescent="0.25">
      <c r="B841" s="145"/>
      <c r="C841" s="139"/>
      <c r="D841" s="146"/>
      <c r="E841" s="139"/>
      <c r="F841" s="139"/>
      <c r="G841" s="139"/>
      <c r="H841" s="139"/>
      <c r="I841" s="139"/>
      <c r="J841" s="139"/>
      <c r="K841" s="139"/>
      <c r="L841" s="243"/>
      <c r="M841" s="243"/>
      <c r="N841" s="139"/>
      <c r="O841" s="139"/>
      <c r="P841" s="139"/>
      <c r="Q841" s="147"/>
      <c r="R841" s="139"/>
      <c r="S841" s="139"/>
      <c r="T841" s="139"/>
      <c r="U841" s="139"/>
      <c r="V841" s="139"/>
      <c r="W841" s="139"/>
      <c r="X841" s="146"/>
      <c r="Y841" s="148"/>
      <c r="Z841" s="145"/>
      <c r="AA841" s="139"/>
      <c r="AB841" s="149"/>
      <c r="AC841" s="11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74"/>
      <c r="AR841" s="222"/>
    </row>
    <row r="842" spans="2:44" s="22" customFormat="1" ht="18" customHeight="1" x14ac:dyDescent="0.25">
      <c r="B842" s="145"/>
      <c r="C842" s="139"/>
      <c r="D842" s="146"/>
      <c r="E842" s="139"/>
      <c r="F842" s="139"/>
      <c r="G842" s="139"/>
      <c r="H842" s="139"/>
      <c r="I842" s="139"/>
      <c r="J842" s="139"/>
      <c r="K842" s="139"/>
      <c r="L842" s="243"/>
      <c r="M842" s="243"/>
      <c r="N842" s="139"/>
      <c r="O842" s="139"/>
      <c r="P842" s="139"/>
      <c r="Q842" s="147"/>
      <c r="R842" s="139"/>
      <c r="S842" s="139"/>
      <c r="T842" s="139"/>
      <c r="U842" s="139"/>
      <c r="V842" s="139"/>
      <c r="W842" s="139"/>
      <c r="X842" s="146"/>
      <c r="Y842" s="148"/>
      <c r="Z842" s="145"/>
      <c r="AA842" s="139"/>
      <c r="AB842" s="149"/>
      <c r="AC842" s="11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74"/>
      <c r="AR842" s="222"/>
    </row>
    <row r="843" spans="2:44" s="22" customFormat="1" ht="18" customHeight="1" x14ac:dyDescent="0.25">
      <c r="B843" s="145"/>
      <c r="C843" s="139"/>
      <c r="D843" s="146"/>
      <c r="E843" s="139"/>
      <c r="F843" s="139"/>
      <c r="G843" s="139"/>
      <c r="H843" s="139"/>
      <c r="I843" s="139"/>
      <c r="J843" s="139"/>
      <c r="K843" s="139"/>
      <c r="L843" s="243"/>
      <c r="M843" s="243"/>
      <c r="N843" s="139"/>
      <c r="O843" s="139"/>
      <c r="P843" s="139"/>
      <c r="Q843" s="147"/>
      <c r="R843" s="139"/>
      <c r="S843" s="139"/>
      <c r="T843" s="139"/>
      <c r="U843" s="139"/>
      <c r="V843" s="139"/>
      <c r="W843" s="139"/>
      <c r="X843" s="146"/>
      <c r="Y843" s="148"/>
      <c r="Z843" s="145"/>
      <c r="AA843" s="139"/>
      <c r="AB843" s="149"/>
      <c r="AC843" s="11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74"/>
      <c r="AR843" s="222"/>
    </row>
    <row r="844" spans="2:44" s="22" customFormat="1" ht="18" customHeight="1" x14ac:dyDescent="0.25">
      <c r="B844" s="145"/>
      <c r="C844" s="139"/>
      <c r="D844" s="146"/>
      <c r="E844" s="139"/>
      <c r="F844" s="139"/>
      <c r="G844" s="139"/>
      <c r="H844" s="139"/>
      <c r="I844" s="139"/>
      <c r="J844" s="139"/>
      <c r="K844" s="139"/>
      <c r="L844" s="243"/>
      <c r="M844" s="243"/>
      <c r="N844" s="139"/>
      <c r="O844" s="139"/>
      <c r="P844" s="139"/>
      <c r="Q844" s="147"/>
      <c r="R844" s="139"/>
      <c r="S844" s="139"/>
      <c r="T844" s="139"/>
      <c r="U844" s="139"/>
      <c r="V844" s="139"/>
      <c r="W844" s="139"/>
      <c r="X844" s="146"/>
      <c r="Y844" s="148"/>
      <c r="Z844" s="145"/>
      <c r="AA844" s="139"/>
      <c r="AB844" s="149"/>
      <c r="AC844" s="11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74"/>
      <c r="AR844" s="222"/>
    </row>
    <row r="845" spans="2:44" s="22" customFormat="1" ht="18" customHeight="1" x14ac:dyDescent="0.25">
      <c r="B845" s="145"/>
      <c r="C845" s="139"/>
      <c r="D845" s="146"/>
      <c r="E845" s="139"/>
      <c r="F845" s="139"/>
      <c r="G845" s="139"/>
      <c r="H845" s="139"/>
      <c r="I845" s="139"/>
      <c r="J845" s="139"/>
      <c r="K845" s="139"/>
      <c r="L845" s="243"/>
      <c r="M845" s="243"/>
      <c r="N845" s="139"/>
      <c r="O845" s="139"/>
      <c r="P845" s="139"/>
      <c r="Q845" s="147"/>
      <c r="R845" s="139"/>
      <c r="S845" s="139"/>
      <c r="T845" s="139"/>
      <c r="U845" s="139"/>
      <c r="V845" s="139"/>
      <c r="W845" s="139"/>
      <c r="X845" s="146"/>
      <c r="Y845" s="148"/>
      <c r="Z845" s="145"/>
      <c r="AA845" s="139"/>
      <c r="AB845" s="149"/>
      <c r="AC845" s="11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74"/>
      <c r="AR845" s="222"/>
    </row>
    <row r="846" spans="2:44" s="22" customFormat="1" ht="18" customHeight="1" x14ac:dyDescent="0.25">
      <c r="B846" s="145"/>
      <c r="C846" s="139"/>
      <c r="D846" s="146"/>
      <c r="E846" s="139"/>
      <c r="F846" s="139"/>
      <c r="G846" s="139"/>
      <c r="H846" s="139"/>
      <c r="I846" s="139"/>
      <c r="J846" s="139"/>
      <c r="K846" s="139"/>
      <c r="L846" s="243"/>
      <c r="M846" s="243"/>
      <c r="N846" s="139"/>
      <c r="O846" s="139"/>
      <c r="P846" s="139"/>
      <c r="Q846" s="147"/>
      <c r="R846" s="139"/>
      <c r="S846" s="139"/>
      <c r="T846" s="139"/>
      <c r="U846" s="139"/>
      <c r="V846" s="139"/>
      <c r="W846" s="139"/>
      <c r="X846" s="146"/>
      <c r="Y846" s="148"/>
      <c r="Z846" s="145"/>
      <c r="AA846" s="139"/>
      <c r="AB846" s="149"/>
      <c r="AC846" s="11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74"/>
      <c r="AR846" s="222"/>
    </row>
    <row r="847" spans="2:44" s="140" customFormat="1" ht="18" customHeight="1" x14ac:dyDescent="0.25">
      <c r="B847" s="145"/>
      <c r="C847" s="139"/>
      <c r="D847" s="146"/>
      <c r="E847" s="139"/>
      <c r="F847" s="139"/>
      <c r="G847" s="139"/>
      <c r="H847" s="139"/>
      <c r="I847" s="139"/>
      <c r="J847" s="139"/>
      <c r="K847" s="139"/>
      <c r="L847" s="243"/>
      <c r="M847" s="243"/>
      <c r="N847" s="139"/>
      <c r="O847" s="139"/>
      <c r="P847" s="139"/>
      <c r="Q847" s="147"/>
      <c r="R847" s="139"/>
      <c r="S847" s="139"/>
      <c r="T847" s="139"/>
      <c r="U847" s="139"/>
      <c r="V847" s="139"/>
      <c r="W847" s="139"/>
      <c r="X847" s="146"/>
      <c r="Y847" s="148"/>
      <c r="Z847" s="145"/>
      <c r="AA847" s="139"/>
      <c r="AB847" s="149"/>
      <c r="AC847" s="11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74"/>
      <c r="AR847" s="222"/>
    </row>
    <row r="848" spans="2:44" s="22" customFormat="1" ht="18" customHeight="1" x14ac:dyDescent="0.25">
      <c r="B848" s="145"/>
      <c r="C848" s="139"/>
      <c r="D848" s="146"/>
      <c r="E848" s="139"/>
      <c r="F848" s="139"/>
      <c r="G848" s="139"/>
      <c r="H848" s="139"/>
      <c r="I848" s="139"/>
      <c r="J848" s="139"/>
      <c r="K848" s="139"/>
      <c r="L848" s="243"/>
      <c r="M848" s="243"/>
      <c r="N848" s="139"/>
      <c r="O848" s="139"/>
      <c r="P848" s="139"/>
      <c r="Q848" s="147"/>
      <c r="R848" s="139"/>
      <c r="S848" s="139"/>
      <c r="T848" s="139"/>
      <c r="U848" s="139"/>
      <c r="V848" s="139"/>
      <c r="W848" s="139"/>
      <c r="X848" s="146"/>
      <c r="Y848" s="148"/>
      <c r="Z848" s="145"/>
      <c r="AA848" s="139"/>
      <c r="AB848" s="149"/>
      <c r="AC848" s="11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74"/>
      <c r="AR848" s="222"/>
    </row>
    <row r="849" spans="2:44" s="22" customFormat="1" ht="18" customHeight="1" x14ac:dyDescent="0.25">
      <c r="B849" s="145"/>
      <c r="C849" s="139"/>
      <c r="D849" s="146"/>
      <c r="E849" s="139"/>
      <c r="F849" s="139"/>
      <c r="G849" s="139"/>
      <c r="H849" s="139"/>
      <c r="I849" s="139"/>
      <c r="J849" s="139"/>
      <c r="K849" s="139"/>
      <c r="L849" s="243"/>
      <c r="M849" s="243"/>
      <c r="N849" s="139"/>
      <c r="O849" s="139"/>
      <c r="P849" s="139"/>
      <c r="Q849" s="147"/>
      <c r="R849" s="139"/>
      <c r="S849" s="139"/>
      <c r="T849" s="139"/>
      <c r="U849" s="139"/>
      <c r="V849" s="139"/>
      <c r="W849" s="139"/>
      <c r="X849" s="146"/>
      <c r="Y849" s="148"/>
      <c r="Z849" s="145"/>
      <c r="AA849" s="139"/>
      <c r="AB849" s="149"/>
      <c r="AC849" s="11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74"/>
      <c r="AR849" s="222"/>
    </row>
    <row r="850" spans="2:44" s="22" customFormat="1" ht="18" customHeight="1" x14ac:dyDescent="0.25">
      <c r="B850" s="145"/>
      <c r="C850" s="139"/>
      <c r="D850" s="146"/>
      <c r="E850" s="139"/>
      <c r="F850" s="139"/>
      <c r="G850" s="139"/>
      <c r="H850" s="139"/>
      <c r="I850" s="139"/>
      <c r="J850" s="139"/>
      <c r="K850" s="139"/>
      <c r="L850" s="243"/>
      <c r="M850" s="243"/>
      <c r="N850" s="139"/>
      <c r="O850" s="139"/>
      <c r="P850" s="139"/>
      <c r="Q850" s="147"/>
      <c r="R850" s="139"/>
      <c r="S850" s="139"/>
      <c r="T850" s="139"/>
      <c r="U850" s="139"/>
      <c r="V850" s="139"/>
      <c r="W850" s="139"/>
      <c r="X850" s="146"/>
      <c r="Y850" s="148"/>
      <c r="Z850" s="145"/>
      <c r="AA850" s="139"/>
      <c r="AB850" s="149"/>
      <c r="AC850" s="11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74"/>
      <c r="AR850" s="222"/>
    </row>
    <row r="851" spans="2:44" s="22" customFormat="1" ht="18" customHeight="1" x14ac:dyDescent="0.25">
      <c r="B851" s="145"/>
      <c r="C851" s="139"/>
      <c r="D851" s="146"/>
      <c r="E851" s="139"/>
      <c r="F851" s="139"/>
      <c r="G851" s="139"/>
      <c r="H851" s="139"/>
      <c r="I851" s="139"/>
      <c r="J851" s="139"/>
      <c r="K851" s="139"/>
      <c r="L851" s="243"/>
      <c r="M851" s="243"/>
      <c r="N851" s="139"/>
      <c r="O851" s="139"/>
      <c r="P851" s="139"/>
      <c r="Q851" s="147"/>
      <c r="R851" s="139"/>
      <c r="S851" s="139"/>
      <c r="T851" s="139"/>
      <c r="U851" s="139"/>
      <c r="V851" s="139"/>
      <c r="W851" s="139"/>
      <c r="X851" s="146"/>
      <c r="Y851" s="148"/>
      <c r="Z851" s="145"/>
      <c r="AA851" s="139"/>
      <c r="AB851" s="149"/>
      <c r="AC851" s="11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74"/>
      <c r="AR851" s="222"/>
    </row>
    <row r="852" spans="2:44" s="22" customFormat="1" ht="18" customHeight="1" x14ac:dyDescent="0.25">
      <c r="B852" s="145"/>
      <c r="C852" s="139"/>
      <c r="D852" s="146"/>
      <c r="E852" s="139"/>
      <c r="F852" s="139"/>
      <c r="G852" s="139"/>
      <c r="H852" s="139"/>
      <c r="I852" s="139"/>
      <c r="J852" s="139"/>
      <c r="K852" s="139"/>
      <c r="L852" s="243"/>
      <c r="M852" s="243"/>
      <c r="N852" s="139"/>
      <c r="O852" s="139"/>
      <c r="P852" s="139"/>
      <c r="Q852" s="147"/>
      <c r="R852" s="139"/>
      <c r="S852" s="139"/>
      <c r="T852" s="139"/>
      <c r="U852" s="139"/>
      <c r="V852" s="139"/>
      <c r="W852" s="139"/>
      <c r="X852" s="146"/>
      <c r="Y852" s="148"/>
      <c r="Z852" s="145"/>
      <c r="AA852" s="139"/>
      <c r="AB852" s="149"/>
      <c r="AC852" s="11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74"/>
      <c r="AR852" s="222"/>
    </row>
    <row r="853" spans="2:44" s="22" customFormat="1" ht="18" customHeight="1" x14ac:dyDescent="0.25">
      <c r="B853" s="145"/>
      <c r="C853" s="139"/>
      <c r="D853" s="146"/>
      <c r="E853" s="139"/>
      <c r="F853" s="139"/>
      <c r="G853" s="139"/>
      <c r="H853" s="139"/>
      <c r="I853" s="139"/>
      <c r="J853" s="139"/>
      <c r="K853" s="139"/>
      <c r="L853" s="243"/>
      <c r="M853" s="243"/>
      <c r="N853" s="139"/>
      <c r="O853" s="139"/>
      <c r="P853" s="139"/>
      <c r="Q853" s="147"/>
      <c r="R853" s="139"/>
      <c r="S853" s="139"/>
      <c r="T853" s="139"/>
      <c r="U853" s="139"/>
      <c r="V853" s="139"/>
      <c r="W853" s="139"/>
      <c r="X853" s="146"/>
      <c r="Y853" s="148"/>
      <c r="Z853" s="145"/>
      <c r="AA853" s="139"/>
      <c r="AB853" s="149"/>
      <c r="AC853" s="11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74"/>
      <c r="AR853" s="222"/>
    </row>
    <row r="854" spans="2:44" s="22" customFormat="1" ht="18" customHeight="1" x14ac:dyDescent="0.25">
      <c r="B854" s="145"/>
      <c r="C854" s="139"/>
      <c r="D854" s="146"/>
      <c r="E854" s="139"/>
      <c r="F854" s="139"/>
      <c r="G854" s="139"/>
      <c r="H854" s="139"/>
      <c r="I854" s="139"/>
      <c r="J854" s="139"/>
      <c r="K854" s="139"/>
      <c r="L854" s="243"/>
      <c r="M854" s="243"/>
      <c r="N854" s="139"/>
      <c r="O854" s="139"/>
      <c r="P854" s="139"/>
      <c r="Q854" s="147"/>
      <c r="R854" s="139"/>
      <c r="S854" s="139"/>
      <c r="T854" s="139"/>
      <c r="U854" s="139"/>
      <c r="V854" s="139"/>
      <c r="W854" s="139"/>
      <c r="X854" s="146"/>
      <c r="Y854" s="148"/>
      <c r="Z854" s="145"/>
      <c r="AA854" s="139"/>
      <c r="AB854" s="149"/>
      <c r="AC854" s="11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74"/>
      <c r="AR854" s="222"/>
    </row>
    <row r="855" spans="2:44" s="22" customFormat="1" ht="18" customHeight="1" x14ac:dyDescent="0.25">
      <c r="B855" s="145"/>
      <c r="C855" s="139"/>
      <c r="D855" s="146"/>
      <c r="E855" s="139"/>
      <c r="F855" s="139"/>
      <c r="G855" s="139"/>
      <c r="H855" s="139"/>
      <c r="I855" s="139"/>
      <c r="J855" s="139"/>
      <c r="K855" s="139"/>
      <c r="L855" s="243"/>
      <c r="M855" s="243"/>
      <c r="N855" s="139"/>
      <c r="O855" s="139"/>
      <c r="P855" s="139"/>
      <c r="Q855" s="147"/>
      <c r="R855" s="139"/>
      <c r="S855" s="139"/>
      <c r="T855" s="139"/>
      <c r="U855" s="139"/>
      <c r="V855" s="139"/>
      <c r="W855" s="139"/>
      <c r="X855" s="146"/>
      <c r="Y855" s="148"/>
      <c r="Z855" s="145"/>
      <c r="AA855" s="139"/>
      <c r="AB855" s="149"/>
      <c r="AC855" s="11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74"/>
      <c r="AR855" s="222"/>
    </row>
    <row r="856" spans="2:44" s="22" customFormat="1" ht="18" customHeight="1" x14ac:dyDescent="0.25">
      <c r="B856" s="145"/>
      <c r="C856" s="139"/>
      <c r="D856" s="146"/>
      <c r="E856" s="139"/>
      <c r="F856" s="139"/>
      <c r="G856" s="139"/>
      <c r="H856" s="139"/>
      <c r="I856" s="139"/>
      <c r="J856" s="139"/>
      <c r="K856" s="139"/>
      <c r="L856" s="243"/>
      <c r="M856" s="243"/>
      <c r="N856" s="139"/>
      <c r="O856" s="139"/>
      <c r="P856" s="139"/>
      <c r="Q856" s="147"/>
      <c r="R856" s="139"/>
      <c r="S856" s="139"/>
      <c r="T856" s="139"/>
      <c r="U856" s="139"/>
      <c r="V856" s="139"/>
      <c r="W856" s="139"/>
      <c r="X856" s="146"/>
      <c r="Y856" s="148"/>
      <c r="Z856" s="145"/>
      <c r="AA856" s="139"/>
      <c r="AB856" s="149"/>
      <c r="AC856" s="11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74"/>
      <c r="AR856" s="222"/>
    </row>
    <row r="857" spans="2:44" s="22" customFormat="1" ht="18" customHeight="1" x14ac:dyDescent="0.25">
      <c r="B857" s="145"/>
      <c r="C857" s="139"/>
      <c r="D857" s="146"/>
      <c r="E857" s="139"/>
      <c r="F857" s="139"/>
      <c r="G857" s="139"/>
      <c r="H857" s="139"/>
      <c r="I857" s="139"/>
      <c r="J857" s="139"/>
      <c r="K857" s="139"/>
      <c r="L857" s="243"/>
      <c r="M857" s="243"/>
      <c r="N857" s="139"/>
      <c r="O857" s="139"/>
      <c r="P857" s="139"/>
      <c r="Q857" s="147"/>
      <c r="R857" s="139"/>
      <c r="S857" s="139"/>
      <c r="T857" s="139"/>
      <c r="U857" s="139"/>
      <c r="V857" s="139"/>
      <c r="W857" s="139"/>
      <c r="X857" s="146"/>
      <c r="Y857" s="148"/>
      <c r="Z857" s="145"/>
      <c r="AA857" s="139"/>
      <c r="AB857" s="149"/>
      <c r="AC857" s="11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74"/>
      <c r="AR857" s="222"/>
    </row>
    <row r="858" spans="2:44" s="140" customFormat="1" ht="18" customHeight="1" x14ac:dyDescent="0.25">
      <c r="B858" s="145"/>
      <c r="C858" s="139"/>
      <c r="D858" s="146"/>
      <c r="E858" s="139"/>
      <c r="F858" s="139"/>
      <c r="G858" s="139"/>
      <c r="H858" s="139"/>
      <c r="I858" s="139"/>
      <c r="J858" s="139"/>
      <c r="K858" s="139"/>
      <c r="L858" s="243"/>
      <c r="M858" s="243"/>
      <c r="N858" s="139"/>
      <c r="O858" s="139"/>
      <c r="P858" s="139"/>
      <c r="Q858" s="147"/>
      <c r="R858" s="139"/>
      <c r="S858" s="139"/>
      <c r="T858" s="139"/>
      <c r="U858" s="139"/>
      <c r="V858" s="139"/>
      <c r="W858" s="139"/>
      <c r="X858" s="146"/>
      <c r="Y858" s="148"/>
      <c r="Z858" s="145"/>
      <c r="AA858" s="139"/>
      <c r="AB858" s="149"/>
      <c r="AC858" s="11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74"/>
      <c r="AR858" s="222"/>
    </row>
    <row r="859" spans="2:44" s="140" customFormat="1" ht="18" customHeight="1" x14ac:dyDescent="0.25">
      <c r="B859" s="145"/>
      <c r="C859" s="139"/>
      <c r="D859" s="146"/>
      <c r="E859" s="139"/>
      <c r="F859" s="139"/>
      <c r="G859" s="139"/>
      <c r="H859" s="139"/>
      <c r="I859" s="139"/>
      <c r="J859" s="139"/>
      <c r="K859" s="139"/>
      <c r="L859" s="243"/>
      <c r="M859" s="243"/>
      <c r="N859" s="139"/>
      <c r="O859" s="139"/>
      <c r="P859" s="139"/>
      <c r="Q859" s="147"/>
      <c r="R859" s="139"/>
      <c r="S859" s="139"/>
      <c r="T859" s="139"/>
      <c r="U859" s="139"/>
      <c r="V859" s="139"/>
      <c r="W859" s="139"/>
      <c r="X859" s="146"/>
      <c r="Y859" s="148"/>
      <c r="Z859" s="145"/>
      <c r="AA859" s="139"/>
      <c r="AB859" s="149"/>
      <c r="AC859" s="11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74"/>
      <c r="AR859" s="222"/>
    </row>
    <row r="860" spans="2:44" s="22" customFormat="1" ht="18" customHeight="1" x14ac:dyDescent="0.25">
      <c r="B860" s="145"/>
      <c r="C860" s="139"/>
      <c r="D860" s="146"/>
      <c r="E860" s="139"/>
      <c r="F860" s="139"/>
      <c r="G860" s="139"/>
      <c r="H860" s="139"/>
      <c r="I860" s="139"/>
      <c r="J860" s="139"/>
      <c r="K860" s="139"/>
      <c r="L860" s="243"/>
      <c r="M860" s="243"/>
      <c r="N860" s="139"/>
      <c r="O860" s="139"/>
      <c r="P860" s="139"/>
      <c r="Q860" s="147"/>
      <c r="R860" s="139"/>
      <c r="S860" s="139"/>
      <c r="T860" s="139"/>
      <c r="U860" s="139"/>
      <c r="V860" s="139"/>
      <c r="W860" s="139"/>
      <c r="X860" s="146"/>
      <c r="Y860" s="148"/>
      <c r="Z860" s="145"/>
      <c r="AA860" s="139"/>
      <c r="AB860" s="149"/>
      <c r="AC860" s="11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74"/>
      <c r="AR860" s="222"/>
    </row>
    <row r="861" spans="2:44" s="22" customFormat="1" ht="18" customHeight="1" x14ac:dyDescent="0.25">
      <c r="B861" s="145"/>
      <c r="C861" s="139"/>
      <c r="D861" s="146"/>
      <c r="E861" s="139"/>
      <c r="F861" s="139"/>
      <c r="G861" s="139"/>
      <c r="H861" s="139"/>
      <c r="I861" s="139"/>
      <c r="J861" s="139"/>
      <c r="K861" s="139"/>
      <c r="L861" s="243"/>
      <c r="M861" s="243"/>
      <c r="N861" s="139"/>
      <c r="O861" s="139"/>
      <c r="P861" s="139"/>
      <c r="Q861" s="147"/>
      <c r="R861" s="139"/>
      <c r="S861" s="139"/>
      <c r="T861" s="139"/>
      <c r="U861" s="139"/>
      <c r="V861" s="139"/>
      <c r="W861" s="139"/>
      <c r="X861" s="146"/>
      <c r="Y861" s="148"/>
      <c r="Z861" s="145"/>
      <c r="AA861" s="139"/>
      <c r="AB861" s="149"/>
      <c r="AC861" s="11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74"/>
      <c r="AR861" s="222"/>
    </row>
    <row r="862" spans="2:44" s="22" customFormat="1" ht="18" customHeight="1" x14ac:dyDescent="0.25">
      <c r="B862" s="145"/>
      <c r="C862" s="139"/>
      <c r="D862" s="146"/>
      <c r="E862" s="139"/>
      <c r="F862" s="139"/>
      <c r="G862" s="139"/>
      <c r="H862" s="139"/>
      <c r="I862" s="139"/>
      <c r="J862" s="139"/>
      <c r="K862" s="139"/>
      <c r="L862" s="243"/>
      <c r="M862" s="243"/>
      <c r="N862" s="139"/>
      <c r="O862" s="139"/>
      <c r="P862" s="139"/>
      <c r="Q862" s="147"/>
      <c r="R862" s="139"/>
      <c r="S862" s="139"/>
      <c r="T862" s="139"/>
      <c r="U862" s="139"/>
      <c r="V862" s="139"/>
      <c r="W862" s="139"/>
      <c r="X862" s="146"/>
      <c r="Y862" s="148"/>
      <c r="Z862" s="145"/>
      <c r="AA862" s="139"/>
      <c r="AB862" s="149"/>
      <c r="AC862" s="11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74"/>
      <c r="AR862" s="222"/>
    </row>
    <row r="863" spans="2:44" s="22" customFormat="1" ht="18" customHeight="1" x14ac:dyDescent="0.25">
      <c r="B863" s="145"/>
      <c r="C863" s="139"/>
      <c r="D863" s="146"/>
      <c r="E863" s="139"/>
      <c r="F863" s="139"/>
      <c r="G863" s="139"/>
      <c r="H863" s="139"/>
      <c r="I863" s="139"/>
      <c r="J863" s="139"/>
      <c r="K863" s="139"/>
      <c r="L863" s="243"/>
      <c r="M863" s="243"/>
      <c r="N863" s="139"/>
      <c r="O863" s="139"/>
      <c r="P863" s="139"/>
      <c r="Q863" s="147"/>
      <c r="R863" s="139"/>
      <c r="S863" s="139"/>
      <c r="T863" s="139"/>
      <c r="U863" s="139"/>
      <c r="V863" s="139"/>
      <c r="W863" s="139"/>
      <c r="X863" s="146"/>
      <c r="Y863" s="148"/>
      <c r="Z863" s="145"/>
      <c r="AA863" s="139"/>
      <c r="AB863" s="149"/>
      <c r="AC863" s="11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74"/>
      <c r="AR863" s="222"/>
    </row>
    <row r="864" spans="2:44" s="22" customFormat="1" ht="18" customHeight="1" x14ac:dyDescent="0.25">
      <c r="B864" s="145"/>
      <c r="C864" s="139"/>
      <c r="D864" s="146"/>
      <c r="E864" s="139"/>
      <c r="F864" s="139"/>
      <c r="G864" s="139"/>
      <c r="H864" s="139"/>
      <c r="I864" s="139"/>
      <c r="J864" s="139"/>
      <c r="K864" s="139"/>
      <c r="L864" s="243"/>
      <c r="M864" s="243"/>
      <c r="N864" s="139"/>
      <c r="O864" s="139"/>
      <c r="P864" s="139"/>
      <c r="Q864" s="147"/>
      <c r="R864" s="139"/>
      <c r="S864" s="139"/>
      <c r="T864" s="139"/>
      <c r="U864" s="139"/>
      <c r="V864" s="139"/>
      <c r="W864" s="139"/>
      <c r="X864" s="146"/>
      <c r="Y864" s="148"/>
      <c r="Z864" s="145"/>
      <c r="AA864" s="139"/>
      <c r="AB864" s="149"/>
      <c r="AC864" s="11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74"/>
      <c r="AR864" s="222"/>
    </row>
    <row r="865" spans="2:44" s="140" customFormat="1" ht="18" customHeight="1" x14ac:dyDescent="0.25">
      <c r="B865" s="145"/>
      <c r="C865" s="139"/>
      <c r="D865" s="146"/>
      <c r="E865" s="139"/>
      <c r="F865" s="139"/>
      <c r="G865" s="139"/>
      <c r="H865" s="139"/>
      <c r="I865" s="139"/>
      <c r="J865" s="139"/>
      <c r="K865" s="139"/>
      <c r="L865" s="243"/>
      <c r="M865" s="243"/>
      <c r="N865" s="139"/>
      <c r="O865" s="139"/>
      <c r="P865" s="139"/>
      <c r="Q865" s="147"/>
      <c r="R865" s="139"/>
      <c r="S865" s="139"/>
      <c r="T865" s="139"/>
      <c r="U865" s="139"/>
      <c r="V865" s="139"/>
      <c r="W865" s="139"/>
      <c r="X865" s="146"/>
      <c r="Y865" s="148"/>
      <c r="Z865" s="145"/>
      <c r="AA865" s="139"/>
      <c r="AB865" s="149"/>
      <c r="AC865" s="11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74"/>
      <c r="AR865" s="222"/>
    </row>
    <row r="866" spans="2:44" s="140" customFormat="1" ht="18" customHeight="1" x14ac:dyDescent="0.25">
      <c r="B866" s="145"/>
      <c r="C866" s="139"/>
      <c r="D866" s="146"/>
      <c r="E866" s="139"/>
      <c r="F866" s="139"/>
      <c r="G866" s="139"/>
      <c r="H866" s="139"/>
      <c r="I866" s="139"/>
      <c r="J866" s="139"/>
      <c r="K866" s="139"/>
      <c r="L866" s="243"/>
      <c r="M866" s="243"/>
      <c r="N866" s="139"/>
      <c r="O866" s="139"/>
      <c r="P866" s="139"/>
      <c r="Q866" s="147"/>
      <c r="R866" s="139"/>
      <c r="S866" s="139"/>
      <c r="T866" s="139"/>
      <c r="U866" s="139"/>
      <c r="V866" s="139"/>
      <c r="W866" s="139"/>
      <c r="X866" s="146"/>
      <c r="Y866" s="148"/>
      <c r="Z866" s="145"/>
      <c r="AA866" s="139"/>
      <c r="AB866" s="149"/>
      <c r="AC866" s="11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74"/>
      <c r="AR866" s="222"/>
    </row>
    <row r="867" spans="2:44" s="22" customFormat="1" ht="18" customHeight="1" x14ac:dyDescent="0.25">
      <c r="B867" s="145"/>
      <c r="C867" s="139"/>
      <c r="D867" s="146"/>
      <c r="E867" s="139"/>
      <c r="F867" s="139"/>
      <c r="G867" s="139"/>
      <c r="H867" s="139"/>
      <c r="I867" s="139"/>
      <c r="J867" s="139"/>
      <c r="K867" s="139"/>
      <c r="L867" s="243"/>
      <c r="M867" s="243"/>
      <c r="N867" s="139"/>
      <c r="O867" s="139"/>
      <c r="P867" s="139"/>
      <c r="Q867" s="147"/>
      <c r="R867" s="139"/>
      <c r="S867" s="139"/>
      <c r="T867" s="139"/>
      <c r="U867" s="139"/>
      <c r="V867" s="139"/>
      <c r="W867" s="139"/>
      <c r="X867" s="146"/>
      <c r="Y867" s="148"/>
      <c r="Z867" s="145"/>
      <c r="AA867" s="139"/>
      <c r="AB867" s="149"/>
      <c r="AC867" s="11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74"/>
      <c r="AR867" s="222"/>
    </row>
    <row r="868" spans="2:44" s="22" customFormat="1" ht="18" customHeight="1" x14ac:dyDescent="0.25">
      <c r="B868" s="145"/>
      <c r="C868" s="139"/>
      <c r="D868" s="146"/>
      <c r="E868" s="139"/>
      <c r="F868" s="139"/>
      <c r="G868" s="139"/>
      <c r="H868" s="139"/>
      <c r="I868" s="139"/>
      <c r="J868" s="139"/>
      <c r="K868" s="139"/>
      <c r="L868" s="243"/>
      <c r="M868" s="243"/>
      <c r="N868" s="139"/>
      <c r="O868" s="139"/>
      <c r="P868" s="139"/>
      <c r="Q868" s="147"/>
      <c r="R868" s="139"/>
      <c r="S868" s="139"/>
      <c r="T868" s="139"/>
      <c r="U868" s="139"/>
      <c r="V868" s="139"/>
      <c r="W868" s="139"/>
      <c r="X868" s="146"/>
      <c r="Y868" s="148"/>
      <c r="Z868" s="145"/>
      <c r="AA868" s="139"/>
      <c r="AB868" s="149"/>
      <c r="AC868" s="11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74"/>
      <c r="AR868" s="222"/>
    </row>
    <row r="869" spans="2:44" s="22" customFormat="1" ht="18" customHeight="1" x14ac:dyDescent="0.25">
      <c r="B869" s="145"/>
      <c r="C869" s="139"/>
      <c r="D869" s="146"/>
      <c r="E869" s="139"/>
      <c r="F869" s="139"/>
      <c r="G869" s="139"/>
      <c r="H869" s="139"/>
      <c r="I869" s="139"/>
      <c r="J869" s="139"/>
      <c r="K869" s="139"/>
      <c r="L869" s="243"/>
      <c r="M869" s="243"/>
      <c r="N869" s="139"/>
      <c r="O869" s="139"/>
      <c r="P869" s="139"/>
      <c r="Q869" s="147"/>
      <c r="R869" s="139"/>
      <c r="S869" s="139"/>
      <c r="T869" s="139"/>
      <c r="U869" s="139"/>
      <c r="V869" s="139"/>
      <c r="W869" s="139"/>
      <c r="X869" s="146"/>
      <c r="Y869" s="148"/>
      <c r="Z869" s="145"/>
      <c r="AA869" s="139"/>
      <c r="AB869" s="149"/>
      <c r="AC869" s="11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74"/>
      <c r="AR869" s="222"/>
    </row>
    <row r="870" spans="2:44" s="22" customFormat="1" ht="18" customHeight="1" x14ac:dyDescent="0.25">
      <c r="B870" s="145"/>
      <c r="C870" s="139"/>
      <c r="D870" s="146"/>
      <c r="E870" s="139"/>
      <c r="F870" s="139"/>
      <c r="G870" s="139"/>
      <c r="H870" s="139"/>
      <c r="I870" s="139"/>
      <c r="J870" s="139"/>
      <c r="K870" s="139"/>
      <c r="L870" s="243"/>
      <c r="M870" s="243"/>
      <c r="N870" s="139"/>
      <c r="O870" s="139"/>
      <c r="P870" s="139"/>
      <c r="Q870" s="147"/>
      <c r="R870" s="139"/>
      <c r="S870" s="139"/>
      <c r="T870" s="139"/>
      <c r="U870" s="139"/>
      <c r="V870" s="139"/>
      <c r="W870" s="139"/>
      <c r="X870" s="146"/>
      <c r="Y870" s="148"/>
      <c r="Z870" s="145"/>
      <c r="AA870" s="139"/>
      <c r="AB870" s="149"/>
      <c r="AC870" s="11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74"/>
      <c r="AR870" s="222"/>
    </row>
    <row r="871" spans="2:44" s="22" customFormat="1" ht="18" customHeight="1" x14ac:dyDescent="0.25">
      <c r="B871" s="145"/>
      <c r="C871" s="139"/>
      <c r="D871" s="146"/>
      <c r="E871" s="139"/>
      <c r="F871" s="139"/>
      <c r="G871" s="139"/>
      <c r="H871" s="139"/>
      <c r="I871" s="139"/>
      <c r="J871" s="139"/>
      <c r="K871" s="139"/>
      <c r="L871" s="243"/>
      <c r="M871" s="243"/>
      <c r="N871" s="139"/>
      <c r="O871" s="139"/>
      <c r="P871" s="139"/>
      <c r="Q871" s="147"/>
      <c r="R871" s="139"/>
      <c r="S871" s="139"/>
      <c r="T871" s="139"/>
      <c r="U871" s="139"/>
      <c r="V871" s="139"/>
      <c r="W871" s="139"/>
      <c r="X871" s="146"/>
      <c r="Y871" s="148"/>
      <c r="Z871" s="145"/>
      <c r="AA871" s="139"/>
      <c r="AB871" s="149"/>
      <c r="AC871" s="11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74"/>
      <c r="AR871" s="222"/>
    </row>
    <row r="872" spans="2:44" s="22" customFormat="1" ht="18" customHeight="1" x14ac:dyDescent="0.25">
      <c r="B872" s="145"/>
      <c r="C872" s="139"/>
      <c r="D872" s="146"/>
      <c r="E872" s="139"/>
      <c r="F872" s="139"/>
      <c r="G872" s="139"/>
      <c r="H872" s="139"/>
      <c r="I872" s="139"/>
      <c r="J872" s="139"/>
      <c r="K872" s="139"/>
      <c r="L872" s="243"/>
      <c r="M872" s="243"/>
      <c r="N872" s="139"/>
      <c r="O872" s="139"/>
      <c r="P872" s="139"/>
      <c r="Q872" s="147"/>
      <c r="R872" s="139"/>
      <c r="S872" s="139"/>
      <c r="T872" s="139"/>
      <c r="U872" s="139"/>
      <c r="V872" s="139"/>
      <c r="W872" s="139"/>
      <c r="X872" s="146"/>
      <c r="Y872" s="148"/>
      <c r="Z872" s="145"/>
      <c r="AA872" s="139"/>
      <c r="AB872" s="149"/>
      <c r="AC872" s="11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74"/>
      <c r="AR872" s="222"/>
    </row>
    <row r="873" spans="2:44" s="22" customFormat="1" ht="18" customHeight="1" x14ac:dyDescent="0.25">
      <c r="B873" s="145"/>
      <c r="C873" s="139"/>
      <c r="D873" s="146"/>
      <c r="E873" s="139"/>
      <c r="F873" s="139"/>
      <c r="G873" s="139"/>
      <c r="H873" s="139"/>
      <c r="I873" s="139"/>
      <c r="J873" s="139"/>
      <c r="K873" s="139"/>
      <c r="L873" s="243"/>
      <c r="M873" s="243"/>
      <c r="N873" s="139"/>
      <c r="O873" s="139"/>
      <c r="P873" s="139"/>
      <c r="Q873" s="147"/>
      <c r="R873" s="139"/>
      <c r="S873" s="139"/>
      <c r="T873" s="139"/>
      <c r="U873" s="139"/>
      <c r="V873" s="139"/>
      <c r="W873" s="139"/>
      <c r="X873" s="146"/>
      <c r="Y873" s="148"/>
      <c r="Z873" s="145"/>
      <c r="AA873" s="139"/>
      <c r="AB873" s="149"/>
      <c r="AC873" s="11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74"/>
      <c r="AR873" s="222"/>
    </row>
    <row r="874" spans="2:44" s="22" customFormat="1" ht="18" customHeight="1" x14ac:dyDescent="0.25">
      <c r="B874" s="145"/>
      <c r="C874" s="139"/>
      <c r="D874" s="146"/>
      <c r="E874" s="139"/>
      <c r="F874" s="139"/>
      <c r="G874" s="139"/>
      <c r="H874" s="139"/>
      <c r="I874" s="139"/>
      <c r="J874" s="139"/>
      <c r="K874" s="139"/>
      <c r="L874" s="243"/>
      <c r="M874" s="243"/>
      <c r="N874" s="139"/>
      <c r="O874" s="139"/>
      <c r="P874" s="139"/>
      <c r="Q874" s="147"/>
      <c r="R874" s="139"/>
      <c r="S874" s="139"/>
      <c r="T874" s="139"/>
      <c r="U874" s="139"/>
      <c r="V874" s="139"/>
      <c r="W874" s="139"/>
      <c r="X874" s="146"/>
      <c r="Y874" s="148"/>
      <c r="Z874" s="145"/>
      <c r="AA874" s="139"/>
      <c r="AB874" s="149"/>
      <c r="AC874" s="11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74"/>
      <c r="AR874" s="222"/>
    </row>
    <row r="875" spans="2:44" s="22" customFormat="1" ht="18" customHeight="1" x14ac:dyDescent="0.25">
      <c r="B875" s="145"/>
      <c r="C875" s="139"/>
      <c r="D875" s="146"/>
      <c r="E875" s="139"/>
      <c r="F875" s="139"/>
      <c r="G875" s="139"/>
      <c r="H875" s="139"/>
      <c r="I875" s="139"/>
      <c r="J875" s="139"/>
      <c r="K875" s="139"/>
      <c r="L875" s="243"/>
      <c r="M875" s="243"/>
      <c r="N875" s="139"/>
      <c r="O875" s="139"/>
      <c r="P875" s="139"/>
      <c r="Q875" s="147"/>
      <c r="R875" s="139"/>
      <c r="S875" s="139"/>
      <c r="T875" s="139"/>
      <c r="U875" s="139"/>
      <c r="V875" s="139"/>
      <c r="W875" s="139"/>
      <c r="X875" s="146"/>
      <c r="Y875" s="148"/>
      <c r="Z875" s="145"/>
      <c r="AA875" s="139"/>
      <c r="AB875" s="149"/>
      <c r="AC875" s="11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74"/>
      <c r="AR875" s="222"/>
    </row>
    <row r="876" spans="2:44" s="22" customFormat="1" ht="18" customHeight="1" x14ac:dyDescent="0.25">
      <c r="B876" s="145"/>
      <c r="C876" s="139"/>
      <c r="D876" s="146"/>
      <c r="E876" s="139"/>
      <c r="F876" s="139"/>
      <c r="G876" s="139"/>
      <c r="H876" s="139"/>
      <c r="I876" s="139"/>
      <c r="J876" s="139"/>
      <c r="K876" s="139"/>
      <c r="L876" s="243"/>
      <c r="M876" s="243"/>
      <c r="N876" s="139"/>
      <c r="O876" s="139"/>
      <c r="P876" s="139"/>
      <c r="Q876" s="147"/>
      <c r="R876" s="139"/>
      <c r="S876" s="139"/>
      <c r="T876" s="139"/>
      <c r="U876" s="139"/>
      <c r="V876" s="139"/>
      <c r="W876" s="139"/>
      <c r="X876" s="146"/>
      <c r="Y876" s="148"/>
      <c r="Z876" s="145"/>
      <c r="AA876" s="139"/>
      <c r="AB876" s="149"/>
      <c r="AC876" s="11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74"/>
      <c r="AR876" s="222"/>
    </row>
    <row r="877" spans="2:44" s="22" customFormat="1" ht="18" customHeight="1" x14ac:dyDescent="0.25">
      <c r="B877" s="145"/>
      <c r="C877" s="139"/>
      <c r="D877" s="146"/>
      <c r="E877" s="139"/>
      <c r="F877" s="139"/>
      <c r="G877" s="139"/>
      <c r="H877" s="139"/>
      <c r="I877" s="139"/>
      <c r="J877" s="139"/>
      <c r="K877" s="139"/>
      <c r="L877" s="243"/>
      <c r="M877" s="243"/>
      <c r="N877" s="139"/>
      <c r="O877" s="139"/>
      <c r="P877" s="139"/>
      <c r="Q877" s="147"/>
      <c r="R877" s="139"/>
      <c r="S877" s="139"/>
      <c r="T877" s="139"/>
      <c r="U877" s="139"/>
      <c r="V877" s="139"/>
      <c r="W877" s="139"/>
      <c r="X877" s="146"/>
      <c r="Y877" s="148"/>
      <c r="Z877" s="145"/>
      <c r="AA877" s="139"/>
      <c r="AB877" s="149"/>
      <c r="AC877" s="11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74"/>
      <c r="AR877" s="222"/>
    </row>
    <row r="878" spans="2:44" s="22" customFormat="1" ht="18" customHeight="1" x14ac:dyDescent="0.25">
      <c r="B878" s="145"/>
      <c r="C878" s="139"/>
      <c r="D878" s="146"/>
      <c r="E878" s="139"/>
      <c r="F878" s="139"/>
      <c r="G878" s="139"/>
      <c r="H878" s="139"/>
      <c r="I878" s="139"/>
      <c r="J878" s="139"/>
      <c r="K878" s="139"/>
      <c r="L878" s="243"/>
      <c r="M878" s="243"/>
      <c r="N878" s="139"/>
      <c r="O878" s="139"/>
      <c r="P878" s="139"/>
      <c r="Q878" s="147"/>
      <c r="R878" s="139"/>
      <c r="S878" s="139"/>
      <c r="T878" s="139"/>
      <c r="U878" s="139"/>
      <c r="V878" s="139"/>
      <c r="W878" s="139"/>
      <c r="X878" s="146"/>
      <c r="Y878" s="148"/>
      <c r="Z878" s="145"/>
      <c r="AA878" s="139"/>
      <c r="AB878" s="149"/>
      <c r="AC878" s="11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74"/>
      <c r="AR878" s="222"/>
    </row>
    <row r="879" spans="2:44" s="22" customFormat="1" ht="18" customHeight="1" x14ac:dyDescent="0.25">
      <c r="B879" s="145"/>
      <c r="C879" s="139"/>
      <c r="D879" s="146"/>
      <c r="E879" s="139"/>
      <c r="F879" s="139"/>
      <c r="G879" s="139"/>
      <c r="H879" s="139"/>
      <c r="I879" s="139"/>
      <c r="J879" s="139"/>
      <c r="K879" s="139"/>
      <c r="L879" s="243"/>
      <c r="M879" s="243"/>
      <c r="N879" s="139"/>
      <c r="O879" s="139"/>
      <c r="P879" s="139"/>
      <c r="Q879" s="147"/>
      <c r="R879" s="139"/>
      <c r="S879" s="139"/>
      <c r="T879" s="139"/>
      <c r="U879" s="139"/>
      <c r="V879" s="139"/>
      <c r="W879" s="139"/>
      <c r="X879" s="146"/>
      <c r="Y879" s="148"/>
      <c r="Z879" s="145"/>
      <c r="AA879" s="139"/>
      <c r="AB879" s="149"/>
      <c r="AC879" s="11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74"/>
      <c r="AR879" s="222"/>
    </row>
    <row r="880" spans="2:44" s="140" customFormat="1" ht="18" customHeight="1" x14ac:dyDescent="0.25">
      <c r="B880" s="145"/>
      <c r="C880" s="139"/>
      <c r="D880" s="146"/>
      <c r="E880" s="139"/>
      <c r="F880" s="139"/>
      <c r="G880" s="139"/>
      <c r="H880" s="139"/>
      <c r="I880" s="139"/>
      <c r="J880" s="139"/>
      <c r="K880" s="139"/>
      <c r="L880" s="243"/>
      <c r="M880" s="243"/>
      <c r="N880" s="139"/>
      <c r="O880" s="139"/>
      <c r="P880" s="139"/>
      <c r="Q880" s="147"/>
      <c r="R880" s="139"/>
      <c r="S880" s="139"/>
      <c r="T880" s="139"/>
      <c r="U880" s="139"/>
      <c r="V880" s="139"/>
      <c r="W880" s="139"/>
      <c r="X880" s="146"/>
      <c r="Y880" s="148"/>
      <c r="Z880" s="145"/>
      <c r="AA880" s="139"/>
      <c r="AB880" s="149"/>
      <c r="AC880" s="11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74"/>
      <c r="AR880" s="222"/>
    </row>
    <row r="881" spans="2:44" s="22" customFormat="1" ht="18" customHeight="1" x14ac:dyDescent="0.25">
      <c r="B881" s="145"/>
      <c r="C881" s="139"/>
      <c r="D881" s="146"/>
      <c r="E881" s="139"/>
      <c r="F881" s="139"/>
      <c r="G881" s="139"/>
      <c r="H881" s="139"/>
      <c r="I881" s="139"/>
      <c r="J881" s="139"/>
      <c r="K881" s="139"/>
      <c r="L881" s="243"/>
      <c r="M881" s="243"/>
      <c r="N881" s="139"/>
      <c r="O881" s="139"/>
      <c r="P881" s="139"/>
      <c r="Q881" s="147"/>
      <c r="R881" s="139"/>
      <c r="S881" s="139"/>
      <c r="T881" s="139"/>
      <c r="U881" s="139"/>
      <c r="V881" s="139"/>
      <c r="W881" s="139"/>
      <c r="X881" s="146"/>
      <c r="Y881" s="148"/>
      <c r="Z881" s="145"/>
      <c r="AA881" s="139"/>
      <c r="AB881" s="149"/>
      <c r="AC881" s="11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74"/>
      <c r="AR881" s="222"/>
    </row>
    <row r="882" spans="2:44" s="22" customFormat="1" ht="18" customHeight="1" x14ac:dyDescent="0.25">
      <c r="B882" s="145"/>
      <c r="C882" s="139"/>
      <c r="D882" s="146"/>
      <c r="E882" s="139"/>
      <c r="F882" s="139"/>
      <c r="G882" s="139"/>
      <c r="H882" s="139"/>
      <c r="I882" s="139"/>
      <c r="J882" s="139"/>
      <c r="K882" s="139"/>
      <c r="L882" s="243"/>
      <c r="M882" s="243"/>
      <c r="N882" s="139"/>
      <c r="O882" s="139"/>
      <c r="P882" s="139"/>
      <c r="Q882" s="147"/>
      <c r="R882" s="139"/>
      <c r="S882" s="139"/>
      <c r="T882" s="139"/>
      <c r="U882" s="139"/>
      <c r="V882" s="139"/>
      <c r="W882" s="139"/>
      <c r="X882" s="146"/>
      <c r="Y882" s="148"/>
      <c r="Z882" s="145"/>
      <c r="AA882" s="139"/>
      <c r="AB882" s="149"/>
      <c r="AC882" s="11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74"/>
      <c r="AR882" s="222"/>
    </row>
    <row r="883" spans="2:44" s="22" customFormat="1" ht="18" customHeight="1" x14ac:dyDescent="0.25">
      <c r="B883" s="145"/>
      <c r="C883" s="139"/>
      <c r="D883" s="146"/>
      <c r="E883" s="139"/>
      <c r="F883" s="139"/>
      <c r="G883" s="139"/>
      <c r="H883" s="139"/>
      <c r="I883" s="139"/>
      <c r="J883" s="139"/>
      <c r="K883" s="139"/>
      <c r="L883" s="243"/>
      <c r="M883" s="243"/>
      <c r="N883" s="139"/>
      <c r="O883" s="139"/>
      <c r="P883" s="139"/>
      <c r="Q883" s="147"/>
      <c r="R883" s="139"/>
      <c r="S883" s="139"/>
      <c r="T883" s="139"/>
      <c r="U883" s="139"/>
      <c r="V883" s="139"/>
      <c r="W883" s="139"/>
      <c r="X883" s="146"/>
      <c r="Y883" s="148"/>
      <c r="Z883" s="145"/>
      <c r="AA883" s="139"/>
      <c r="AB883" s="149"/>
      <c r="AC883" s="11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74"/>
      <c r="AR883" s="222"/>
    </row>
    <row r="884" spans="2:44" s="22" customFormat="1" ht="18" customHeight="1" x14ac:dyDescent="0.25">
      <c r="B884" s="145"/>
      <c r="C884" s="139"/>
      <c r="D884" s="146"/>
      <c r="E884" s="139"/>
      <c r="F884" s="139"/>
      <c r="G884" s="139"/>
      <c r="H884" s="139"/>
      <c r="I884" s="139"/>
      <c r="J884" s="139"/>
      <c r="K884" s="139"/>
      <c r="L884" s="243"/>
      <c r="M884" s="243"/>
      <c r="N884" s="139"/>
      <c r="O884" s="139"/>
      <c r="P884" s="139"/>
      <c r="Q884" s="147"/>
      <c r="R884" s="139"/>
      <c r="S884" s="139"/>
      <c r="T884" s="139"/>
      <c r="U884" s="139"/>
      <c r="V884" s="139"/>
      <c r="W884" s="139"/>
      <c r="X884" s="146"/>
      <c r="Y884" s="148"/>
      <c r="Z884" s="145"/>
      <c r="AA884" s="139"/>
      <c r="AB884" s="149"/>
      <c r="AC884" s="11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74"/>
      <c r="AR884" s="222"/>
    </row>
    <row r="885" spans="2:44" s="22" customFormat="1" ht="18" customHeight="1" x14ac:dyDescent="0.25">
      <c r="B885" s="145"/>
      <c r="C885" s="139"/>
      <c r="D885" s="146"/>
      <c r="E885" s="139"/>
      <c r="F885" s="139"/>
      <c r="G885" s="139"/>
      <c r="H885" s="139"/>
      <c r="I885" s="139"/>
      <c r="J885" s="139"/>
      <c r="K885" s="139"/>
      <c r="L885" s="243"/>
      <c r="M885" s="243"/>
      <c r="N885" s="139"/>
      <c r="O885" s="139"/>
      <c r="P885" s="139"/>
      <c r="Q885" s="147"/>
      <c r="R885" s="139"/>
      <c r="S885" s="139"/>
      <c r="T885" s="139"/>
      <c r="U885" s="139"/>
      <c r="V885" s="139"/>
      <c r="W885" s="139"/>
      <c r="X885" s="146"/>
      <c r="Y885" s="148"/>
      <c r="Z885" s="145"/>
      <c r="AA885" s="139"/>
      <c r="AB885" s="149"/>
      <c r="AC885" s="11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74"/>
      <c r="AR885" s="222"/>
    </row>
    <row r="886" spans="2:44" s="22" customFormat="1" ht="18" customHeight="1" x14ac:dyDescent="0.25">
      <c r="B886" s="145"/>
      <c r="C886" s="139"/>
      <c r="D886" s="146"/>
      <c r="E886" s="139"/>
      <c r="F886" s="139"/>
      <c r="G886" s="139"/>
      <c r="H886" s="139"/>
      <c r="I886" s="139"/>
      <c r="J886" s="139"/>
      <c r="K886" s="139"/>
      <c r="L886" s="243"/>
      <c r="M886" s="243"/>
      <c r="N886" s="139"/>
      <c r="O886" s="139"/>
      <c r="P886" s="139"/>
      <c r="Q886" s="147"/>
      <c r="R886" s="139"/>
      <c r="S886" s="139"/>
      <c r="T886" s="139"/>
      <c r="U886" s="139"/>
      <c r="V886" s="139"/>
      <c r="W886" s="139"/>
      <c r="X886" s="146"/>
      <c r="Y886" s="148"/>
      <c r="Z886" s="145"/>
      <c r="AA886" s="139"/>
      <c r="AB886" s="149"/>
      <c r="AC886" s="11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74"/>
      <c r="AR886" s="222"/>
    </row>
    <row r="887" spans="2:44" s="22" customFormat="1" ht="18" customHeight="1" x14ac:dyDescent="0.25">
      <c r="B887" s="145"/>
      <c r="C887" s="139"/>
      <c r="D887" s="146"/>
      <c r="E887" s="139"/>
      <c r="F887" s="139"/>
      <c r="G887" s="139"/>
      <c r="H887" s="139"/>
      <c r="I887" s="139"/>
      <c r="J887" s="139"/>
      <c r="K887" s="139"/>
      <c r="L887" s="243"/>
      <c r="M887" s="243"/>
      <c r="N887" s="139"/>
      <c r="O887" s="139"/>
      <c r="P887" s="139"/>
      <c r="Q887" s="147"/>
      <c r="R887" s="139"/>
      <c r="S887" s="139"/>
      <c r="T887" s="139"/>
      <c r="U887" s="139"/>
      <c r="V887" s="139"/>
      <c r="W887" s="139"/>
      <c r="X887" s="146"/>
      <c r="Y887" s="148"/>
      <c r="Z887" s="145"/>
      <c r="AA887" s="139"/>
      <c r="AB887" s="149"/>
      <c r="AC887" s="11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74"/>
      <c r="AR887" s="222"/>
    </row>
    <row r="888" spans="2:44" s="22" customFormat="1" ht="18" customHeight="1" x14ac:dyDescent="0.25">
      <c r="B888" s="145"/>
      <c r="C888" s="139"/>
      <c r="D888" s="146"/>
      <c r="E888" s="139"/>
      <c r="F888" s="139"/>
      <c r="G888" s="139"/>
      <c r="H888" s="139"/>
      <c r="I888" s="139"/>
      <c r="J888" s="139"/>
      <c r="K888" s="139"/>
      <c r="L888" s="243"/>
      <c r="M888" s="243"/>
      <c r="N888" s="139"/>
      <c r="O888" s="139"/>
      <c r="P888" s="139"/>
      <c r="Q888" s="147"/>
      <c r="R888" s="139"/>
      <c r="S888" s="139"/>
      <c r="T888" s="139"/>
      <c r="U888" s="139"/>
      <c r="V888" s="139"/>
      <c r="W888" s="139"/>
      <c r="X888" s="146"/>
      <c r="Y888" s="148"/>
      <c r="Z888" s="145"/>
      <c r="AA888" s="139"/>
      <c r="AB888" s="149"/>
      <c r="AC888" s="11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74"/>
      <c r="AR888" s="222"/>
    </row>
    <row r="889" spans="2:44" s="22" customFormat="1" ht="18" customHeight="1" x14ac:dyDescent="0.25">
      <c r="B889" s="145"/>
      <c r="C889" s="139"/>
      <c r="D889" s="146"/>
      <c r="E889" s="139"/>
      <c r="F889" s="139"/>
      <c r="G889" s="139"/>
      <c r="H889" s="139"/>
      <c r="I889" s="139"/>
      <c r="J889" s="139"/>
      <c r="K889" s="139"/>
      <c r="L889" s="243"/>
      <c r="M889" s="243"/>
      <c r="N889" s="139"/>
      <c r="O889" s="139"/>
      <c r="P889" s="139"/>
      <c r="Q889" s="147"/>
      <c r="R889" s="139"/>
      <c r="S889" s="139"/>
      <c r="T889" s="139"/>
      <c r="U889" s="139"/>
      <c r="V889" s="139"/>
      <c r="W889" s="139"/>
      <c r="X889" s="146"/>
      <c r="Y889" s="148"/>
      <c r="Z889" s="145"/>
      <c r="AA889" s="139"/>
      <c r="AB889" s="149"/>
      <c r="AC889" s="11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74"/>
      <c r="AR889" s="222"/>
    </row>
    <row r="890" spans="2:44" s="22" customFormat="1" ht="18" customHeight="1" x14ac:dyDescent="0.25">
      <c r="B890" s="145"/>
      <c r="C890" s="139"/>
      <c r="D890" s="146"/>
      <c r="E890" s="139"/>
      <c r="F890" s="139"/>
      <c r="G890" s="139"/>
      <c r="H890" s="139"/>
      <c r="I890" s="139"/>
      <c r="J890" s="139"/>
      <c r="K890" s="139"/>
      <c r="L890" s="243"/>
      <c r="M890" s="243"/>
      <c r="N890" s="139"/>
      <c r="O890" s="139"/>
      <c r="P890" s="139"/>
      <c r="Q890" s="147"/>
      <c r="R890" s="139"/>
      <c r="S890" s="139"/>
      <c r="T890" s="139"/>
      <c r="U890" s="139"/>
      <c r="V890" s="139"/>
      <c r="W890" s="139"/>
      <c r="X890" s="146"/>
      <c r="Y890" s="148"/>
      <c r="Z890" s="145"/>
      <c r="AA890" s="139"/>
      <c r="AB890" s="149"/>
      <c r="AC890" s="11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74"/>
      <c r="AR890" s="222"/>
    </row>
    <row r="891" spans="2:44" s="22" customFormat="1" ht="18" customHeight="1" x14ac:dyDescent="0.25">
      <c r="B891" s="145"/>
      <c r="C891" s="139"/>
      <c r="D891" s="146"/>
      <c r="E891" s="139"/>
      <c r="F891" s="139"/>
      <c r="G891" s="139"/>
      <c r="H891" s="139"/>
      <c r="I891" s="139"/>
      <c r="J891" s="139"/>
      <c r="K891" s="139"/>
      <c r="L891" s="243"/>
      <c r="M891" s="243"/>
      <c r="N891" s="139"/>
      <c r="O891" s="139"/>
      <c r="P891" s="139"/>
      <c r="Q891" s="147"/>
      <c r="R891" s="139"/>
      <c r="S891" s="139"/>
      <c r="T891" s="139"/>
      <c r="U891" s="139"/>
      <c r="V891" s="139"/>
      <c r="W891" s="139"/>
      <c r="X891" s="146"/>
      <c r="Y891" s="148"/>
      <c r="Z891" s="145"/>
      <c r="AA891" s="139"/>
      <c r="AB891" s="149"/>
      <c r="AC891" s="11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74"/>
      <c r="AR891" s="222"/>
    </row>
    <row r="892" spans="2:44" s="22" customFormat="1" ht="18" customHeight="1" x14ac:dyDescent="0.25">
      <c r="B892" s="145"/>
      <c r="C892" s="139"/>
      <c r="D892" s="146"/>
      <c r="E892" s="139"/>
      <c r="F892" s="139"/>
      <c r="G892" s="139"/>
      <c r="H892" s="139"/>
      <c r="I892" s="139"/>
      <c r="J892" s="139"/>
      <c r="K892" s="139"/>
      <c r="L892" s="243"/>
      <c r="M892" s="243"/>
      <c r="N892" s="139"/>
      <c r="O892" s="139"/>
      <c r="P892" s="139"/>
      <c r="Q892" s="147"/>
      <c r="R892" s="139"/>
      <c r="S892" s="139"/>
      <c r="T892" s="139"/>
      <c r="U892" s="139"/>
      <c r="V892" s="139"/>
      <c r="W892" s="139"/>
      <c r="X892" s="146"/>
      <c r="Y892" s="148"/>
      <c r="Z892" s="145"/>
      <c r="AA892" s="139"/>
      <c r="AB892" s="149"/>
      <c r="AC892" s="11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74"/>
      <c r="AR892" s="222"/>
    </row>
    <row r="893" spans="2:44" s="22" customFormat="1" ht="18" customHeight="1" x14ac:dyDescent="0.25">
      <c r="B893" s="145"/>
      <c r="C893" s="139"/>
      <c r="D893" s="146"/>
      <c r="E893" s="139"/>
      <c r="F893" s="139"/>
      <c r="G893" s="139"/>
      <c r="H893" s="139"/>
      <c r="I893" s="139"/>
      <c r="J893" s="139"/>
      <c r="K893" s="139"/>
      <c r="L893" s="243"/>
      <c r="M893" s="243"/>
      <c r="N893" s="139"/>
      <c r="O893" s="139"/>
      <c r="P893" s="139"/>
      <c r="Q893" s="147"/>
      <c r="R893" s="139"/>
      <c r="S893" s="139"/>
      <c r="T893" s="139"/>
      <c r="U893" s="139"/>
      <c r="V893" s="139"/>
      <c r="W893" s="139"/>
      <c r="X893" s="146"/>
      <c r="Y893" s="148"/>
      <c r="Z893" s="145"/>
      <c r="AA893" s="139"/>
      <c r="AB893" s="149"/>
      <c r="AC893" s="11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74"/>
      <c r="AR893" s="222"/>
    </row>
    <row r="894" spans="2:44" s="22" customFormat="1" ht="18" customHeight="1" x14ac:dyDescent="0.25">
      <c r="B894" s="145"/>
      <c r="C894" s="139"/>
      <c r="D894" s="146"/>
      <c r="E894" s="139"/>
      <c r="F894" s="139"/>
      <c r="G894" s="139"/>
      <c r="H894" s="139"/>
      <c r="I894" s="139"/>
      <c r="J894" s="139"/>
      <c r="K894" s="139"/>
      <c r="L894" s="243"/>
      <c r="M894" s="243"/>
      <c r="N894" s="139"/>
      <c r="O894" s="139"/>
      <c r="P894" s="139"/>
      <c r="Q894" s="147"/>
      <c r="R894" s="139"/>
      <c r="S894" s="139"/>
      <c r="T894" s="139"/>
      <c r="U894" s="139"/>
      <c r="V894" s="139"/>
      <c r="W894" s="139"/>
      <c r="X894" s="146"/>
      <c r="Y894" s="148"/>
      <c r="Z894" s="145"/>
      <c r="AA894" s="139"/>
      <c r="AB894" s="149"/>
      <c r="AC894" s="11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74"/>
      <c r="AR894" s="222"/>
    </row>
    <row r="895" spans="2:44" s="22" customFormat="1" ht="18" customHeight="1" x14ac:dyDescent="0.25">
      <c r="B895" s="145"/>
      <c r="C895" s="139"/>
      <c r="D895" s="146"/>
      <c r="E895" s="139"/>
      <c r="F895" s="139"/>
      <c r="G895" s="139"/>
      <c r="H895" s="139"/>
      <c r="I895" s="139"/>
      <c r="J895" s="139"/>
      <c r="K895" s="139"/>
      <c r="L895" s="243"/>
      <c r="M895" s="243"/>
      <c r="N895" s="139"/>
      <c r="O895" s="139"/>
      <c r="P895" s="139"/>
      <c r="Q895" s="147"/>
      <c r="R895" s="139"/>
      <c r="S895" s="139"/>
      <c r="T895" s="139"/>
      <c r="U895" s="139"/>
      <c r="V895" s="139"/>
      <c r="W895" s="139"/>
      <c r="X895" s="146"/>
      <c r="Y895" s="148"/>
      <c r="Z895" s="145"/>
      <c r="AA895" s="139"/>
      <c r="AB895" s="149"/>
      <c r="AC895" s="11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74"/>
      <c r="AR895" s="222"/>
    </row>
    <row r="896" spans="2:44" s="22" customFormat="1" ht="18" customHeight="1" x14ac:dyDescent="0.25">
      <c r="B896" s="145"/>
      <c r="C896" s="139"/>
      <c r="D896" s="146"/>
      <c r="E896" s="139"/>
      <c r="F896" s="139"/>
      <c r="G896" s="139"/>
      <c r="H896" s="139"/>
      <c r="I896" s="139"/>
      <c r="J896" s="139"/>
      <c r="K896" s="139"/>
      <c r="L896" s="243"/>
      <c r="M896" s="243"/>
      <c r="N896" s="139"/>
      <c r="O896" s="139"/>
      <c r="P896" s="139"/>
      <c r="Q896" s="147"/>
      <c r="R896" s="139"/>
      <c r="S896" s="139"/>
      <c r="T896" s="139"/>
      <c r="U896" s="139"/>
      <c r="V896" s="139"/>
      <c r="W896" s="139"/>
      <c r="X896" s="146"/>
      <c r="Y896" s="148"/>
      <c r="Z896" s="145"/>
      <c r="AA896" s="139"/>
      <c r="AB896" s="149"/>
      <c r="AC896" s="11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74"/>
      <c r="AR896" s="222"/>
    </row>
    <row r="897" spans="2:44" s="22" customFormat="1" ht="18" customHeight="1" x14ac:dyDescent="0.25">
      <c r="B897" s="145"/>
      <c r="C897" s="139"/>
      <c r="D897" s="146"/>
      <c r="E897" s="139"/>
      <c r="F897" s="139"/>
      <c r="G897" s="139"/>
      <c r="H897" s="139"/>
      <c r="I897" s="139"/>
      <c r="J897" s="139"/>
      <c r="K897" s="139"/>
      <c r="L897" s="243"/>
      <c r="M897" s="243"/>
      <c r="N897" s="139"/>
      <c r="O897" s="139"/>
      <c r="P897" s="139"/>
      <c r="Q897" s="147"/>
      <c r="R897" s="139"/>
      <c r="S897" s="139"/>
      <c r="T897" s="139"/>
      <c r="U897" s="139"/>
      <c r="V897" s="139"/>
      <c r="W897" s="139"/>
      <c r="X897" s="146"/>
      <c r="Y897" s="148"/>
      <c r="Z897" s="145"/>
      <c r="AA897" s="139"/>
      <c r="AB897" s="149"/>
      <c r="AC897" s="11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74"/>
      <c r="AR897" s="222"/>
    </row>
    <row r="898" spans="2:44" s="22" customFormat="1" ht="18" customHeight="1" x14ac:dyDescent="0.25">
      <c r="B898" s="145"/>
      <c r="C898" s="139"/>
      <c r="D898" s="146"/>
      <c r="E898" s="139"/>
      <c r="F898" s="139"/>
      <c r="G898" s="139"/>
      <c r="H898" s="139"/>
      <c r="I898" s="139"/>
      <c r="J898" s="139"/>
      <c r="K898" s="139"/>
      <c r="L898" s="243"/>
      <c r="M898" s="243"/>
      <c r="N898" s="139"/>
      <c r="O898" s="139"/>
      <c r="P898" s="139"/>
      <c r="Q898" s="147"/>
      <c r="R898" s="139"/>
      <c r="S898" s="139"/>
      <c r="T898" s="139"/>
      <c r="U898" s="139"/>
      <c r="V898" s="139"/>
      <c r="W898" s="139"/>
      <c r="X898" s="146"/>
      <c r="Y898" s="148"/>
      <c r="Z898" s="145"/>
      <c r="AA898" s="139"/>
      <c r="AB898" s="149"/>
      <c r="AC898" s="11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74"/>
      <c r="AR898" s="222"/>
    </row>
    <row r="899" spans="2:44" s="22" customFormat="1" ht="18" customHeight="1" x14ac:dyDescent="0.25">
      <c r="B899" s="145"/>
      <c r="C899" s="139"/>
      <c r="D899" s="146"/>
      <c r="E899" s="139"/>
      <c r="F899" s="139"/>
      <c r="G899" s="139"/>
      <c r="H899" s="139"/>
      <c r="I899" s="139"/>
      <c r="J899" s="139"/>
      <c r="K899" s="139"/>
      <c r="L899" s="243"/>
      <c r="M899" s="243"/>
      <c r="N899" s="139"/>
      <c r="O899" s="139"/>
      <c r="P899" s="139"/>
      <c r="Q899" s="147"/>
      <c r="R899" s="139"/>
      <c r="S899" s="139"/>
      <c r="T899" s="139"/>
      <c r="U899" s="139"/>
      <c r="V899" s="139"/>
      <c r="W899" s="139"/>
      <c r="X899" s="146"/>
      <c r="Y899" s="148"/>
      <c r="Z899" s="145"/>
      <c r="AA899" s="139"/>
      <c r="AB899" s="149"/>
      <c r="AC899" s="11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74"/>
      <c r="AR899" s="222"/>
    </row>
    <row r="900" spans="2:44" s="22" customFormat="1" ht="18" customHeight="1" x14ac:dyDescent="0.25">
      <c r="B900" s="145"/>
      <c r="C900" s="139"/>
      <c r="D900" s="146"/>
      <c r="E900" s="139"/>
      <c r="F900" s="139"/>
      <c r="G900" s="139"/>
      <c r="H900" s="139"/>
      <c r="I900" s="139"/>
      <c r="J900" s="139"/>
      <c r="K900" s="139"/>
      <c r="L900" s="243"/>
      <c r="M900" s="243"/>
      <c r="N900" s="139"/>
      <c r="O900" s="139"/>
      <c r="P900" s="139"/>
      <c r="Q900" s="147"/>
      <c r="R900" s="139"/>
      <c r="S900" s="139"/>
      <c r="T900" s="139"/>
      <c r="U900" s="139"/>
      <c r="V900" s="139"/>
      <c r="W900" s="139"/>
      <c r="X900" s="146"/>
      <c r="Y900" s="148"/>
      <c r="Z900" s="145"/>
      <c r="AA900" s="139"/>
      <c r="AB900" s="149"/>
      <c r="AC900" s="11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74"/>
      <c r="AR900" s="222"/>
    </row>
    <row r="901" spans="2:44" s="22" customFormat="1" ht="18" customHeight="1" x14ac:dyDescent="0.25">
      <c r="B901" s="145"/>
      <c r="C901" s="139"/>
      <c r="D901" s="146"/>
      <c r="E901" s="139"/>
      <c r="F901" s="139"/>
      <c r="G901" s="139"/>
      <c r="H901" s="139"/>
      <c r="I901" s="139"/>
      <c r="J901" s="139"/>
      <c r="K901" s="139"/>
      <c r="L901" s="243"/>
      <c r="M901" s="243"/>
      <c r="N901" s="139"/>
      <c r="O901" s="139"/>
      <c r="P901" s="139"/>
      <c r="Q901" s="147"/>
      <c r="R901" s="139"/>
      <c r="S901" s="139"/>
      <c r="T901" s="139"/>
      <c r="U901" s="139"/>
      <c r="V901" s="139"/>
      <c r="W901" s="139"/>
      <c r="X901" s="146"/>
      <c r="Y901" s="148"/>
      <c r="Z901" s="145"/>
      <c r="AA901" s="139"/>
      <c r="AB901" s="149"/>
      <c r="AC901" s="11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74"/>
      <c r="AR901" s="222"/>
    </row>
    <row r="902" spans="2:44" s="22" customFormat="1" ht="18" customHeight="1" x14ac:dyDescent="0.25">
      <c r="B902" s="145"/>
      <c r="C902" s="139"/>
      <c r="D902" s="146"/>
      <c r="E902" s="139"/>
      <c r="F902" s="139"/>
      <c r="G902" s="139"/>
      <c r="H902" s="139"/>
      <c r="I902" s="139"/>
      <c r="J902" s="139"/>
      <c r="K902" s="139"/>
      <c r="L902" s="243"/>
      <c r="M902" s="243"/>
      <c r="N902" s="139"/>
      <c r="O902" s="139"/>
      <c r="P902" s="139"/>
      <c r="Q902" s="147"/>
      <c r="R902" s="139"/>
      <c r="S902" s="139"/>
      <c r="T902" s="139"/>
      <c r="U902" s="139"/>
      <c r="V902" s="139"/>
      <c r="W902" s="139"/>
      <c r="X902" s="146"/>
      <c r="Y902" s="148"/>
      <c r="Z902" s="145"/>
      <c r="AA902" s="139"/>
      <c r="AB902" s="149"/>
      <c r="AC902" s="11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74"/>
      <c r="AR902" s="222"/>
    </row>
    <row r="903" spans="2:44" s="22" customFormat="1" ht="18" customHeight="1" x14ac:dyDescent="0.25">
      <c r="B903" s="145"/>
      <c r="C903" s="139"/>
      <c r="D903" s="146"/>
      <c r="E903" s="139"/>
      <c r="F903" s="139"/>
      <c r="G903" s="139"/>
      <c r="H903" s="139"/>
      <c r="I903" s="139"/>
      <c r="J903" s="139"/>
      <c r="K903" s="139"/>
      <c r="L903" s="243"/>
      <c r="M903" s="243"/>
      <c r="N903" s="139"/>
      <c r="O903" s="139"/>
      <c r="P903" s="139"/>
      <c r="Q903" s="147"/>
      <c r="R903" s="139"/>
      <c r="S903" s="139"/>
      <c r="T903" s="139"/>
      <c r="U903" s="139"/>
      <c r="V903" s="139"/>
      <c r="W903" s="139"/>
      <c r="X903" s="146"/>
      <c r="Y903" s="148"/>
      <c r="Z903" s="145"/>
      <c r="AA903" s="139"/>
      <c r="AB903" s="149"/>
      <c r="AC903" s="11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74"/>
      <c r="AR903" s="222"/>
    </row>
    <row r="904" spans="2:44" s="22" customFormat="1" ht="18" customHeight="1" x14ac:dyDescent="0.25">
      <c r="B904" s="145"/>
      <c r="C904" s="139"/>
      <c r="D904" s="146"/>
      <c r="E904" s="139"/>
      <c r="F904" s="139"/>
      <c r="G904" s="139"/>
      <c r="H904" s="139"/>
      <c r="I904" s="139"/>
      <c r="J904" s="139"/>
      <c r="K904" s="139"/>
      <c r="L904" s="243"/>
      <c r="M904" s="243"/>
      <c r="N904" s="139"/>
      <c r="O904" s="139"/>
      <c r="P904" s="139"/>
      <c r="Q904" s="147"/>
      <c r="R904" s="139"/>
      <c r="S904" s="139"/>
      <c r="T904" s="139"/>
      <c r="U904" s="139"/>
      <c r="V904" s="139"/>
      <c r="W904" s="139"/>
      <c r="X904" s="146"/>
      <c r="Y904" s="148"/>
      <c r="Z904" s="145"/>
      <c r="AA904" s="139"/>
      <c r="AB904" s="149"/>
      <c r="AC904" s="11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74"/>
      <c r="AR904" s="222"/>
    </row>
    <row r="905" spans="2:44" s="22" customFormat="1" ht="18" customHeight="1" x14ac:dyDescent="0.25">
      <c r="B905" s="145"/>
      <c r="C905" s="139"/>
      <c r="D905" s="146"/>
      <c r="E905" s="139"/>
      <c r="F905" s="139"/>
      <c r="G905" s="139"/>
      <c r="H905" s="139"/>
      <c r="I905" s="139"/>
      <c r="J905" s="139"/>
      <c r="K905" s="139"/>
      <c r="L905" s="243"/>
      <c r="M905" s="243"/>
      <c r="N905" s="139"/>
      <c r="O905" s="139"/>
      <c r="P905" s="139"/>
      <c r="Q905" s="147"/>
      <c r="R905" s="139"/>
      <c r="S905" s="139"/>
      <c r="T905" s="139"/>
      <c r="U905" s="139"/>
      <c r="V905" s="139"/>
      <c r="W905" s="139"/>
      <c r="X905" s="146"/>
      <c r="Y905" s="148"/>
      <c r="Z905" s="145"/>
      <c r="AA905" s="139"/>
      <c r="AB905" s="149"/>
      <c r="AC905" s="11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74"/>
      <c r="AR905" s="222"/>
    </row>
    <row r="906" spans="2:44" s="22" customFormat="1" ht="18" customHeight="1" x14ac:dyDescent="0.25">
      <c r="B906" s="145"/>
      <c r="C906" s="139"/>
      <c r="D906" s="146"/>
      <c r="E906" s="139"/>
      <c r="F906" s="139"/>
      <c r="G906" s="139"/>
      <c r="H906" s="139"/>
      <c r="I906" s="139"/>
      <c r="J906" s="139"/>
      <c r="K906" s="139"/>
      <c r="L906" s="243"/>
      <c r="M906" s="243"/>
      <c r="N906" s="139"/>
      <c r="O906" s="139"/>
      <c r="P906" s="139"/>
      <c r="Q906" s="147"/>
      <c r="R906" s="139"/>
      <c r="S906" s="139"/>
      <c r="T906" s="139"/>
      <c r="U906" s="139"/>
      <c r="V906" s="139"/>
      <c r="W906" s="139"/>
      <c r="X906" s="146"/>
      <c r="Y906" s="148"/>
      <c r="Z906" s="145"/>
      <c r="AA906" s="139"/>
      <c r="AB906" s="149"/>
      <c r="AC906" s="11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74"/>
      <c r="AR906" s="222"/>
    </row>
    <row r="907" spans="2:44" s="141" customFormat="1" ht="18" customHeight="1" x14ac:dyDescent="0.25">
      <c r="B907" s="145"/>
      <c r="C907" s="139"/>
      <c r="D907" s="146"/>
      <c r="E907" s="139"/>
      <c r="F907" s="139"/>
      <c r="G907" s="139"/>
      <c r="H907" s="139"/>
      <c r="I907" s="139"/>
      <c r="J907" s="139"/>
      <c r="K907" s="139"/>
      <c r="L907" s="243"/>
      <c r="M907" s="243"/>
      <c r="N907" s="139"/>
      <c r="O907" s="139"/>
      <c r="P907" s="139"/>
      <c r="Q907" s="147"/>
      <c r="R907" s="139"/>
      <c r="S907" s="139"/>
      <c r="T907" s="139"/>
      <c r="U907" s="139"/>
      <c r="V907" s="139"/>
      <c r="W907" s="139"/>
      <c r="X907" s="146"/>
      <c r="Y907" s="148"/>
      <c r="Z907" s="145"/>
      <c r="AA907" s="139"/>
      <c r="AB907" s="149"/>
      <c r="AC907" s="11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74"/>
      <c r="AR907" s="222"/>
    </row>
    <row r="908" spans="2:44" s="22" customFormat="1" ht="18" customHeight="1" x14ac:dyDescent="0.25">
      <c r="B908" s="145"/>
      <c r="C908" s="139"/>
      <c r="D908" s="146"/>
      <c r="E908" s="139"/>
      <c r="F908" s="139"/>
      <c r="G908" s="139"/>
      <c r="H908" s="139"/>
      <c r="I908" s="139"/>
      <c r="J908" s="139"/>
      <c r="K908" s="139"/>
      <c r="L908" s="243"/>
      <c r="M908" s="243"/>
      <c r="N908" s="139"/>
      <c r="O908" s="139"/>
      <c r="P908" s="139"/>
      <c r="Q908" s="147"/>
      <c r="R908" s="139"/>
      <c r="S908" s="139"/>
      <c r="T908" s="139"/>
      <c r="U908" s="139"/>
      <c r="V908" s="139"/>
      <c r="W908" s="139"/>
      <c r="X908" s="146"/>
      <c r="Y908" s="148"/>
      <c r="Z908" s="145"/>
      <c r="AA908" s="139"/>
      <c r="AB908" s="149"/>
      <c r="AC908" s="11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74"/>
      <c r="AR908" s="222"/>
    </row>
    <row r="909" spans="2:44" s="141" customFormat="1" ht="18" customHeight="1" x14ac:dyDescent="0.25">
      <c r="B909" s="145"/>
      <c r="C909" s="139"/>
      <c r="D909" s="146"/>
      <c r="E909" s="139"/>
      <c r="F909" s="139"/>
      <c r="G909" s="139"/>
      <c r="H909" s="139"/>
      <c r="I909" s="139"/>
      <c r="J909" s="139"/>
      <c r="K909" s="139"/>
      <c r="L909" s="243"/>
      <c r="M909" s="243"/>
      <c r="N909" s="139"/>
      <c r="O909" s="139"/>
      <c r="P909" s="139"/>
      <c r="Q909" s="147"/>
      <c r="R909" s="139"/>
      <c r="S909" s="139"/>
      <c r="T909" s="139"/>
      <c r="U909" s="139"/>
      <c r="V909" s="139"/>
      <c r="W909" s="139"/>
      <c r="X909" s="146"/>
      <c r="Y909" s="148"/>
      <c r="Z909" s="145"/>
      <c r="AA909" s="139"/>
      <c r="AB909" s="149"/>
      <c r="AC909" s="11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74"/>
      <c r="AR909" s="222"/>
    </row>
    <row r="910" spans="2:44" s="140" customFormat="1" ht="18" customHeight="1" x14ac:dyDescent="0.25">
      <c r="B910" s="145"/>
      <c r="C910" s="139"/>
      <c r="D910" s="146"/>
      <c r="E910" s="139"/>
      <c r="F910" s="139"/>
      <c r="G910" s="139"/>
      <c r="H910" s="139"/>
      <c r="I910" s="139"/>
      <c r="J910" s="139"/>
      <c r="K910" s="139"/>
      <c r="L910" s="243"/>
      <c r="M910" s="243"/>
      <c r="N910" s="139"/>
      <c r="O910" s="139"/>
      <c r="P910" s="139"/>
      <c r="Q910" s="147"/>
      <c r="R910" s="139"/>
      <c r="S910" s="139"/>
      <c r="T910" s="139"/>
      <c r="U910" s="139"/>
      <c r="V910" s="139"/>
      <c r="W910" s="139"/>
      <c r="X910" s="146"/>
      <c r="Y910" s="148"/>
      <c r="Z910" s="145"/>
      <c r="AA910" s="139"/>
      <c r="AB910" s="149"/>
      <c r="AC910" s="11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74"/>
      <c r="AR910" s="222"/>
    </row>
    <row r="911" spans="2:44" s="141" customFormat="1" ht="18" customHeight="1" x14ac:dyDescent="0.25">
      <c r="B911" s="145"/>
      <c r="C911" s="139"/>
      <c r="D911" s="146"/>
      <c r="E911" s="139"/>
      <c r="F911" s="139"/>
      <c r="G911" s="139"/>
      <c r="H911" s="139"/>
      <c r="I911" s="139"/>
      <c r="J911" s="139"/>
      <c r="K911" s="139"/>
      <c r="L911" s="243"/>
      <c r="M911" s="243"/>
      <c r="N911" s="139"/>
      <c r="O911" s="139"/>
      <c r="P911" s="139"/>
      <c r="Q911" s="147"/>
      <c r="R911" s="139"/>
      <c r="S911" s="139"/>
      <c r="T911" s="139"/>
      <c r="U911" s="139"/>
      <c r="V911" s="139"/>
      <c r="W911" s="139"/>
      <c r="X911" s="146"/>
      <c r="Y911" s="148"/>
      <c r="Z911" s="145"/>
      <c r="AA911" s="139"/>
      <c r="AB911" s="149"/>
      <c r="AC911" s="11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74"/>
      <c r="AR911" s="222"/>
    </row>
    <row r="912" spans="2:44" s="140" customFormat="1" ht="18" customHeight="1" x14ac:dyDescent="0.25">
      <c r="B912" s="145"/>
      <c r="C912" s="139"/>
      <c r="D912" s="146"/>
      <c r="E912" s="139"/>
      <c r="F912" s="139"/>
      <c r="G912" s="139"/>
      <c r="H912" s="139"/>
      <c r="I912" s="139"/>
      <c r="J912" s="139"/>
      <c r="K912" s="139"/>
      <c r="L912" s="243"/>
      <c r="M912" s="243"/>
      <c r="N912" s="139"/>
      <c r="O912" s="139"/>
      <c r="P912" s="139"/>
      <c r="Q912" s="147"/>
      <c r="R912" s="139"/>
      <c r="S912" s="139"/>
      <c r="T912" s="139"/>
      <c r="U912" s="139"/>
      <c r="V912" s="139"/>
      <c r="W912" s="139"/>
      <c r="X912" s="146"/>
      <c r="Y912" s="148"/>
      <c r="Z912" s="145"/>
      <c r="AA912" s="139"/>
      <c r="AB912" s="149"/>
      <c r="AC912" s="11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74"/>
      <c r="AR912" s="222"/>
    </row>
    <row r="913" spans="2:44" s="140" customFormat="1" ht="18" customHeight="1" x14ac:dyDescent="0.25">
      <c r="B913" s="145"/>
      <c r="C913" s="139"/>
      <c r="D913" s="146"/>
      <c r="E913" s="139"/>
      <c r="F913" s="139"/>
      <c r="G913" s="139"/>
      <c r="H913" s="139"/>
      <c r="I913" s="139"/>
      <c r="J913" s="139"/>
      <c r="K913" s="139"/>
      <c r="L913" s="243"/>
      <c r="M913" s="243"/>
      <c r="N913" s="139"/>
      <c r="O913" s="139"/>
      <c r="P913" s="139"/>
      <c r="Q913" s="147"/>
      <c r="R913" s="139"/>
      <c r="S913" s="139"/>
      <c r="T913" s="139"/>
      <c r="U913" s="139"/>
      <c r="V913" s="139"/>
      <c r="W913" s="139"/>
      <c r="X913" s="146"/>
      <c r="Y913" s="148"/>
      <c r="Z913" s="145"/>
      <c r="AA913" s="139"/>
      <c r="AB913" s="149"/>
      <c r="AC913" s="11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74"/>
      <c r="AR913" s="222"/>
    </row>
    <row r="914" spans="2:44" s="140" customFormat="1" ht="18" customHeight="1" x14ac:dyDescent="0.25">
      <c r="B914" s="145"/>
      <c r="C914" s="139"/>
      <c r="D914" s="146"/>
      <c r="E914" s="139"/>
      <c r="F914" s="139"/>
      <c r="G914" s="139"/>
      <c r="H914" s="139"/>
      <c r="I914" s="139"/>
      <c r="J914" s="139"/>
      <c r="K914" s="139"/>
      <c r="L914" s="243"/>
      <c r="M914" s="243"/>
      <c r="N914" s="139"/>
      <c r="O914" s="139"/>
      <c r="P914" s="139"/>
      <c r="Q914" s="147"/>
      <c r="R914" s="139"/>
      <c r="S914" s="139"/>
      <c r="T914" s="139"/>
      <c r="U914" s="139"/>
      <c r="V914" s="139"/>
      <c r="W914" s="139"/>
      <c r="X914" s="146"/>
      <c r="Y914" s="148"/>
      <c r="Z914" s="145"/>
      <c r="AA914" s="139"/>
      <c r="AB914" s="149"/>
      <c r="AC914" s="11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74"/>
      <c r="AR914" s="222"/>
    </row>
    <row r="915" spans="2:44" s="22" customFormat="1" ht="18" customHeight="1" x14ac:dyDescent="0.25">
      <c r="B915" s="145"/>
      <c r="C915" s="139"/>
      <c r="D915" s="146"/>
      <c r="E915" s="139"/>
      <c r="F915" s="139"/>
      <c r="G915" s="139"/>
      <c r="H915" s="139"/>
      <c r="I915" s="139"/>
      <c r="J915" s="139"/>
      <c r="K915" s="139"/>
      <c r="L915" s="243"/>
      <c r="M915" s="243"/>
      <c r="N915" s="139"/>
      <c r="O915" s="139"/>
      <c r="P915" s="139"/>
      <c r="Q915" s="147"/>
      <c r="R915" s="139"/>
      <c r="S915" s="139"/>
      <c r="T915" s="139"/>
      <c r="U915" s="139"/>
      <c r="V915" s="139"/>
      <c r="W915" s="139"/>
      <c r="X915" s="146"/>
      <c r="Y915" s="148"/>
      <c r="Z915" s="145"/>
      <c r="AA915" s="139"/>
      <c r="AB915" s="149"/>
      <c r="AC915" s="11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74"/>
      <c r="AR915" s="222"/>
    </row>
    <row r="916" spans="2:44" s="140" customFormat="1" ht="18" customHeight="1" x14ac:dyDescent="0.25">
      <c r="B916" s="145"/>
      <c r="C916" s="139"/>
      <c r="D916" s="146"/>
      <c r="E916" s="139"/>
      <c r="F916" s="139"/>
      <c r="G916" s="139"/>
      <c r="H916" s="139"/>
      <c r="I916" s="139"/>
      <c r="J916" s="139"/>
      <c r="K916" s="139"/>
      <c r="L916" s="243"/>
      <c r="M916" s="243"/>
      <c r="N916" s="139"/>
      <c r="O916" s="139"/>
      <c r="P916" s="139"/>
      <c r="Q916" s="147"/>
      <c r="R916" s="139"/>
      <c r="S916" s="139"/>
      <c r="T916" s="139"/>
      <c r="U916" s="139"/>
      <c r="V916" s="139"/>
      <c r="W916" s="139"/>
      <c r="X916" s="146"/>
      <c r="Y916" s="148"/>
      <c r="Z916" s="145"/>
      <c r="AA916" s="139"/>
      <c r="AB916" s="149"/>
      <c r="AC916" s="11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74"/>
      <c r="AR916" s="222"/>
    </row>
    <row r="917" spans="2:44" s="22" customFormat="1" ht="18" customHeight="1" x14ac:dyDescent="0.25">
      <c r="B917" s="145"/>
      <c r="C917" s="139"/>
      <c r="D917" s="146"/>
      <c r="E917" s="139"/>
      <c r="F917" s="139"/>
      <c r="G917" s="139"/>
      <c r="H917" s="139"/>
      <c r="I917" s="139"/>
      <c r="J917" s="139"/>
      <c r="K917" s="139"/>
      <c r="L917" s="243"/>
      <c r="M917" s="243"/>
      <c r="N917" s="139"/>
      <c r="O917" s="139"/>
      <c r="P917" s="139"/>
      <c r="Q917" s="147"/>
      <c r="R917" s="139"/>
      <c r="S917" s="139"/>
      <c r="T917" s="139"/>
      <c r="U917" s="139"/>
      <c r="V917" s="139"/>
      <c r="W917" s="139"/>
      <c r="X917" s="146"/>
      <c r="Y917" s="148"/>
      <c r="Z917" s="145"/>
      <c r="AA917" s="139"/>
      <c r="AB917" s="149"/>
      <c r="AC917" s="11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74"/>
      <c r="AR917" s="222"/>
    </row>
    <row r="918" spans="2:44" s="22" customFormat="1" ht="18" customHeight="1" x14ac:dyDescent="0.25">
      <c r="B918" s="145"/>
      <c r="C918" s="139"/>
      <c r="D918" s="146"/>
      <c r="E918" s="139"/>
      <c r="F918" s="139"/>
      <c r="G918" s="139"/>
      <c r="H918" s="139"/>
      <c r="I918" s="139"/>
      <c r="J918" s="139"/>
      <c r="K918" s="139"/>
      <c r="L918" s="243"/>
      <c r="M918" s="243"/>
      <c r="N918" s="139"/>
      <c r="O918" s="139"/>
      <c r="P918" s="139"/>
      <c r="Q918" s="147"/>
      <c r="R918" s="139"/>
      <c r="S918" s="139"/>
      <c r="T918" s="139"/>
      <c r="U918" s="139"/>
      <c r="V918" s="139"/>
      <c r="W918" s="139"/>
      <c r="X918" s="146"/>
      <c r="Y918" s="148"/>
      <c r="Z918" s="145"/>
      <c r="AA918" s="139"/>
      <c r="AB918" s="149"/>
      <c r="AC918" s="11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74"/>
      <c r="AR918" s="222"/>
    </row>
    <row r="919" spans="2:44" s="22" customFormat="1" ht="18" customHeight="1" x14ac:dyDescent="0.25">
      <c r="B919" s="145"/>
      <c r="C919" s="139"/>
      <c r="D919" s="146"/>
      <c r="E919" s="139"/>
      <c r="F919" s="139"/>
      <c r="G919" s="139"/>
      <c r="H919" s="139"/>
      <c r="I919" s="139"/>
      <c r="J919" s="139"/>
      <c r="K919" s="139"/>
      <c r="L919" s="243"/>
      <c r="M919" s="243"/>
      <c r="N919" s="139"/>
      <c r="O919" s="139"/>
      <c r="P919" s="139"/>
      <c r="Q919" s="147"/>
      <c r="R919" s="139"/>
      <c r="S919" s="139"/>
      <c r="T919" s="139"/>
      <c r="U919" s="139"/>
      <c r="V919" s="139"/>
      <c r="W919" s="139"/>
      <c r="X919" s="146"/>
      <c r="Y919" s="148"/>
      <c r="Z919" s="145"/>
      <c r="AA919" s="139"/>
      <c r="AB919" s="149"/>
      <c r="AC919" s="11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74"/>
      <c r="AR919" s="222"/>
    </row>
    <row r="920" spans="2:44" s="22" customFormat="1" ht="18" customHeight="1" x14ac:dyDescent="0.25">
      <c r="B920" s="145"/>
      <c r="C920" s="139"/>
      <c r="D920" s="146"/>
      <c r="E920" s="139"/>
      <c r="F920" s="139"/>
      <c r="G920" s="139"/>
      <c r="H920" s="139"/>
      <c r="I920" s="139"/>
      <c r="J920" s="139"/>
      <c r="K920" s="139"/>
      <c r="L920" s="243"/>
      <c r="M920" s="243"/>
      <c r="N920" s="139"/>
      <c r="O920" s="139"/>
      <c r="P920" s="139"/>
      <c r="Q920" s="147"/>
      <c r="R920" s="139"/>
      <c r="S920" s="139"/>
      <c r="T920" s="139"/>
      <c r="U920" s="139"/>
      <c r="V920" s="139"/>
      <c r="W920" s="139"/>
      <c r="X920" s="146"/>
      <c r="Y920" s="148"/>
      <c r="Z920" s="145"/>
      <c r="AA920" s="139"/>
      <c r="AB920" s="149"/>
      <c r="AC920" s="11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74"/>
      <c r="AR920" s="222"/>
    </row>
    <row r="921" spans="2:44" s="22" customFormat="1" ht="18" customHeight="1" x14ac:dyDescent="0.25">
      <c r="B921" s="145"/>
      <c r="C921" s="139"/>
      <c r="D921" s="146"/>
      <c r="E921" s="139"/>
      <c r="F921" s="139"/>
      <c r="G921" s="139"/>
      <c r="H921" s="139"/>
      <c r="I921" s="139"/>
      <c r="J921" s="139"/>
      <c r="K921" s="139"/>
      <c r="L921" s="243"/>
      <c r="M921" s="243"/>
      <c r="N921" s="139"/>
      <c r="O921" s="139"/>
      <c r="P921" s="139"/>
      <c r="Q921" s="147"/>
      <c r="R921" s="139"/>
      <c r="S921" s="139"/>
      <c r="T921" s="139"/>
      <c r="U921" s="139"/>
      <c r="V921" s="139"/>
      <c r="W921" s="139"/>
      <c r="X921" s="146"/>
      <c r="Y921" s="148"/>
      <c r="Z921" s="145"/>
      <c r="AA921" s="139"/>
      <c r="AB921" s="149"/>
      <c r="AC921" s="11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74"/>
      <c r="AR921" s="222"/>
    </row>
    <row r="922" spans="2:44" s="22" customFormat="1" ht="18" customHeight="1" x14ac:dyDescent="0.25">
      <c r="B922" s="145"/>
      <c r="C922" s="139"/>
      <c r="D922" s="146"/>
      <c r="E922" s="139"/>
      <c r="F922" s="139"/>
      <c r="G922" s="139"/>
      <c r="H922" s="139"/>
      <c r="I922" s="139"/>
      <c r="J922" s="139"/>
      <c r="K922" s="139"/>
      <c r="L922" s="243"/>
      <c r="M922" s="243"/>
      <c r="N922" s="139"/>
      <c r="O922" s="139"/>
      <c r="P922" s="139"/>
      <c r="Q922" s="147"/>
      <c r="R922" s="139"/>
      <c r="S922" s="139"/>
      <c r="T922" s="139"/>
      <c r="U922" s="139"/>
      <c r="V922" s="139"/>
      <c r="W922" s="139"/>
      <c r="X922" s="146"/>
      <c r="Y922" s="148"/>
      <c r="Z922" s="145"/>
      <c r="AA922" s="139"/>
      <c r="AB922" s="149"/>
      <c r="AC922" s="11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74"/>
      <c r="AR922" s="222"/>
    </row>
    <row r="923" spans="2:44" s="22" customFormat="1" ht="18" customHeight="1" x14ac:dyDescent="0.25">
      <c r="B923" s="145"/>
      <c r="C923" s="139"/>
      <c r="D923" s="146"/>
      <c r="E923" s="139"/>
      <c r="F923" s="139"/>
      <c r="G923" s="139"/>
      <c r="H923" s="139"/>
      <c r="I923" s="139"/>
      <c r="J923" s="139"/>
      <c r="K923" s="139"/>
      <c r="L923" s="243"/>
      <c r="M923" s="243"/>
      <c r="N923" s="139"/>
      <c r="O923" s="139"/>
      <c r="P923" s="139"/>
      <c r="Q923" s="147"/>
      <c r="R923" s="139"/>
      <c r="S923" s="139"/>
      <c r="T923" s="139"/>
      <c r="U923" s="139"/>
      <c r="V923" s="139"/>
      <c r="W923" s="139"/>
      <c r="X923" s="146"/>
      <c r="Y923" s="148"/>
      <c r="Z923" s="145"/>
      <c r="AA923" s="139"/>
      <c r="AB923" s="149"/>
      <c r="AC923" s="11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74"/>
      <c r="AR923" s="222"/>
    </row>
    <row r="924" spans="2:44" s="22" customFormat="1" ht="18" customHeight="1" x14ac:dyDescent="0.25">
      <c r="B924" s="145"/>
      <c r="C924" s="139"/>
      <c r="D924" s="146"/>
      <c r="E924" s="139"/>
      <c r="F924" s="139"/>
      <c r="G924" s="139"/>
      <c r="H924" s="139"/>
      <c r="I924" s="139"/>
      <c r="J924" s="139"/>
      <c r="K924" s="139"/>
      <c r="L924" s="243"/>
      <c r="M924" s="243"/>
      <c r="N924" s="139"/>
      <c r="O924" s="139"/>
      <c r="P924" s="139"/>
      <c r="Q924" s="147"/>
      <c r="R924" s="139"/>
      <c r="S924" s="139"/>
      <c r="T924" s="139"/>
      <c r="U924" s="139"/>
      <c r="V924" s="139"/>
      <c r="W924" s="139"/>
      <c r="X924" s="146"/>
      <c r="Y924" s="148"/>
      <c r="Z924" s="145"/>
      <c r="AA924" s="139"/>
      <c r="AB924" s="149"/>
      <c r="AC924" s="11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74"/>
      <c r="AR924" s="222"/>
    </row>
    <row r="925" spans="2:44" s="140" customFormat="1" ht="18" customHeight="1" x14ac:dyDescent="0.25">
      <c r="B925" s="145"/>
      <c r="C925" s="139"/>
      <c r="D925" s="146"/>
      <c r="E925" s="139"/>
      <c r="F925" s="139"/>
      <c r="G925" s="139"/>
      <c r="H925" s="139"/>
      <c r="I925" s="139"/>
      <c r="J925" s="139"/>
      <c r="K925" s="139"/>
      <c r="L925" s="243"/>
      <c r="M925" s="243"/>
      <c r="N925" s="139"/>
      <c r="O925" s="139"/>
      <c r="P925" s="139"/>
      <c r="Q925" s="147"/>
      <c r="R925" s="139"/>
      <c r="S925" s="139"/>
      <c r="T925" s="139"/>
      <c r="U925" s="139"/>
      <c r="V925" s="139"/>
      <c r="W925" s="139"/>
      <c r="X925" s="146"/>
      <c r="Y925" s="148"/>
      <c r="Z925" s="145"/>
      <c r="AA925" s="139"/>
      <c r="AB925" s="149"/>
      <c r="AC925" s="11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74"/>
      <c r="AR925" s="222"/>
    </row>
    <row r="926" spans="2:44" s="22" customFormat="1" ht="18" customHeight="1" x14ac:dyDescent="0.25">
      <c r="B926" s="145"/>
      <c r="C926" s="139"/>
      <c r="D926" s="146"/>
      <c r="E926" s="139"/>
      <c r="F926" s="139"/>
      <c r="G926" s="139"/>
      <c r="H926" s="139"/>
      <c r="I926" s="139"/>
      <c r="J926" s="139"/>
      <c r="K926" s="139"/>
      <c r="L926" s="243"/>
      <c r="M926" s="243"/>
      <c r="N926" s="139"/>
      <c r="O926" s="139"/>
      <c r="P926" s="139"/>
      <c r="Q926" s="147"/>
      <c r="R926" s="139"/>
      <c r="S926" s="139"/>
      <c r="T926" s="139"/>
      <c r="U926" s="139"/>
      <c r="V926" s="139"/>
      <c r="W926" s="139"/>
      <c r="X926" s="146"/>
      <c r="Y926" s="148"/>
      <c r="Z926" s="145"/>
      <c r="AA926" s="139"/>
      <c r="AB926" s="149"/>
      <c r="AC926" s="11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74"/>
      <c r="AR926" s="222"/>
    </row>
    <row r="927" spans="2:44" s="22" customFormat="1" ht="18" customHeight="1" x14ac:dyDescent="0.25">
      <c r="B927" s="145"/>
      <c r="C927" s="139"/>
      <c r="D927" s="146"/>
      <c r="E927" s="139"/>
      <c r="F927" s="139"/>
      <c r="G927" s="139"/>
      <c r="H927" s="139"/>
      <c r="I927" s="139"/>
      <c r="J927" s="139"/>
      <c r="K927" s="139"/>
      <c r="L927" s="243"/>
      <c r="M927" s="243"/>
      <c r="N927" s="139"/>
      <c r="O927" s="139"/>
      <c r="P927" s="139"/>
      <c r="Q927" s="147"/>
      <c r="R927" s="139"/>
      <c r="S927" s="139"/>
      <c r="T927" s="139"/>
      <c r="U927" s="139"/>
      <c r="V927" s="139"/>
      <c r="W927" s="139"/>
      <c r="X927" s="146"/>
      <c r="Y927" s="148"/>
      <c r="Z927" s="145"/>
      <c r="AA927" s="139"/>
      <c r="AB927" s="149"/>
      <c r="AC927" s="11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74"/>
      <c r="AR927" s="222"/>
    </row>
    <row r="928" spans="2:44" s="22" customFormat="1" ht="18" customHeight="1" x14ac:dyDescent="0.25">
      <c r="B928" s="145"/>
      <c r="C928" s="139"/>
      <c r="D928" s="146"/>
      <c r="E928" s="139"/>
      <c r="F928" s="139"/>
      <c r="G928" s="139"/>
      <c r="H928" s="139"/>
      <c r="I928" s="139"/>
      <c r="J928" s="139"/>
      <c r="K928" s="139"/>
      <c r="L928" s="243"/>
      <c r="M928" s="243"/>
      <c r="N928" s="139"/>
      <c r="O928" s="139"/>
      <c r="P928" s="139"/>
      <c r="Q928" s="147"/>
      <c r="R928" s="139"/>
      <c r="S928" s="139"/>
      <c r="T928" s="139"/>
      <c r="U928" s="139"/>
      <c r="V928" s="139"/>
      <c r="W928" s="139"/>
      <c r="X928" s="146"/>
      <c r="Y928" s="148"/>
      <c r="Z928" s="145"/>
      <c r="AA928" s="139"/>
      <c r="AB928" s="149"/>
      <c r="AC928" s="11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74"/>
      <c r="AR928" s="222"/>
    </row>
    <row r="929" spans="2:44" s="22" customFormat="1" ht="18" customHeight="1" x14ac:dyDescent="0.25">
      <c r="B929" s="145"/>
      <c r="C929" s="139"/>
      <c r="D929" s="146"/>
      <c r="E929" s="139"/>
      <c r="F929" s="139"/>
      <c r="G929" s="139"/>
      <c r="H929" s="139"/>
      <c r="I929" s="139"/>
      <c r="J929" s="139"/>
      <c r="K929" s="139"/>
      <c r="L929" s="243"/>
      <c r="M929" s="243"/>
      <c r="N929" s="139"/>
      <c r="O929" s="139"/>
      <c r="P929" s="139"/>
      <c r="Q929" s="147"/>
      <c r="R929" s="139"/>
      <c r="S929" s="139"/>
      <c r="T929" s="139"/>
      <c r="U929" s="139"/>
      <c r="V929" s="139"/>
      <c r="W929" s="139"/>
      <c r="X929" s="146"/>
      <c r="Y929" s="148"/>
      <c r="Z929" s="145"/>
      <c r="AA929" s="139"/>
      <c r="AB929" s="149"/>
      <c r="AC929" s="11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74"/>
      <c r="AR929" s="222"/>
    </row>
    <row r="930" spans="2:44" s="22" customFormat="1" ht="18" customHeight="1" x14ac:dyDescent="0.25">
      <c r="B930" s="145"/>
      <c r="C930" s="139"/>
      <c r="D930" s="146"/>
      <c r="E930" s="139"/>
      <c r="F930" s="139"/>
      <c r="G930" s="139"/>
      <c r="H930" s="139"/>
      <c r="I930" s="139"/>
      <c r="J930" s="139"/>
      <c r="K930" s="139"/>
      <c r="L930" s="243"/>
      <c r="M930" s="243"/>
      <c r="N930" s="139"/>
      <c r="O930" s="139"/>
      <c r="P930" s="139"/>
      <c r="Q930" s="147"/>
      <c r="R930" s="139"/>
      <c r="S930" s="139"/>
      <c r="T930" s="139"/>
      <c r="U930" s="139"/>
      <c r="V930" s="139"/>
      <c r="W930" s="139"/>
      <c r="X930" s="146"/>
      <c r="Y930" s="148"/>
      <c r="Z930" s="145"/>
      <c r="AA930" s="139"/>
      <c r="AB930" s="149"/>
      <c r="AC930" s="11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74"/>
      <c r="AR930" s="222"/>
    </row>
    <row r="931" spans="2:44" s="22" customFormat="1" ht="18" customHeight="1" x14ac:dyDescent="0.25">
      <c r="B931" s="145"/>
      <c r="C931" s="139"/>
      <c r="D931" s="146"/>
      <c r="E931" s="139"/>
      <c r="F931" s="139"/>
      <c r="G931" s="139"/>
      <c r="H931" s="139"/>
      <c r="I931" s="139"/>
      <c r="J931" s="139"/>
      <c r="K931" s="139"/>
      <c r="L931" s="243"/>
      <c r="M931" s="243"/>
      <c r="N931" s="139"/>
      <c r="O931" s="139"/>
      <c r="P931" s="139"/>
      <c r="Q931" s="147"/>
      <c r="R931" s="139"/>
      <c r="S931" s="139"/>
      <c r="T931" s="139"/>
      <c r="U931" s="139"/>
      <c r="V931" s="139"/>
      <c r="W931" s="139"/>
      <c r="X931" s="146"/>
      <c r="Y931" s="148"/>
      <c r="Z931" s="145"/>
      <c r="AA931" s="139"/>
      <c r="AB931" s="149"/>
      <c r="AC931" s="11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74"/>
      <c r="AR931" s="222"/>
    </row>
    <row r="932" spans="2:44" s="22" customFormat="1" ht="18" customHeight="1" x14ac:dyDescent="0.25">
      <c r="B932" s="145"/>
      <c r="C932" s="139"/>
      <c r="D932" s="146"/>
      <c r="E932" s="139"/>
      <c r="F932" s="139"/>
      <c r="G932" s="139"/>
      <c r="H932" s="139"/>
      <c r="I932" s="139"/>
      <c r="J932" s="139"/>
      <c r="K932" s="139"/>
      <c r="L932" s="243"/>
      <c r="M932" s="243"/>
      <c r="N932" s="139"/>
      <c r="O932" s="139"/>
      <c r="P932" s="139"/>
      <c r="Q932" s="147"/>
      <c r="R932" s="139"/>
      <c r="S932" s="139"/>
      <c r="T932" s="139"/>
      <c r="U932" s="139"/>
      <c r="V932" s="139"/>
      <c r="W932" s="139"/>
      <c r="X932" s="146"/>
      <c r="Y932" s="148"/>
      <c r="Z932" s="145"/>
      <c r="AA932" s="139"/>
      <c r="AB932" s="149"/>
      <c r="AC932" s="11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74"/>
      <c r="AR932" s="222"/>
    </row>
    <row r="933" spans="2:44" s="22" customFormat="1" ht="18" customHeight="1" x14ac:dyDescent="0.25">
      <c r="B933" s="145"/>
      <c r="C933" s="139"/>
      <c r="D933" s="146"/>
      <c r="E933" s="139"/>
      <c r="F933" s="139"/>
      <c r="G933" s="139"/>
      <c r="H933" s="139"/>
      <c r="I933" s="139"/>
      <c r="J933" s="139"/>
      <c r="K933" s="139"/>
      <c r="L933" s="243"/>
      <c r="M933" s="243"/>
      <c r="N933" s="139"/>
      <c r="O933" s="139"/>
      <c r="P933" s="139"/>
      <c r="Q933" s="147"/>
      <c r="R933" s="139"/>
      <c r="S933" s="139"/>
      <c r="T933" s="139"/>
      <c r="U933" s="139"/>
      <c r="V933" s="139"/>
      <c r="W933" s="139"/>
      <c r="X933" s="146"/>
      <c r="Y933" s="148"/>
      <c r="Z933" s="145"/>
      <c r="AA933" s="139"/>
      <c r="AB933" s="149"/>
      <c r="AC933" s="11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74"/>
      <c r="AR933" s="222"/>
    </row>
    <row r="934" spans="2:44" s="22" customFormat="1" ht="18" customHeight="1" x14ac:dyDescent="0.25">
      <c r="B934" s="145"/>
      <c r="C934" s="139"/>
      <c r="D934" s="146"/>
      <c r="E934" s="139"/>
      <c r="F934" s="139"/>
      <c r="G934" s="139"/>
      <c r="H934" s="139"/>
      <c r="I934" s="139"/>
      <c r="J934" s="139"/>
      <c r="K934" s="139"/>
      <c r="L934" s="243"/>
      <c r="M934" s="243"/>
      <c r="N934" s="139"/>
      <c r="O934" s="139"/>
      <c r="P934" s="139"/>
      <c r="Q934" s="147"/>
      <c r="R934" s="139"/>
      <c r="S934" s="139"/>
      <c r="T934" s="139"/>
      <c r="U934" s="139"/>
      <c r="V934" s="139"/>
      <c r="W934" s="139"/>
      <c r="X934" s="146"/>
      <c r="Y934" s="148"/>
      <c r="Z934" s="145"/>
      <c r="AA934" s="139"/>
      <c r="AB934" s="149"/>
      <c r="AC934" s="11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74"/>
      <c r="AR934" s="222"/>
    </row>
    <row r="935" spans="2:44" s="22" customFormat="1" ht="18" customHeight="1" x14ac:dyDescent="0.25">
      <c r="B935" s="145"/>
      <c r="C935" s="139"/>
      <c r="D935" s="146"/>
      <c r="E935" s="139"/>
      <c r="F935" s="139"/>
      <c r="G935" s="139"/>
      <c r="H935" s="139"/>
      <c r="I935" s="139"/>
      <c r="J935" s="139"/>
      <c r="K935" s="139"/>
      <c r="L935" s="243"/>
      <c r="M935" s="243"/>
      <c r="N935" s="139"/>
      <c r="O935" s="139"/>
      <c r="P935" s="139"/>
      <c r="Q935" s="147"/>
      <c r="R935" s="139"/>
      <c r="S935" s="139"/>
      <c r="T935" s="139"/>
      <c r="U935" s="139"/>
      <c r="V935" s="139"/>
      <c r="W935" s="139"/>
      <c r="X935" s="146"/>
      <c r="Y935" s="148"/>
      <c r="Z935" s="145"/>
      <c r="AA935" s="139"/>
      <c r="AB935" s="149"/>
      <c r="AC935" s="11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74"/>
      <c r="AR935" s="222"/>
    </row>
    <row r="936" spans="2:44" s="22" customFormat="1" ht="18" customHeight="1" x14ac:dyDescent="0.25">
      <c r="B936" s="145"/>
      <c r="C936" s="139"/>
      <c r="D936" s="146"/>
      <c r="E936" s="139"/>
      <c r="F936" s="139"/>
      <c r="G936" s="139"/>
      <c r="H936" s="139"/>
      <c r="I936" s="139"/>
      <c r="J936" s="139"/>
      <c r="K936" s="139"/>
      <c r="L936" s="243"/>
      <c r="M936" s="243"/>
      <c r="N936" s="139"/>
      <c r="O936" s="139"/>
      <c r="P936" s="139"/>
      <c r="Q936" s="147"/>
      <c r="R936" s="139"/>
      <c r="S936" s="139"/>
      <c r="T936" s="139"/>
      <c r="U936" s="139"/>
      <c r="V936" s="139"/>
      <c r="W936" s="139"/>
      <c r="X936" s="146"/>
      <c r="Y936" s="148"/>
      <c r="Z936" s="145"/>
      <c r="AA936" s="139"/>
      <c r="AB936" s="149"/>
      <c r="AC936" s="11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74"/>
      <c r="AR936" s="222"/>
    </row>
    <row r="937" spans="2:44" s="22" customFormat="1" ht="18" customHeight="1" x14ac:dyDescent="0.25">
      <c r="B937" s="145"/>
      <c r="C937" s="139"/>
      <c r="D937" s="146"/>
      <c r="E937" s="139"/>
      <c r="F937" s="139"/>
      <c r="G937" s="139"/>
      <c r="H937" s="139"/>
      <c r="I937" s="139"/>
      <c r="J937" s="139"/>
      <c r="K937" s="139"/>
      <c r="L937" s="243"/>
      <c r="M937" s="243"/>
      <c r="N937" s="139"/>
      <c r="O937" s="139"/>
      <c r="P937" s="139"/>
      <c r="Q937" s="147"/>
      <c r="R937" s="139"/>
      <c r="S937" s="139"/>
      <c r="T937" s="139"/>
      <c r="U937" s="139"/>
      <c r="V937" s="139"/>
      <c r="W937" s="139"/>
      <c r="X937" s="146"/>
      <c r="Y937" s="148"/>
      <c r="Z937" s="145"/>
      <c r="AA937" s="139"/>
      <c r="AB937" s="149"/>
      <c r="AC937" s="11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74"/>
      <c r="AR937" s="222"/>
    </row>
    <row r="938" spans="2:44" s="22" customFormat="1" ht="18" customHeight="1" x14ac:dyDescent="0.25">
      <c r="B938" s="145"/>
      <c r="C938" s="139"/>
      <c r="D938" s="146"/>
      <c r="E938" s="139"/>
      <c r="F938" s="139"/>
      <c r="G938" s="139"/>
      <c r="H938" s="139"/>
      <c r="I938" s="139"/>
      <c r="J938" s="139"/>
      <c r="K938" s="139"/>
      <c r="L938" s="243"/>
      <c r="M938" s="243"/>
      <c r="N938" s="139"/>
      <c r="O938" s="139"/>
      <c r="P938" s="139"/>
      <c r="Q938" s="147"/>
      <c r="R938" s="139"/>
      <c r="S938" s="139"/>
      <c r="T938" s="139"/>
      <c r="U938" s="139"/>
      <c r="V938" s="139"/>
      <c r="W938" s="139"/>
      <c r="X938" s="146"/>
      <c r="Y938" s="148"/>
      <c r="Z938" s="145"/>
      <c r="AA938" s="139"/>
      <c r="AB938" s="149"/>
      <c r="AC938" s="11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74"/>
      <c r="AR938" s="222"/>
    </row>
    <row r="939" spans="2:44" s="22" customFormat="1" ht="18" customHeight="1" x14ac:dyDescent="0.25">
      <c r="B939" s="145"/>
      <c r="C939" s="139"/>
      <c r="D939" s="146"/>
      <c r="E939" s="139"/>
      <c r="F939" s="139"/>
      <c r="G939" s="139"/>
      <c r="H939" s="139"/>
      <c r="I939" s="139"/>
      <c r="J939" s="139"/>
      <c r="K939" s="139"/>
      <c r="L939" s="243"/>
      <c r="M939" s="243"/>
      <c r="N939" s="139"/>
      <c r="O939" s="139"/>
      <c r="P939" s="139"/>
      <c r="Q939" s="147"/>
      <c r="R939" s="139"/>
      <c r="S939" s="139"/>
      <c r="T939" s="139"/>
      <c r="U939" s="139"/>
      <c r="V939" s="139"/>
      <c r="W939" s="139"/>
      <c r="X939" s="146"/>
      <c r="Y939" s="148"/>
      <c r="Z939" s="145"/>
      <c r="AA939" s="139"/>
      <c r="AB939" s="149"/>
      <c r="AC939" s="11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74"/>
      <c r="AR939" s="222"/>
    </row>
    <row r="940" spans="2:44" s="22" customFormat="1" ht="18" customHeight="1" x14ac:dyDescent="0.25">
      <c r="B940" s="145"/>
      <c r="C940" s="139"/>
      <c r="D940" s="146"/>
      <c r="E940" s="139"/>
      <c r="F940" s="139"/>
      <c r="G940" s="139"/>
      <c r="H940" s="139"/>
      <c r="I940" s="139"/>
      <c r="J940" s="139"/>
      <c r="K940" s="139"/>
      <c r="L940" s="243"/>
      <c r="M940" s="243"/>
      <c r="N940" s="139"/>
      <c r="O940" s="139"/>
      <c r="P940" s="139"/>
      <c r="Q940" s="147"/>
      <c r="R940" s="139"/>
      <c r="S940" s="139"/>
      <c r="T940" s="139"/>
      <c r="U940" s="139"/>
      <c r="V940" s="139"/>
      <c r="W940" s="139"/>
      <c r="X940" s="146"/>
      <c r="Y940" s="148"/>
      <c r="Z940" s="145"/>
      <c r="AA940" s="139"/>
      <c r="AB940" s="149"/>
      <c r="AC940" s="11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74"/>
      <c r="AR940" s="222"/>
    </row>
    <row r="941" spans="2:44" s="22" customFormat="1" ht="18" customHeight="1" x14ac:dyDescent="0.25">
      <c r="B941" s="145"/>
      <c r="C941" s="139"/>
      <c r="D941" s="146"/>
      <c r="E941" s="139"/>
      <c r="F941" s="139"/>
      <c r="G941" s="139"/>
      <c r="H941" s="139"/>
      <c r="I941" s="139"/>
      <c r="J941" s="139"/>
      <c r="K941" s="139"/>
      <c r="L941" s="243"/>
      <c r="M941" s="243"/>
      <c r="N941" s="139"/>
      <c r="O941" s="139"/>
      <c r="P941" s="139"/>
      <c r="Q941" s="147"/>
      <c r="R941" s="139"/>
      <c r="S941" s="139"/>
      <c r="T941" s="139"/>
      <c r="U941" s="139"/>
      <c r="V941" s="139"/>
      <c r="W941" s="139"/>
      <c r="X941" s="146"/>
      <c r="Y941" s="148"/>
      <c r="Z941" s="145"/>
      <c r="AA941" s="139"/>
      <c r="AB941" s="149"/>
      <c r="AC941" s="11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74"/>
      <c r="AR941" s="222"/>
    </row>
    <row r="942" spans="2:44" s="22" customFormat="1" ht="18" customHeight="1" x14ac:dyDescent="0.25">
      <c r="B942" s="145"/>
      <c r="C942" s="139"/>
      <c r="D942" s="146"/>
      <c r="E942" s="139"/>
      <c r="F942" s="139"/>
      <c r="G942" s="139"/>
      <c r="H942" s="139"/>
      <c r="I942" s="139"/>
      <c r="J942" s="139"/>
      <c r="K942" s="139"/>
      <c r="L942" s="243"/>
      <c r="M942" s="243"/>
      <c r="N942" s="139"/>
      <c r="O942" s="139"/>
      <c r="P942" s="139"/>
      <c r="Q942" s="147"/>
      <c r="R942" s="139"/>
      <c r="S942" s="139"/>
      <c r="T942" s="139"/>
      <c r="U942" s="139"/>
      <c r="V942" s="139"/>
      <c r="W942" s="139"/>
      <c r="X942" s="146"/>
      <c r="Y942" s="148"/>
      <c r="Z942" s="145"/>
      <c r="AA942" s="139"/>
      <c r="AB942" s="149"/>
      <c r="AC942" s="11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74"/>
      <c r="AR942" s="222"/>
    </row>
    <row r="943" spans="2:44" s="22" customFormat="1" ht="18" customHeight="1" x14ac:dyDescent="0.25">
      <c r="B943" s="145"/>
      <c r="C943" s="139"/>
      <c r="D943" s="146"/>
      <c r="E943" s="139"/>
      <c r="F943" s="139"/>
      <c r="G943" s="139"/>
      <c r="H943" s="139"/>
      <c r="I943" s="139"/>
      <c r="J943" s="139"/>
      <c r="K943" s="139"/>
      <c r="L943" s="243"/>
      <c r="M943" s="243"/>
      <c r="N943" s="139"/>
      <c r="O943" s="139"/>
      <c r="P943" s="139"/>
      <c r="Q943" s="147"/>
      <c r="R943" s="139"/>
      <c r="S943" s="139"/>
      <c r="T943" s="139"/>
      <c r="U943" s="139"/>
      <c r="V943" s="139"/>
      <c r="W943" s="139"/>
      <c r="X943" s="146"/>
      <c r="Y943" s="148"/>
      <c r="Z943" s="145"/>
      <c r="AA943" s="139"/>
      <c r="AB943" s="149"/>
      <c r="AC943" s="11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74"/>
      <c r="AR943" s="222"/>
    </row>
    <row r="944" spans="2:44" s="22" customFormat="1" ht="18" customHeight="1" x14ac:dyDescent="0.25">
      <c r="B944" s="145"/>
      <c r="C944" s="139"/>
      <c r="D944" s="146"/>
      <c r="E944" s="139"/>
      <c r="F944" s="139"/>
      <c r="G944" s="139"/>
      <c r="H944" s="139"/>
      <c r="I944" s="139"/>
      <c r="J944" s="139"/>
      <c r="K944" s="139"/>
      <c r="L944" s="243"/>
      <c r="M944" s="243"/>
      <c r="N944" s="139"/>
      <c r="O944" s="139"/>
      <c r="P944" s="139"/>
      <c r="Q944" s="147"/>
      <c r="R944" s="139"/>
      <c r="S944" s="139"/>
      <c r="T944" s="139"/>
      <c r="U944" s="139"/>
      <c r="V944" s="139"/>
      <c r="W944" s="139"/>
      <c r="X944" s="146"/>
      <c r="Y944" s="148"/>
      <c r="Z944" s="145"/>
      <c r="AA944" s="139"/>
      <c r="AB944" s="149"/>
      <c r="AC944" s="11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74"/>
      <c r="AR944" s="222"/>
    </row>
    <row r="945" spans="2:44" s="22" customFormat="1" ht="18" customHeight="1" x14ac:dyDescent="0.25">
      <c r="B945" s="145"/>
      <c r="C945" s="139"/>
      <c r="D945" s="146"/>
      <c r="E945" s="139"/>
      <c r="F945" s="139"/>
      <c r="G945" s="139"/>
      <c r="H945" s="139"/>
      <c r="I945" s="139"/>
      <c r="J945" s="139"/>
      <c r="K945" s="139"/>
      <c r="L945" s="243"/>
      <c r="M945" s="243"/>
      <c r="N945" s="139"/>
      <c r="O945" s="139"/>
      <c r="P945" s="139"/>
      <c r="Q945" s="147"/>
      <c r="R945" s="139"/>
      <c r="S945" s="139"/>
      <c r="T945" s="139"/>
      <c r="U945" s="139"/>
      <c r="V945" s="139"/>
      <c r="W945" s="139"/>
      <c r="X945" s="146"/>
      <c r="Y945" s="148"/>
      <c r="Z945" s="145"/>
      <c r="AA945" s="139"/>
      <c r="AB945" s="149"/>
      <c r="AC945" s="11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74"/>
      <c r="AR945" s="222"/>
    </row>
    <row r="946" spans="2:44" s="22" customFormat="1" ht="18" customHeight="1" x14ac:dyDescent="0.25">
      <c r="B946" s="145"/>
      <c r="C946" s="139"/>
      <c r="D946" s="146"/>
      <c r="E946" s="139"/>
      <c r="F946" s="139"/>
      <c r="G946" s="139"/>
      <c r="H946" s="139"/>
      <c r="I946" s="139"/>
      <c r="J946" s="139"/>
      <c r="K946" s="139"/>
      <c r="L946" s="243"/>
      <c r="M946" s="243"/>
      <c r="N946" s="139"/>
      <c r="O946" s="139"/>
      <c r="P946" s="139"/>
      <c r="Q946" s="147"/>
      <c r="R946" s="139"/>
      <c r="S946" s="139"/>
      <c r="T946" s="139"/>
      <c r="U946" s="139"/>
      <c r="V946" s="139"/>
      <c r="W946" s="139"/>
      <c r="X946" s="146"/>
      <c r="Y946" s="148"/>
      <c r="Z946" s="145"/>
      <c r="AA946" s="139"/>
      <c r="AB946" s="149"/>
      <c r="AC946" s="11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74"/>
      <c r="AR946" s="222"/>
    </row>
    <row r="947" spans="2:44" s="22" customFormat="1" ht="18" customHeight="1" x14ac:dyDescent="0.25">
      <c r="B947" s="145"/>
      <c r="C947" s="139"/>
      <c r="D947" s="146"/>
      <c r="E947" s="139"/>
      <c r="F947" s="139"/>
      <c r="G947" s="139"/>
      <c r="H947" s="139"/>
      <c r="I947" s="139"/>
      <c r="J947" s="139"/>
      <c r="K947" s="139"/>
      <c r="L947" s="243"/>
      <c r="M947" s="243"/>
      <c r="N947" s="139"/>
      <c r="O947" s="139"/>
      <c r="P947" s="139"/>
      <c r="Q947" s="147"/>
      <c r="R947" s="139"/>
      <c r="S947" s="139"/>
      <c r="T947" s="139"/>
      <c r="U947" s="139"/>
      <c r="V947" s="139"/>
      <c r="W947" s="139"/>
      <c r="X947" s="146"/>
      <c r="Y947" s="148"/>
      <c r="Z947" s="145"/>
      <c r="AA947" s="139"/>
      <c r="AB947" s="149"/>
      <c r="AC947" s="11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74"/>
      <c r="AR947" s="222"/>
    </row>
    <row r="948" spans="2:44" s="22" customFormat="1" ht="18" customHeight="1" x14ac:dyDescent="0.25">
      <c r="B948" s="145"/>
      <c r="C948" s="139"/>
      <c r="D948" s="146"/>
      <c r="E948" s="139"/>
      <c r="F948" s="139"/>
      <c r="G948" s="139"/>
      <c r="H948" s="139"/>
      <c r="I948" s="139"/>
      <c r="J948" s="139"/>
      <c r="K948" s="139"/>
      <c r="L948" s="243"/>
      <c r="M948" s="243"/>
      <c r="N948" s="139"/>
      <c r="O948" s="139"/>
      <c r="P948" s="139"/>
      <c r="Q948" s="147"/>
      <c r="R948" s="139"/>
      <c r="S948" s="139"/>
      <c r="T948" s="139"/>
      <c r="U948" s="139"/>
      <c r="V948" s="139"/>
      <c r="W948" s="139"/>
      <c r="X948" s="146"/>
      <c r="Y948" s="148"/>
      <c r="Z948" s="145"/>
      <c r="AA948" s="139"/>
      <c r="AB948" s="149"/>
      <c r="AC948" s="11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74"/>
      <c r="AR948" s="222"/>
    </row>
    <row r="949" spans="2:44" s="22" customFormat="1" ht="18" customHeight="1" x14ac:dyDescent="0.25">
      <c r="B949" s="145"/>
      <c r="C949" s="139"/>
      <c r="D949" s="146"/>
      <c r="E949" s="139"/>
      <c r="F949" s="139"/>
      <c r="G949" s="139"/>
      <c r="H949" s="139"/>
      <c r="I949" s="139"/>
      <c r="J949" s="139"/>
      <c r="K949" s="139"/>
      <c r="L949" s="243"/>
      <c r="M949" s="243"/>
      <c r="N949" s="139"/>
      <c r="O949" s="139"/>
      <c r="P949" s="139"/>
      <c r="Q949" s="147"/>
      <c r="R949" s="139"/>
      <c r="S949" s="139"/>
      <c r="T949" s="139"/>
      <c r="U949" s="139"/>
      <c r="V949" s="139"/>
      <c r="W949" s="139"/>
      <c r="X949" s="146"/>
      <c r="Y949" s="148"/>
      <c r="Z949" s="145"/>
      <c r="AA949" s="139"/>
      <c r="AB949" s="149"/>
      <c r="AC949" s="11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74"/>
      <c r="AR949" s="222"/>
    </row>
    <row r="950" spans="2:44" s="22" customFormat="1" ht="18" customHeight="1" x14ac:dyDescent="0.25">
      <c r="B950" s="145"/>
      <c r="C950" s="139"/>
      <c r="D950" s="146"/>
      <c r="E950" s="139"/>
      <c r="F950" s="139"/>
      <c r="G950" s="139"/>
      <c r="H950" s="139"/>
      <c r="I950" s="139"/>
      <c r="J950" s="139"/>
      <c r="K950" s="139"/>
      <c r="L950" s="243"/>
      <c r="M950" s="243"/>
      <c r="N950" s="139"/>
      <c r="O950" s="139"/>
      <c r="P950" s="139"/>
      <c r="Q950" s="147"/>
      <c r="R950" s="139"/>
      <c r="S950" s="139"/>
      <c r="T950" s="139"/>
      <c r="U950" s="139"/>
      <c r="V950" s="139"/>
      <c r="W950" s="139"/>
      <c r="X950" s="146"/>
      <c r="Y950" s="148"/>
      <c r="Z950" s="145"/>
      <c r="AA950" s="139"/>
      <c r="AB950" s="149"/>
      <c r="AC950" s="11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74"/>
      <c r="AR950" s="222"/>
    </row>
    <row r="951" spans="2:44" s="22" customFormat="1" ht="18" customHeight="1" x14ac:dyDescent="0.25">
      <c r="B951" s="145"/>
      <c r="C951" s="139"/>
      <c r="D951" s="146"/>
      <c r="E951" s="139"/>
      <c r="F951" s="139"/>
      <c r="G951" s="139"/>
      <c r="H951" s="139"/>
      <c r="I951" s="139"/>
      <c r="J951" s="139"/>
      <c r="K951" s="139"/>
      <c r="L951" s="243"/>
      <c r="M951" s="243"/>
      <c r="N951" s="139"/>
      <c r="O951" s="139"/>
      <c r="P951" s="139"/>
      <c r="Q951" s="147"/>
      <c r="R951" s="139"/>
      <c r="S951" s="139"/>
      <c r="T951" s="139"/>
      <c r="U951" s="139"/>
      <c r="V951" s="139"/>
      <c r="W951" s="139"/>
      <c r="X951" s="146"/>
      <c r="Y951" s="148"/>
      <c r="Z951" s="145"/>
      <c r="AA951" s="139"/>
      <c r="AB951" s="149"/>
      <c r="AC951" s="11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74"/>
      <c r="AR951" s="222"/>
    </row>
    <row r="952" spans="2:44" s="22" customFormat="1" ht="18" customHeight="1" x14ac:dyDescent="0.25">
      <c r="B952" s="145"/>
      <c r="C952" s="139"/>
      <c r="D952" s="146"/>
      <c r="E952" s="139"/>
      <c r="F952" s="139"/>
      <c r="G952" s="139"/>
      <c r="H952" s="139"/>
      <c r="I952" s="139"/>
      <c r="J952" s="139"/>
      <c r="K952" s="139"/>
      <c r="L952" s="243"/>
      <c r="M952" s="243"/>
      <c r="N952" s="139"/>
      <c r="O952" s="139"/>
      <c r="P952" s="139"/>
      <c r="Q952" s="147"/>
      <c r="R952" s="139"/>
      <c r="S952" s="139"/>
      <c r="T952" s="139"/>
      <c r="U952" s="139"/>
      <c r="V952" s="139"/>
      <c r="W952" s="139"/>
      <c r="X952" s="146"/>
      <c r="Y952" s="148"/>
      <c r="Z952" s="145"/>
      <c r="AA952" s="139"/>
      <c r="AB952" s="149"/>
      <c r="AC952" s="11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74"/>
      <c r="AR952" s="222"/>
    </row>
    <row r="953" spans="2:44" s="22" customFormat="1" ht="18" customHeight="1" x14ac:dyDescent="0.25">
      <c r="B953" s="145"/>
      <c r="C953" s="139"/>
      <c r="D953" s="146"/>
      <c r="E953" s="139"/>
      <c r="F953" s="139"/>
      <c r="G953" s="139"/>
      <c r="H953" s="139"/>
      <c r="I953" s="139"/>
      <c r="J953" s="139"/>
      <c r="K953" s="139"/>
      <c r="L953" s="243"/>
      <c r="M953" s="243"/>
      <c r="N953" s="139"/>
      <c r="O953" s="139"/>
      <c r="P953" s="139"/>
      <c r="Q953" s="147"/>
      <c r="R953" s="139"/>
      <c r="S953" s="139"/>
      <c r="T953" s="139"/>
      <c r="U953" s="139"/>
      <c r="V953" s="139"/>
      <c r="W953" s="139"/>
      <c r="X953" s="146"/>
      <c r="Y953" s="148"/>
      <c r="Z953" s="145"/>
      <c r="AA953" s="139"/>
      <c r="AB953" s="149"/>
      <c r="AC953" s="11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74"/>
      <c r="AR953" s="222"/>
    </row>
    <row r="954" spans="2:44" s="22" customFormat="1" ht="18" customHeight="1" x14ac:dyDescent="0.25">
      <c r="B954" s="145"/>
      <c r="C954" s="139"/>
      <c r="D954" s="146"/>
      <c r="E954" s="139"/>
      <c r="F954" s="139"/>
      <c r="G954" s="139"/>
      <c r="H954" s="139"/>
      <c r="I954" s="139"/>
      <c r="J954" s="139"/>
      <c r="K954" s="139"/>
      <c r="L954" s="243"/>
      <c r="M954" s="243"/>
      <c r="N954" s="139"/>
      <c r="O954" s="139"/>
      <c r="P954" s="139"/>
      <c r="Q954" s="147"/>
      <c r="R954" s="139"/>
      <c r="S954" s="139"/>
      <c r="T954" s="139"/>
      <c r="U954" s="139"/>
      <c r="V954" s="139"/>
      <c r="W954" s="139"/>
      <c r="X954" s="146"/>
      <c r="Y954" s="148"/>
      <c r="Z954" s="145"/>
      <c r="AA954" s="139"/>
      <c r="AB954" s="149"/>
      <c r="AC954" s="11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74"/>
      <c r="AR954" s="222"/>
    </row>
    <row r="955" spans="2:44" s="22" customFormat="1" ht="18" customHeight="1" x14ac:dyDescent="0.25">
      <c r="B955" s="145"/>
      <c r="C955" s="139"/>
      <c r="D955" s="146"/>
      <c r="E955" s="139"/>
      <c r="F955" s="139"/>
      <c r="G955" s="139"/>
      <c r="H955" s="139"/>
      <c r="I955" s="139"/>
      <c r="J955" s="139"/>
      <c r="K955" s="139"/>
      <c r="L955" s="243"/>
      <c r="M955" s="243"/>
      <c r="N955" s="139"/>
      <c r="O955" s="139"/>
      <c r="P955" s="139"/>
      <c r="Q955" s="147"/>
      <c r="R955" s="139"/>
      <c r="S955" s="139"/>
      <c r="T955" s="139"/>
      <c r="U955" s="139"/>
      <c r="V955" s="139"/>
      <c r="W955" s="139"/>
      <c r="X955" s="146"/>
      <c r="Y955" s="148"/>
      <c r="Z955" s="145"/>
      <c r="AA955" s="139"/>
      <c r="AB955" s="149"/>
      <c r="AC955" s="11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74"/>
      <c r="AR955" s="222"/>
    </row>
    <row r="956" spans="2:44" s="22" customFormat="1" ht="18" customHeight="1" x14ac:dyDescent="0.25">
      <c r="B956" s="145"/>
      <c r="C956" s="139"/>
      <c r="D956" s="146"/>
      <c r="E956" s="139"/>
      <c r="F956" s="139"/>
      <c r="G956" s="139"/>
      <c r="H956" s="139"/>
      <c r="I956" s="139"/>
      <c r="J956" s="139"/>
      <c r="K956" s="139"/>
      <c r="L956" s="243"/>
      <c r="M956" s="243"/>
      <c r="N956" s="139"/>
      <c r="O956" s="139"/>
      <c r="P956" s="139"/>
      <c r="Q956" s="147"/>
      <c r="R956" s="139"/>
      <c r="S956" s="139"/>
      <c r="T956" s="139"/>
      <c r="U956" s="139"/>
      <c r="V956" s="139"/>
      <c r="W956" s="139"/>
      <c r="X956" s="146"/>
      <c r="Y956" s="148"/>
      <c r="Z956" s="145"/>
      <c r="AA956" s="139"/>
      <c r="AB956" s="149"/>
      <c r="AC956" s="11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74"/>
      <c r="AR956" s="222"/>
    </row>
    <row r="957" spans="2:44" s="22" customFormat="1" ht="18" customHeight="1" x14ac:dyDescent="0.25">
      <c r="B957" s="145"/>
      <c r="C957" s="139"/>
      <c r="D957" s="146"/>
      <c r="E957" s="139"/>
      <c r="F957" s="139"/>
      <c r="G957" s="139"/>
      <c r="H957" s="139"/>
      <c r="I957" s="139"/>
      <c r="J957" s="139"/>
      <c r="K957" s="139"/>
      <c r="L957" s="243"/>
      <c r="M957" s="243"/>
      <c r="N957" s="139"/>
      <c r="O957" s="139"/>
      <c r="P957" s="139"/>
      <c r="Q957" s="147"/>
      <c r="R957" s="139"/>
      <c r="S957" s="139"/>
      <c r="T957" s="139"/>
      <c r="U957" s="139"/>
      <c r="V957" s="139"/>
      <c r="W957" s="139"/>
      <c r="X957" s="146"/>
      <c r="Y957" s="148"/>
      <c r="Z957" s="145"/>
      <c r="AA957" s="139"/>
      <c r="AB957" s="149"/>
      <c r="AC957" s="11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74"/>
      <c r="AR957" s="222"/>
    </row>
    <row r="958" spans="2:44" s="22" customFormat="1" ht="18" customHeight="1" x14ac:dyDescent="0.25">
      <c r="B958" s="145"/>
      <c r="C958" s="139"/>
      <c r="D958" s="146"/>
      <c r="E958" s="139"/>
      <c r="F958" s="139"/>
      <c r="G958" s="139"/>
      <c r="H958" s="139"/>
      <c r="I958" s="139"/>
      <c r="J958" s="139"/>
      <c r="K958" s="139"/>
      <c r="L958" s="243"/>
      <c r="M958" s="243"/>
      <c r="N958" s="139"/>
      <c r="O958" s="139"/>
      <c r="P958" s="139"/>
      <c r="Q958" s="147"/>
      <c r="R958" s="139"/>
      <c r="S958" s="139"/>
      <c r="T958" s="139"/>
      <c r="U958" s="139"/>
      <c r="V958" s="139"/>
      <c r="W958" s="139"/>
      <c r="X958" s="146"/>
      <c r="Y958" s="148"/>
      <c r="Z958" s="145"/>
      <c r="AA958" s="139"/>
      <c r="AB958" s="149"/>
      <c r="AC958" s="11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74"/>
      <c r="AR958" s="222"/>
    </row>
    <row r="959" spans="2:44" s="22" customFormat="1" ht="18" customHeight="1" x14ac:dyDescent="0.25">
      <c r="B959" s="145"/>
      <c r="C959" s="139"/>
      <c r="D959" s="146"/>
      <c r="E959" s="139"/>
      <c r="F959" s="139"/>
      <c r="G959" s="139"/>
      <c r="H959" s="139"/>
      <c r="I959" s="139"/>
      <c r="J959" s="139"/>
      <c r="K959" s="139"/>
      <c r="L959" s="243"/>
      <c r="M959" s="243"/>
      <c r="N959" s="139"/>
      <c r="O959" s="139"/>
      <c r="P959" s="139"/>
      <c r="Q959" s="147"/>
      <c r="R959" s="139"/>
      <c r="S959" s="139"/>
      <c r="T959" s="139"/>
      <c r="U959" s="139"/>
      <c r="V959" s="139"/>
      <c r="W959" s="139"/>
      <c r="X959" s="146"/>
      <c r="Y959" s="148"/>
      <c r="Z959" s="145"/>
      <c r="AA959" s="139"/>
      <c r="AB959" s="149"/>
      <c r="AC959" s="11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74"/>
      <c r="AR959" s="222"/>
    </row>
    <row r="960" spans="2:44" s="22" customFormat="1" ht="18" customHeight="1" x14ac:dyDescent="0.25">
      <c r="B960" s="145"/>
      <c r="C960" s="139"/>
      <c r="D960" s="146"/>
      <c r="E960" s="139"/>
      <c r="F960" s="139"/>
      <c r="G960" s="139"/>
      <c r="H960" s="139"/>
      <c r="I960" s="139"/>
      <c r="J960" s="139"/>
      <c r="K960" s="139"/>
      <c r="L960" s="243"/>
      <c r="M960" s="243"/>
      <c r="N960" s="139"/>
      <c r="O960" s="139"/>
      <c r="P960" s="139"/>
      <c r="Q960" s="147"/>
      <c r="R960" s="139"/>
      <c r="S960" s="139"/>
      <c r="T960" s="139"/>
      <c r="U960" s="139"/>
      <c r="V960" s="139"/>
      <c r="W960" s="139"/>
      <c r="X960" s="146"/>
      <c r="Y960" s="148"/>
      <c r="Z960" s="145"/>
      <c r="AA960" s="139"/>
      <c r="AB960" s="149"/>
      <c r="AC960" s="11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74"/>
      <c r="AR960" s="222"/>
    </row>
    <row r="961" spans="2:44" s="22" customFormat="1" ht="18" customHeight="1" x14ac:dyDescent="0.25">
      <c r="B961" s="145"/>
      <c r="C961" s="139"/>
      <c r="D961" s="146"/>
      <c r="E961" s="139"/>
      <c r="F961" s="139"/>
      <c r="G961" s="139"/>
      <c r="H961" s="139"/>
      <c r="I961" s="139"/>
      <c r="J961" s="139"/>
      <c r="K961" s="139"/>
      <c r="L961" s="243"/>
      <c r="M961" s="243"/>
      <c r="N961" s="139"/>
      <c r="O961" s="139"/>
      <c r="P961" s="139"/>
      <c r="Q961" s="147"/>
      <c r="R961" s="139"/>
      <c r="S961" s="139"/>
      <c r="T961" s="139"/>
      <c r="U961" s="139"/>
      <c r="V961" s="139"/>
      <c r="W961" s="139"/>
      <c r="X961" s="146"/>
      <c r="Y961" s="148"/>
      <c r="Z961" s="145"/>
      <c r="AA961" s="139"/>
      <c r="AB961" s="149"/>
      <c r="AC961" s="11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74"/>
      <c r="AR961" s="222"/>
    </row>
    <row r="962" spans="2:44" s="22" customFormat="1" ht="18" customHeight="1" x14ac:dyDescent="0.25">
      <c r="B962" s="145"/>
      <c r="C962" s="139"/>
      <c r="D962" s="146"/>
      <c r="E962" s="139"/>
      <c r="F962" s="139"/>
      <c r="G962" s="139"/>
      <c r="H962" s="139"/>
      <c r="I962" s="139"/>
      <c r="J962" s="139"/>
      <c r="K962" s="139"/>
      <c r="L962" s="243"/>
      <c r="M962" s="243"/>
      <c r="N962" s="139"/>
      <c r="O962" s="139"/>
      <c r="P962" s="139"/>
      <c r="Q962" s="147"/>
      <c r="R962" s="139"/>
      <c r="S962" s="139"/>
      <c r="T962" s="139"/>
      <c r="U962" s="139"/>
      <c r="V962" s="139"/>
      <c r="W962" s="139"/>
      <c r="X962" s="146"/>
      <c r="Y962" s="148"/>
      <c r="Z962" s="145"/>
      <c r="AA962" s="139"/>
      <c r="AB962" s="149"/>
      <c r="AC962" s="11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74"/>
      <c r="AR962" s="222"/>
    </row>
    <row r="963" spans="2:44" s="140" customFormat="1" ht="18" customHeight="1" x14ac:dyDescent="0.25">
      <c r="B963" s="145"/>
      <c r="C963" s="139"/>
      <c r="D963" s="146"/>
      <c r="E963" s="139"/>
      <c r="F963" s="139"/>
      <c r="G963" s="139"/>
      <c r="H963" s="139"/>
      <c r="I963" s="139"/>
      <c r="J963" s="139"/>
      <c r="K963" s="139"/>
      <c r="L963" s="243"/>
      <c r="M963" s="243"/>
      <c r="N963" s="139"/>
      <c r="O963" s="139"/>
      <c r="P963" s="139"/>
      <c r="Q963" s="147"/>
      <c r="R963" s="139"/>
      <c r="S963" s="139"/>
      <c r="T963" s="139"/>
      <c r="U963" s="139"/>
      <c r="V963" s="139"/>
      <c r="W963" s="139"/>
      <c r="X963" s="146"/>
      <c r="Y963" s="148"/>
      <c r="Z963" s="145"/>
      <c r="AA963" s="139"/>
      <c r="AB963" s="149"/>
      <c r="AC963" s="11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74"/>
      <c r="AR963" s="222"/>
    </row>
    <row r="964" spans="2:44" s="22" customFormat="1" ht="18" customHeight="1" x14ac:dyDescent="0.25">
      <c r="B964" s="145"/>
      <c r="C964" s="139"/>
      <c r="D964" s="146"/>
      <c r="E964" s="139"/>
      <c r="F964" s="139"/>
      <c r="G964" s="139"/>
      <c r="H964" s="139"/>
      <c r="I964" s="139"/>
      <c r="J964" s="139"/>
      <c r="K964" s="139"/>
      <c r="L964" s="243"/>
      <c r="M964" s="243"/>
      <c r="N964" s="139"/>
      <c r="O964" s="139"/>
      <c r="P964" s="139"/>
      <c r="Q964" s="147"/>
      <c r="R964" s="139"/>
      <c r="S964" s="139"/>
      <c r="T964" s="139"/>
      <c r="U964" s="139"/>
      <c r="V964" s="139"/>
      <c r="W964" s="139"/>
      <c r="X964" s="146"/>
      <c r="Y964" s="148"/>
      <c r="Z964" s="145"/>
      <c r="AA964" s="139"/>
      <c r="AB964" s="149"/>
      <c r="AC964" s="11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74"/>
      <c r="AR964" s="222"/>
    </row>
    <row r="965" spans="2:44" s="140" customFormat="1" ht="18" customHeight="1" x14ac:dyDescent="0.25">
      <c r="B965" s="145"/>
      <c r="C965" s="139"/>
      <c r="D965" s="146"/>
      <c r="E965" s="139"/>
      <c r="F965" s="139"/>
      <c r="G965" s="139"/>
      <c r="H965" s="139"/>
      <c r="I965" s="139"/>
      <c r="J965" s="139"/>
      <c r="K965" s="139"/>
      <c r="L965" s="243"/>
      <c r="M965" s="243"/>
      <c r="N965" s="139"/>
      <c r="O965" s="139"/>
      <c r="P965" s="139"/>
      <c r="Q965" s="147"/>
      <c r="R965" s="139"/>
      <c r="S965" s="139"/>
      <c r="T965" s="139"/>
      <c r="U965" s="139"/>
      <c r="V965" s="139"/>
      <c r="W965" s="139"/>
      <c r="X965" s="146"/>
      <c r="Y965" s="148"/>
      <c r="Z965" s="145"/>
      <c r="AA965" s="139"/>
      <c r="AB965" s="149"/>
      <c r="AC965" s="11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74"/>
      <c r="AR965" s="222"/>
    </row>
    <row r="966" spans="2:44" s="140" customFormat="1" ht="18" customHeight="1" x14ac:dyDescent="0.25">
      <c r="B966" s="145"/>
      <c r="C966" s="139"/>
      <c r="D966" s="146"/>
      <c r="E966" s="139"/>
      <c r="F966" s="139"/>
      <c r="G966" s="139"/>
      <c r="H966" s="139"/>
      <c r="I966" s="139"/>
      <c r="J966" s="139"/>
      <c r="K966" s="139"/>
      <c r="L966" s="243"/>
      <c r="M966" s="243"/>
      <c r="N966" s="139"/>
      <c r="O966" s="139"/>
      <c r="P966" s="139"/>
      <c r="Q966" s="147"/>
      <c r="R966" s="139"/>
      <c r="S966" s="139"/>
      <c r="T966" s="139"/>
      <c r="U966" s="139"/>
      <c r="V966" s="139"/>
      <c r="W966" s="139"/>
      <c r="X966" s="146"/>
      <c r="Y966" s="148"/>
      <c r="Z966" s="145"/>
      <c r="AA966" s="139"/>
      <c r="AB966" s="149"/>
      <c r="AC966" s="11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74"/>
      <c r="AR966" s="222"/>
    </row>
    <row r="967" spans="2:44" s="22" customFormat="1" ht="18" customHeight="1" x14ac:dyDescent="0.25">
      <c r="B967" s="145"/>
      <c r="C967" s="139"/>
      <c r="D967" s="146"/>
      <c r="E967" s="139"/>
      <c r="F967" s="139"/>
      <c r="G967" s="139"/>
      <c r="H967" s="139"/>
      <c r="I967" s="139"/>
      <c r="J967" s="139"/>
      <c r="K967" s="139"/>
      <c r="L967" s="243"/>
      <c r="M967" s="243"/>
      <c r="N967" s="139"/>
      <c r="O967" s="139"/>
      <c r="P967" s="139"/>
      <c r="Q967" s="147"/>
      <c r="R967" s="139"/>
      <c r="S967" s="139"/>
      <c r="T967" s="139"/>
      <c r="U967" s="139"/>
      <c r="V967" s="139"/>
      <c r="W967" s="139"/>
      <c r="X967" s="146"/>
      <c r="Y967" s="148"/>
      <c r="Z967" s="145"/>
      <c r="AA967" s="139"/>
      <c r="AB967" s="149"/>
      <c r="AC967" s="11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74"/>
      <c r="AR967" s="222"/>
    </row>
    <row r="968" spans="2:44" s="22" customFormat="1" ht="18" customHeight="1" x14ac:dyDescent="0.25">
      <c r="B968" s="145"/>
      <c r="C968" s="139"/>
      <c r="D968" s="146"/>
      <c r="E968" s="139"/>
      <c r="F968" s="139"/>
      <c r="G968" s="139"/>
      <c r="H968" s="139"/>
      <c r="I968" s="139"/>
      <c r="J968" s="139"/>
      <c r="K968" s="139"/>
      <c r="L968" s="243"/>
      <c r="M968" s="243"/>
      <c r="N968" s="139"/>
      <c r="O968" s="139"/>
      <c r="P968" s="139"/>
      <c r="Q968" s="147"/>
      <c r="R968" s="139"/>
      <c r="S968" s="139"/>
      <c r="T968" s="139"/>
      <c r="U968" s="139"/>
      <c r="V968" s="139"/>
      <c r="W968" s="139"/>
      <c r="X968" s="146"/>
      <c r="Y968" s="148"/>
      <c r="Z968" s="145"/>
      <c r="AA968" s="139"/>
      <c r="AB968" s="149"/>
      <c r="AC968" s="11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74"/>
      <c r="AR968" s="222"/>
    </row>
    <row r="969" spans="2:44" s="140" customFormat="1" ht="18" customHeight="1" x14ac:dyDescent="0.25">
      <c r="B969" s="145"/>
      <c r="C969" s="139"/>
      <c r="D969" s="146"/>
      <c r="E969" s="139"/>
      <c r="F969" s="139"/>
      <c r="G969" s="139"/>
      <c r="H969" s="139"/>
      <c r="I969" s="139"/>
      <c r="J969" s="139"/>
      <c r="K969" s="139"/>
      <c r="L969" s="243"/>
      <c r="M969" s="243"/>
      <c r="N969" s="139"/>
      <c r="O969" s="139"/>
      <c r="P969" s="139"/>
      <c r="Q969" s="147"/>
      <c r="R969" s="139"/>
      <c r="S969" s="139"/>
      <c r="T969" s="139"/>
      <c r="U969" s="139"/>
      <c r="V969" s="139"/>
      <c r="W969" s="139"/>
      <c r="X969" s="146"/>
      <c r="Y969" s="148"/>
      <c r="Z969" s="145"/>
      <c r="AA969" s="139"/>
      <c r="AB969" s="149"/>
      <c r="AC969" s="11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74"/>
      <c r="AR969" s="222"/>
    </row>
    <row r="970" spans="2:44" s="22" customFormat="1" ht="18" customHeight="1" x14ac:dyDescent="0.25">
      <c r="B970" s="145"/>
      <c r="C970" s="139"/>
      <c r="D970" s="146"/>
      <c r="E970" s="139"/>
      <c r="F970" s="139"/>
      <c r="G970" s="139"/>
      <c r="H970" s="139"/>
      <c r="I970" s="139"/>
      <c r="J970" s="139"/>
      <c r="K970" s="139"/>
      <c r="L970" s="243"/>
      <c r="M970" s="243"/>
      <c r="N970" s="139"/>
      <c r="O970" s="139"/>
      <c r="P970" s="139"/>
      <c r="Q970" s="147"/>
      <c r="R970" s="139"/>
      <c r="S970" s="139"/>
      <c r="T970" s="139"/>
      <c r="U970" s="139"/>
      <c r="V970" s="139"/>
      <c r="W970" s="139"/>
      <c r="X970" s="146"/>
      <c r="Y970" s="148"/>
      <c r="Z970" s="145"/>
      <c r="AA970" s="139"/>
      <c r="AB970" s="149"/>
      <c r="AC970" s="11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74"/>
      <c r="AR970" s="222"/>
    </row>
    <row r="971" spans="2:44" s="22" customFormat="1" ht="18" customHeight="1" x14ac:dyDescent="0.25">
      <c r="B971" s="145"/>
      <c r="C971" s="139"/>
      <c r="D971" s="146"/>
      <c r="E971" s="139"/>
      <c r="F971" s="139"/>
      <c r="G971" s="139"/>
      <c r="H971" s="139"/>
      <c r="I971" s="139"/>
      <c r="J971" s="139"/>
      <c r="K971" s="139"/>
      <c r="L971" s="243"/>
      <c r="M971" s="243"/>
      <c r="N971" s="139"/>
      <c r="O971" s="139"/>
      <c r="P971" s="139"/>
      <c r="Q971" s="147"/>
      <c r="R971" s="139"/>
      <c r="S971" s="139"/>
      <c r="T971" s="139"/>
      <c r="U971" s="139"/>
      <c r="V971" s="139"/>
      <c r="W971" s="139"/>
      <c r="X971" s="146"/>
      <c r="Y971" s="148"/>
      <c r="Z971" s="145"/>
      <c r="AA971" s="139"/>
      <c r="AB971" s="149"/>
      <c r="AC971" s="11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74"/>
      <c r="AR971" s="222"/>
    </row>
    <row r="972" spans="2:44" s="22" customFormat="1" ht="18" customHeight="1" x14ac:dyDescent="0.25">
      <c r="B972" s="145"/>
      <c r="C972" s="139"/>
      <c r="D972" s="146"/>
      <c r="E972" s="139"/>
      <c r="F972" s="139"/>
      <c r="G972" s="139"/>
      <c r="H972" s="139"/>
      <c r="I972" s="139"/>
      <c r="J972" s="139"/>
      <c r="K972" s="139"/>
      <c r="L972" s="243"/>
      <c r="M972" s="243"/>
      <c r="N972" s="139"/>
      <c r="O972" s="139"/>
      <c r="P972" s="139"/>
      <c r="Q972" s="147"/>
      <c r="R972" s="139"/>
      <c r="S972" s="139"/>
      <c r="T972" s="139"/>
      <c r="U972" s="139"/>
      <c r="V972" s="139"/>
      <c r="W972" s="139"/>
      <c r="X972" s="146"/>
      <c r="Y972" s="148"/>
      <c r="Z972" s="145"/>
      <c r="AA972" s="139"/>
      <c r="AB972" s="149"/>
      <c r="AC972" s="11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74"/>
      <c r="AR972" s="222"/>
    </row>
    <row r="973" spans="2:44" s="22" customFormat="1" ht="18" customHeight="1" x14ac:dyDescent="0.25">
      <c r="B973" s="145"/>
      <c r="C973" s="139"/>
      <c r="D973" s="146"/>
      <c r="E973" s="139"/>
      <c r="F973" s="139"/>
      <c r="G973" s="139"/>
      <c r="H973" s="139"/>
      <c r="I973" s="139"/>
      <c r="J973" s="139"/>
      <c r="K973" s="139"/>
      <c r="L973" s="243"/>
      <c r="M973" s="243"/>
      <c r="N973" s="139"/>
      <c r="O973" s="139"/>
      <c r="P973" s="139"/>
      <c r="Q973" s="147"/>
      <c r="R973" s="139"/>
      <c r="S973" s="139"/>
      <c r="T973" s="139"/>
      <c r="U973" s="139"/>
      <c r="V973" s="139"/>
      <c r="W973" s="139"/>
      <c r="X973" s="146"/>
      <c r="Y973" s="148"/>
      <c r="Z973" s="145"/>
      <c r="AA973" s="139"/>
      <c r="AB973" s="149"/>
      <c r="AC973" s="11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74"/>
      <c r="AR973" s="222"/>
    </row>
    <row r="974" spans="2:44" s="22" customFormat="1" ht="18" customHeight="1" x14ac:dyDescent="0.25">
      <c r="B974" s="145"/>
      <c r="C974" s="139"/>
      <c r="D974" s="146"/>
      <c r="E974" s="139"/>
      <c r="F974" s="139"/>
      <c r="G974" s="139"/>
      <c r="H974" s="139"/>
      <c r="I974" s="139"/>
      <c r="J974" s="139"/>
      <c r="K974" s="139"/>
      <c r="L974" s="243"/>
      <c r="M974" s="243"/>
      <c r="N974" s="139"/>
      <c r="O974" s="139"/>
      <c r="P974" s="139"/>
      <c r="Q974" s="147"/>
      <c r="R974" s="139"/>
      <c r="S974" s="139"/>
      <c r="T974" s="139"/>
      <c r="U974" s="139"/>
      <c r="V974" s="139"/>
      <c r="W974" s="139"/>
      <c r="X974" s="146"/>
      <c r="Y974" s="148"/>
      <c r="Z974" s="145"/>
      <c r="AA974" s="139"/>
      <c r="AB974" s="149"/>
      <c r="AC974" s="11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74"/>
      <c r="AR974" s="222"/>
    </row>
    <row r="975" spans="2:44" s="22" customFormat="1" ht="18" customHeight="1" x14ac:dyDescent="0.25">
      <c r="B975" s="145"/>
      <c r="C975" s="139"/>
      <c r="D975" s="146"/>
      <c r="E975" s="139"/>
      <c r="F975" s="139"/>
      <c r="G975" s="139"/>
      <c r="H975" s="139"/>
      <c r="I975" s="139"/>
      <c r="J975" s="139"/>
      <c r="K975" s="139"/>
      <c r="L975" s="243"/>
      <c r="M975" s="243"/>
      <c r="N975" s="139"/>
      <c r="O975" s="139"/>
      <c r="P975" s="139"/>
      <c r="Q975" s="147"/>
      <c r="R975" s="139"/>
      <c r="S975" s="139"/>
      <c r="T975" s="139"/>
      <c r="U975" s="139"/>
      <c r="V975" s="139"/>
      <c r="W975" s="139"/>
      <c r="X975" s="146"/>
      <c r="Y975" s="148"/>
      <c r="Z975" s="145"/>
      <c r="AA975" s="139"/>
      <c r="AB975" s="149"/>
      <c r="AC975" s="11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74"/>
      <c r="AR975" s="222"/>
    </row>
    <row r="976" spans="2:44" s="22" customFormat="1" ht="18" customHeight="1" x14ac:dyDescent="0.25">
      <c r="B976" s="145"/>
      <c r="C976" s="139"/>
      <c r="D976" s="146"/>
      <c r="E976" s="139"/>
      <c r="F976" s="139"/>
      <c r="G976" s="139"/>
      <c r="H976" s="139"/>
      <c r="I976" s="139"/>
      <c r="J976" s="139"/>
      <c r="K976" s="139"/>
      <c r="L976" s="243"/>
      <c r="M976" s="243"/>
      <c r="N976" s="139"/>
      <c r="O976" s="139"/>
      <c r="P976" s="139"/>
      <c r="Q976" s="147"/>
      <c r="R976" s="139"/>
      <c r="S976" s="139"/>
      <c r="T976" s="139"/>
      <c r="U976" s="139"/>
      <c r="V976" s="139"/>
      <c r="W976" s="139"/>
      <c r="X976" s="146"/>
      <c r="Y976" s="148"/>
      <c r="Z976" s="145"/>
      <c r="AA976" s="139"/>
      <c r="AB976" s="149"/>
      <c r="AC976" s="11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74"/>
      <c r="AR976" s="222"/>
    </row>
    <row r="977" spans="2:44" s="22" customFormat="1" ht="18" customHeight="1" x14ac:dyDescent="0.25">
      <c r="B977" s="145"/>
      <c r="C977" s="139"/>
      <c r="D977" s="146"/>
      <c r="E977" s="139"/>
      <c r="F977" s="139"/>
      <c r="G977" s="139"/>
      <c r="H977" s="139"/>
      <c r="I977" s="139"/>
      <c r="J977" s="139"/>
      <c r="K977" s="139"/>
      <c r="L977" s="243"/>
      <c r="M977" s="243"/>
      <c r="N977" s="139"/>
      <c r="O977" s="139"/>
      <c r="P977" s="139"/>
      <c r="Q977" s="147"/>
      <c r="R977" s="139"/>
      <c r="S977" s="139"/>
      <c r="T977" s="139"/>
      <c r="U977" s="139"/>
      <c r="V977" s="139"/>
      <c r="W977" s="139"/>
      <c r="X977" s="146"/>
      <c r="Y977" s="148"/>
      <c r="Z977" s="145"/>
      <c r="AA977" s="139"/>
      <c r="AB977" s="149"/>
      <c r="AC977" s="11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74"/>
      <c r="AR977" s="222"/>
    </row>
    <row r="978" spans="2:44" s="22" customFormat="1" ht="18" customHeight="1" x14ac:dyDescent="0.25">
      <c r="B978" s="145"/>
      <c r="C978" s="139"/>
      <c r="D978" s="146"/>
      <c r="E978" s="139"/>
      <c r="F978" s="139"/>
      <c r="G978" s="139"/>
      <c r="H978" s="139"/>
      <c r="I978" s="139"/>
      <c r="J978" s="139"/>
      <c r="K978" s="139"/>
      <c r="L978" s="243"/>
      <c r="M978" s="243"/>
      <c r="N978" s="139"/>
      <c r="O978" s="139"/>
      <c r="P978" s="139"/>
      <c r="Q978" s="147"/>
      <c r="R978" s="139"/>
      <c r="S978" s="139"/>
      <c r="T978" s="139"/>
      <c r="U978" s="139"/>
      <c r="V978" s="139"/>
      <c r="W978" s="139"/>
      <c r="X978" s="146"/>
      <c r="Y978" s="148"/>
      <c r="Z978" s="145"/>
      <c r="AA978" s="139"/>
      <c r="AB978" s="149"/>
      <c r="AC978" s="11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74"/>
      <c r="AR978" s="222"/>
    </row>
    <row r="979" spans="2:44" s="22" customFormat="1" ht="18" customHeight="1" x14ac:dyDescent="0.25">
      <c r="B979" s="145"/>
      <c r="C979" s="139"/>
      <c r="D979" s="146"/>
      <c r="E979" s="139"/>
      <c r="F979" s="139"/>
      <c r="G979" s="139"/>
      <c r="H979" s="139"/>
      <c r="I979" s="139"/>
      <c r="J979" s="139"/>
      <c r="K979" s="139"/>
      <c r="L979" s="243"/>
      <c r="M979" s="243"/>
      <c r="N979" s="139"/>
      <c r="O979" s="139"/>
      <c r="P979" s="139"/>
      <c r="Q979" s="147"/>
      <c r="R979" s="139"/>
      <c r="S979" s="139"/>
      <c r="T979" s="139"/>
      <c r="U979" s="139"/>
      <c r="V979" s="139"/>
      <c r="W979" s="139"/>
      <c r="X979" s="146"/>
      <c r="Y979" s="148"/>
      <c r="Z979" s="145"/>
      <c r="AA979" s="139"/>
      <c r="AB979" s="149"/>
      <c r="AC979" s="11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74"/>
      <c r="AR979" s="222"/>
    </row>
    <row r="980" spans="2:44" s="22" customFormat="1" ht="18" customHeight="1" x14ac:dyDescent="0.25">
      <c r="B980" s="145"/>
      <c r="C980" s="139"/>
      <c r="D980" s="146"/>
      <c r="E980" s="139"/>
      <c r="F980" s="139"/>
      <c r="G980" s="139"/>
      <c r="H980" s="139"/>
      <c r="I980" s="139"/>
      <c r="J980" s="139"/>
      <c r="K980" s="139"/>
      <c r="L980" s="243"/>
      <c r="M980" s="243"/>
      <c r="N980" s="139"/>
      <c r="O980" s="139"/>
      <c r="P980" s="139"/>
      <c r="Q980" s="147"/>
      <c r="R980" s="139"/>
      <c r="S980" s="139"/>
      <c r="T980" s="139"/>
      <c r="U980" s="139"/>
      <c r="V980" s="139"/>
      <c r="W980" s="139"/>
      <c r="X980" s="146"/>
      <c r="Y980" s="148"/>
      <c r="Z980" s="145"/>
      <c r="AA980" s="139"/>
      <c r="AB980" s="149"/>
      <c r="AC980" s="11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74"/>
      <c r="AR980" s="222"/>
    </row>
    <row r="981" spans="2:44" s="22" customFormat="1" ht="18" customHeight="1" x14ac:dyDescent="0.25">
      <c r="B981" s="145"/>
      <c r="C981" s="139"/>
      <c r="D981" s="146"/>
      <c r="E981" s="139"/>
      <c r="F981" s="139"/>
      <c r="G981" s="139"/>
      <c r="H981" s="139"/>
      <c r="I981" s="139"/>
      <c r="J981" s="139"/>
      <c r="K981" s="139"/>
      <c r="L981" s="243"/>
      <c r="M981" s="243"/>
      <c r="N981" s="139"/>
      <c r="O981" s="139"/>
      <c r="P981" s="139"/>
      <c r="Q981" s="147"/>
      <c r="R981" s="139"/>
      <c r="S981" s="139"/>
      <c r="T981" s="139"/>
      <c r="U981" s="139"/>
      <c r="V981" s="139"/>
      <c r="W981" s="139"/>
      <c r="X981" s="146"/>
      <c r="Y981" s="148"/>
      <c r="Z981" s="145"/>
      <c r="AA981" s="139"/>
      <c r="AB981" s="149"/>
      <c r="AC981" s="11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74"/>
      <c r="AR981" s="222"/>
    </row>
    <row r="982" spans="2:44" s="22" customFormat="1" ht="18" customHeight="1" x14ac:dyDescent="0.25">
      <c r="B982" s="145"/>
      <c r="C982" s="139"/>
      <c r="D982" s="146"/>
      <c r="E982" s="139"/>
      <c r="F982" s="139"/>
      <c r="G982" s="139"/>
      <c r="H982" s="139"/>
      <c r="I982" s="139"/>
      <c r="J982" s="139"/>
      <c r="K982" s="139"/>
      <c r="L982" s="243"/>
      <c r="M982" s="243"/>
      <c r="N982" s="139"/>
      <c r="O982" s="139"/>
      <c r="P982" s="139"/>
      <c r="Q982" s="147"/>
      <c r="R982" s="139"/>
      <c r="S982" s="139"/>
      <c r="T982" s="139"/>
      <c r="U982" s="139"/>
      <c r="V982" s="139"/>
      <c r="W982" s="139"/>
      <c r="X982" s="146"/>
      <c r="Y982" s="148"/>
      <c r="Z982" s="145"/>
      <c r="AA982" s="139"/>
      <c r="AB982" s="149"/>
      <c r="AC982" s="11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74"/>
      <c r="AR982" s="222"/>
    </row>
    <row r="983" spans="2:44" s="22" customFormat="1" ht="18" customHeight="1" x14ac:dyDescent="0.25">
      <c r="B983" s="145"/>
      <c r="C983" s="139"/>
      <c r="D983" s="146"/>
      <c r="E983" s="139"/>
      <c r="F983" s="139"/>
      <c r="G983" s="139"/>
      <c r="H983" s="139"/>
      <c r="I983" s="139"/>
      <c r="J983" s="139"/>
      <c r="K983" s="139"/>
      <c r="L983" s="243"/>
      <c r="M983" s="243"/>
      <c r="N983" s="139"/>
      <c r="O983" s="139"/>
      <c r="P983" s="139"/>
      <c r="Q983" s="147"/>
      <c r="R983" s="139"/>
      <c r="S983" s="139"/>
      <c r="T983" s="139"/>
      <c r="U983" s="139"/>
      <c r="V983" s="139"/>
      <c r="W983" s="139"/>
      <c r="X983" s="146"/>
      <c r="Y983" s="148"/>
      <c r="Z983" s="145"/>
      <c r="AA983" s="139"/>
      <c r="AB983" s="149"/>
      <c r="AC983" s="11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74"/>
      <c r="AR983" s="222"/>
    </row>
    <row r="984" spans="2:44" s="22" customFormat="1" ht="18" customHeight="1" x14ac:dyDescent="0.25">
      <c r="B984" s="145"/>
      <c r="C984" s="139"/>
      <c r="D984" s="146"/>
      <c r="E984" s="139"/>
      <c r="F984" s="139"/>
      <c r="G984" s="139"/>
      <c r="H984" s="139"/>
      <c r="I984" s="139"/>
      <c r="J984" s="139"/>
      <c r="K984" s="139"/>
      <c r="L984" s="243"/>
      <c r="M984" s="243"/>
      <c r="N984" s="139"/>
      <c r="O984" s="139"/>
      <c r="P984" s="139"/>
      <c r="Q984" s="147"/>
      <c r="R984" s="139"/>
      <c r="S984" s="139"/>
      <c r="T984" s="139"/>
      <c r="U984" s="139"/>
      <c r="V984" s="139"/>
      <c r="W984" s="139"/>
      <c r="X984" s="146"/>
      <c r="Y984" s="148"/>
      <c r="Z984" s="145"/>
      <c r="AA984" s="139"/>
      <c r="AB984" s="149"/>
      <c r="AC984" s="11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74"/>
      <c r="AR984" s="222"/>
    </row>
    <row r="985" spans="2:44" s="22" customFormat="1" ht="18" customHeight="1" x14ac:dyDescent="0.25">
      <c r="B985" s="145"/>
      <c r="C985" s="139"/>
      <c r="D985" s="146"/>
      <c r="E985" s="139"/>
      <c r="F985" s="139"/>
      <c r="G985" s="139"/>
      <c r="H985" s="139"/>
      <c r="I985" s="139"/>
      <c r="J985" s="139"/>
      <c r="K985" s="139"/>
      <c r="L985" s="243"/>
      <c r="M985" s="243"/>
      <c r="N985" s="139"/>
      <c r="O985" s="139"/>
      <c r="P985" s="139"/>
      <c r="Q985" s="147"/>
      <c r="R985" s="139"/>
      <c r="S985" s="139"/>
      <c r="T985" s="139"/>
      <c r="U985" s="139"/>
      <c r="V985" s="139"/>
      <c r="W985" s="139"/>
      <c r="X985" s="146"/>
      <c r="Y985" s="148"/>
      <c r="Z985" s="145"/>
      <c r="AA985" s="139"/>
      <c r="AB985" s="149"/>
      <c r="AC985" s="11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74"/>
      <c r="AR985" s="222"/>
    </row>
    <row r="986" spans="2:44" s="140" customFormat="1" ht="18" customHeight="1" x14ac:dyDescent="0.25">
      <c r="B986" s="145"/>
      <c r="C986" s="139"/>
      <c r="D986" s="146"/>
      <c r="E986" s="139"/>
      <c r="F986" s="139"/>
      <c r="G986" s="139"/>
      <c r="H986" s="139"/>
      <c r="I986" s="139"/>
      <c r="J986" s="139"/>
      <c r="K986" s="139"/>
      <c r="L986" s="243"/>
      <c r="M986" s="243"/>
      <c r="N986" s="139"/>
      <c r="O986" s="139"/>
      <c r="P986" s="139"/>
      <c r="Q986" s="147"/>
      <c r="R986" s="139"/>
      <c r="S986" s="139"/>
      <c r="T986" s="139"/>
      <c r="U986" s="139"/>
      <c r="V986" s="139"/>
      <c r="W986" s="139"/>
      <c r="X986" s="146"/>
      <c r="Y986" s="148"/>
      <c r="Z986" s="145"/>
      <c r="AA986" s="139"/>
      <c r="AB986" s="149"/>
      <c r="AC986" s="11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74"/>
      <c r="AR986" s="222"/>
    </row>
    <row r="987" spans="2:44" s="22" customFormat="1" ht="18" customHeight="1" x14ac:dyDescent="0.25">
      <c r="B987" s="145"/>
      <c r="C987" s="139"/>
      <c r="D987" s="146"/>
      <c r="E987" s="139"/>
      <c r="F987" s="139"/>
      <c r="G987" s="139"/>
      <c r="H987" s="139"/>
      <c r="I987" s="139"/>
      <c r="J987" s="139"/>
      <c r="K987" s="139"/>
      <c r="L987" s="243"/>
      <c r="M987" s="243"/>
      <c r="N987" s="139"/>
      <c r="O987" s="139"/>
      <c r="P987" s="139"/>
      <c r="Q987" s="147"/>
      <c r="R987" s="139"/>
      <c r="S987" s="139"/>
      <c r="T987" s="139"/>
      <c r="U987" s="139"/>
      <c r="V987" s="139"/>
      <c r="W987" s="139"/>
      <c r="X987" s="146"/>
      <c r="Y987" s="148"/>
      <c r="Z987" s="145"/>
      <c r="AA987" s="139"/>
      <c r="AB987" s="149"/>
      <c r="AC987" s="11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74"/>
      <c r="AR987" s="222"/>
    </row>
    <row r="988" spans="2:44" s="22" customFormat="1" ht="18" customHeight="1" x14ac:dyDescent="0.25">
      <c r="B988" s="145"/>
      <c r="C988" s="139"/>
      <c r="D988" s="146"/>
      <c r="E988" s="139"/>
      <c r="F988" s="139"/>
      <c r="G988" s="139"/>
      <c r="H988" s="139"/>
      <c r="I988" s="139"/>
      <c r="J988" s="139"/>
      <c r="K988" s="139"/>
      <c r="L988" s="243"/>
      <c r="M988" s="243"/>
      <c r="N988" s="139"/>
      <c r="O988" s="139"/>
      <c r="P988" s="139"/>
      <c r="Q988" s="147"/>
      <c r="R988" s="139"/>
      <c r="S988" s="139"/>
      <c r="T988" s="139"/>
      <c r="U988" s="139"/>
      <c r="V988" s="139"/>
      <c r="W988" s="139"/>
      <c r="X988" s="146"/>
      <c r="Y988" s="148"/>
      <c r="Z988" s="145"/>
      <c r="AA988" s="139"/>
      <c r="AB988" s="149"/>
      <c r="AC988" s="11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74"/>
      <c r="AR988" s="222"/>
    </row>
    <row r="989" spans="2:44" s="22" customFormat="1" ht="18" customHeight="1" x14ac:dyDescent="0.25">
      <c r="B989" s="145"/>
      <c r="C989" s="139"/>
      <c r="D989" s="146"/>
      <c r="E989" s="139"/>
      <c r="F989" s="139"/>
      <c r="G989" s="139"/>
      <c r="H989" s="139"/>
      <c r="I989" s="139"/>
      <c r="J989" s="139"/>
      <c r="K989" s="139"/>
      <c r="L989" s="243"/>
      <c r="M989" s="243"/>
      <c r="N989" s="139"/>
      <c r="O989" s="139"/>
      <c r="P989" s="139"/>
      <c r="Q989" s="147"/>
      <c r="R989" s="139"/>
      <c r="S989" s="139"/>
      <c r="T989" s="139"/>
      <c r="U989" s="139"/>
      <c r="V989" s="139"/>
      <c r="W989" s="139"/>
      <c r="X989" s="146"/>
      <c r="Y989" s="148"/>
      <c r="Z989" s="145"/>
      <c r="AA989" s="139"/>
      <c r="AB989" s="149"/>
      <c r="AC989" s="11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74"/>
      <c r="AR989" s="222"/>
    </row>
    <row r="990" spans="2:44" s="22" customFormat="1" ht="18" customHeight="1" x14ac:dyDescent="0.25">
      <c r="B990" s="145"/>
      <c r="C990" s="139"/>
      <c r="D990" s="146"/>
      <c r="E990" s="139"/>
      <c r="F990" s="139"/>
      <c r="G990" s="139"/>
      <c r="H990" s="139"/>
      <c r="I990" s="139"/>
      <c r="J990" s="139"/>
      <c r="K990" s="139"/>
      <c r="L990" s="243"/>
      <c r="M990" s="243"/>
      <c r="N990" s="139"/>
      <c r="O990" s="139"/>
      <c r="P990" s="139"/>
      <c r="Q990" s="147"/>
      <c r="R990" s="139"/>
      <c r="S990" s="139"/>
      <c r="T990" s="139"/>
      <c r="U990" s="139"/>
      <c r="V990" s="139"/>
      <c r="W990" s="139"/>
      <c r="X990" s="146"/>
      <c r="Y990" s="148"/>
      <c r="Z990" s="145"/>
      <c r="AA990" s="139"/>
      <c r="AB990" s="149"/>
      <c r="AC990" s="11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74"/>
      <c r="AR990" s="222"/>
    </row>
    <row r="991" spans="2:44" s="22" customFormat="1" ht="18" customHeight="1" x14ac:dyDescent="0.25">
      <c r="B991" s="145"/>
      <c r="C991" s="139"/>
      <c r="D991" s="146"/>
      <c r="E991" s="139"/>
      <c r="F991" s="139"/>
      <c r="G991" s="139"/>
      <c r="H991" s="139"/>
      <c r="I991" s="139"/>
      <c r="J991" s="139"/>
      <c r="K991" s="139"/>
      <c r="L991" s="243"/>
      <c r="M991" s="243"/>
      <c r="N991" s="139"/>
      <c r="O991" s="139"/>
      <c r="P991" s="139"/>
      <c r="Q991" s="147"/>
      <c r="R991" s="139"/>
      <c r="S991" s="139"/>
      <c r="T991" s="139"/>
      <c r="U991" s="139"/>
      <c r="V991" s="139"/>
      <c r="W991" s="139"/>
      <c r="X991" s="146"/>
      <c r="Y991" s="148"/>
      <c r="Z991" s="145"/>
      <c r="AA991" s="139"/>
      <c r="AB991" s="149"/>
      <c r="AC991" s="11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74"/>
      <c r="AR991" s="222"/>
    </row>
    <row r="992" spans="2:44" s="22" customFormat="1" ht="18" customHeight="1" x14ac:dyDescent="0.25">
      <c r="B992" s="145"/>
      <c r="C992" s="139"/>
      <c r="D992" s="146"/>
      <c r="E992" s="139"/>
      <c r="F992" s="139"/>
      <c r="G992" s="139"/>
      <c r="H992" s="139"/>
      <c r="I992" s="139"/>
      <c r="J992" s="139"/>
      <c r="K992" s="139"/>
      <c r="L992" s="243"/>
      <c r="M992" s="243"/>
      <c r="N992" s="139"/>
      <c r="O992" s="139"/>
      <c r="P992" s="139"/>
      <c r="Q992" s="147"/>
      <c r="R992" s="139"/>
      <c r="S992" s="139"/>
      <c r="T992" s="139"/>
      <c r="U992" s="139"/>
      <c r="V992" s="139"/>
      <c r="W992" s="139"/>
      <c r="X992" s="146"/>
      <c r="Y992" s="148"/>
      <c r="Z992" s="145"/>
      <c r="AA992" s="139"/>
      <c r="AB992" s="149"/>
      <c r="AC992" s="11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74"/>
      <c r="AR992" s="222"/>
    </row>
    <row r="993" spans="2:44" s="22" customFormat="1" ht="18" customHeight="1" x14ac:dyDescent="0.25">
      <c r="B993" s="145"/>
      <c r="C993" s="139"/>
      <c r="D993" s="146"/>
      <c r="E993" s="139"/>
      <c r="F993" s="139"/>
      <c r="G993" s="139"/>
      <c r="H993" s="139"/>
      <c r="I993" s="139"/>
      <c r="J993" s="139"/>
      <c r="K993" s="139"/>
      <c r="L993" s="243"/>
      <c r="M993" s="243"/>
      <c r="N993" s="139"/>
      <c r="O993" s="139"/>
      <c r="P993" s="139"/>
      <c r="Q993" s="147"/>
      <c r="R993" s="139"/>
      <c r="S993" s="139"/>
      <c r="T993" s="139"/>
      <c r="U993" s="139"/>
      <c r="V993" s="139"/>
      <c r="W993" s="139"/>
      <c r="X993" s="146"/>
      <c r="Y993" s="148"/>
      <c r="Z993" s="145"/>
      <c r="AA993" s="139"/>
      <c r="AB993" s="149"/>
      <c r="AC993" s="11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74"/>
      <c r="AR993" s="222"/>
    </row>
    <row r="994" spans="2:44" s="22" customFormat="1" ht="18" customHeight="1" x14ac:dyDescent="0.25">
      <c r="B994" s="145"/>
      <c r="C994" s="139"/>
      <c r="D994" s="146"/>
      <c r="E994" s="139"/>
      <c r="F994" s="139"/>
      <c r="G994" s="139"/>
      <c r="H994" s="139"/>
      <c r="I994" s="139"/>
      <c r="J994" s="139"/>
      <c r="K994" s="139"/>
      <c r="L994" s="243"/>
      <c r="M994" s="243"/>
      <c r="N994" s="139"/>
      <c r="O994" s="139"/>
      <c r="P994" s="139"/>
      <c r="Q994" s="147"/>
      <c r="R994" s="139"/>
      <c r="S994" s="139"/>
      <c r="T994" s="139"/>
      <c r="U994" s="139"/>
      <c r="V994" s="139"/>
      <c r="W994" s="139"/>
      <c r="X994" s="146"/>
      <c r="Y994" s="148"/>
      <c r="Z994" s="145"/>
      <c r="AA994" s="139"/>
      <c r="AB994" s="149"/>
      <c r="AC994" s="11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74"/>
      <c r="AR994" s="222"/>
    </row>
    <row r="995" spans="2:44" s="22" customFormat="1" ht="18" customHeight="1" x14ac:dyDescent="0.25">
      <c r="B995" s="145"/>
      <c r="C995" s="139"/>
      <c r="D995" s="146"/>
      <c r="E995" s="139"/>
      <c r="F995" s="139"/>
      <c r="G995" s="139"/>
      <c r="H995" s="139"/>
      <c r="I995" s="139"/>
      <c r="J995" s="139"/>
      <c r="K995" s="139"/>
      <c r="L995" s="243"/>
      <c r="M995" s="243"/>
      <c r="N995" s="139"/>
      <c r="O995" s="139"/>
      <c r="P995" s="139"/>
      <c r="Q995" s="147"/>
      <c r="R995" s="139"/>
      <c r="S995" s="139"/>
      <c r="T995" s="139"/>
      <c r="U995" s="139"/>
      <c r="V995" s="139"/>
      <c r="W995" s="139"/>
      <c r="X995" s="146"/>
      <c r="Y995" s="148"/>
      <c r="Z995" s="145"/>
      <c r="AA995" s="139"/>
      <c r="AB995" s="149"/>
      <c r="AC995" s="11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74"/>
      <c r="AR995" s="222"/>
    </row>
    <row r="996" spans="2:44" s="22" customFormat="1" ht="18" customHeight="1" x14ac:dyDescent="0.25">
      <c r="B996" s="145"/>
      <c r="C996" s="139"/>
      <c r="D996" s="146"/>
      <c r="E996" s="139"/>
      <c r="F996" s="139"/>
      <c r="G996" s="139"/>
      <c r="H996" s="139"/>
      <c r="I996" s="139"/>
      <c r="J996" s="139"/>
      <c r="K996" s="139"/>
      <c r="L996" s="243"/>
      <c r="M996" s="243"/>
      <c r="N996" s="139"/>
      <c r="O996" s="139"/>
      <c r="P996" s="139"/>
      <c r="Q996" s="147"/>
      <c r="R996" s="139"/>
      <c r="S996" s="139"/>
      <c r="T996" s="139"/>
      <c r="U996" s="139"/>
      <c r="V996" s="139"/>
      <c r="W996" s="139"/>
      <c r="X996" s="146"/>
      <c r="Y996" s="148"/>
      <c r="Z996" s="145"/>
      <c r="AA996" s="139"/>
      <c r="AB996" s="149"/>
      <c r="AC996" s="11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74"/>
      <c r="AR996" s="222"/>
    </row>
    <row r="997" spans="2:44" s="22" customFormat="1" ht="18" customHeight="1" x14ac:dyDescent="0.25">
      <c r="B997" s="145"/>
      <c r="C997" s="139"/>
      <c r="D997" s="146"/>
      <c r="E997" s="139"/>
      <c r="F997" s="139"/>
      <c r="G997" s="139"/>
      <c r="H997" s="139"/>
      <c r="I997" s="139"/>
      <c r="J997" s="139"/>
      <c r="K997" s="139"/>
      <c r="L997" s="243"/>
      <c r="M997" s="243"/>
      <c r="N997" s="139"/>
      <c r="O997" s="139"/>
      <c r="P997" s="139"/>
      <c r="Q997" s="147"/>
      <c r="R997" s="139"/>
      <c r="S997" s="139"/>
      <c r="T997" s="139"/>
      <c r="U997" s="139"/>
      <c r="V997" s="139"/>
      <c r="W997" s="139"/>
      <c r="X997" s="146"/>
      <c r="Y997" s="148"/>
      <c r="Z997" s="145"/>
      <c r="AA997" s="139"/>
      <c r="AB997" s="149"/>
      <c r="AC997" s="11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74"/>
      <c r="AR997" s="222"/>
    </row>
    <row r="998" spans="2:44" s="22" customFormat="1" ht="18" customHeight="1" x14ac:dyDescent="0.25">
      <c r="B998" s="145"/>
      <c r="C998" s="139"/>
      <c r="D998" s="146"/>
      <c r="E998" s="139"/>
      <c r="F998" s="139"/>
      <c r="G998" s="139"/>
      <c r="H998" s="139"/>
      <c r="I998" s="139"/>
      <c r="J998" s="139"/>
      <c r="K998" s="139"/>
      <c r="L998" s="243"/>
      <c r="M998" s="243"/>
      <c r="N998" s="139"/>
      <c r="O998" s="139"/>
      <c r="P998" s="139"/>
      <c r="Q998" s="147"/>
      <c r="R998" s="139"/>
      <c r="S998" s="139"/>
      <c r="T998" s="139"/>
      <c r="U998" s="139"/>
      <c r="V998" s="139"/>
      <c r="W998" s="139"/>
      <c r="X998" s="146"/>
      <c r="Y998" s="148"/>
      <c r="Z998" s="145"/>
      <c r="AA998" s="139"/>
      <c r="AB998" s="149"/>
      <c r="AC998" s="11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74"/>
      <c r="AR998" s="222"/>
    </row>
    <row r="999" spans="2:44" s="22" customFormat="1" ht="18" customHeight="1" x14ac:dyDescent="0.25">
      <c r="B999" s="145"/>
      <c r="C999" s="139"/>
      <c r="D999" s="146"/>
      <c r="E999" s="139"/>
      <c r="F999" s="139"/>
      <c r="G999" s="139"/>
      <c r="H999" s="139"/>
      <c r="I999" s="139"/>
      <c r="J999" s="139"/>
      <c r="K999" s="139"/>
      <c r="L999" s="243"/>
      <c r="M999" s="243"/>
      <c r="N999" s="139"/>
      <c r="O999" s="139"/>
      <c r="P999" s="139"/>
      <c r="Q999" s="147"/>
      <c r="R999" s="139"/>
      <c r="S999" s="139"/>
      <c r="T999" s="139"/>
      <c r="U999" s="139"/>
      <c r="V999" s="139"/>
      <c r="W999" s="139"/>
      <c r="X999" s="146"/>
      <c r="Y999" s="148"/>
      <c r="Z999" s="145"/>
      <c r="AA999" s="139"/>
      <c r="AB999" s="149"/>
      <c r="AC999" s="11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74"/>
      <c r="AR999" s="222"/>
    </row>
    <row r="1000" spans="2:44" s="22" customFormat="1" ht="18" customHeight="1" x14ac:dyDescent="0.25">
      <c r="B1000" s="145"/>
      <c r="C1000" s="139"/>
      <c r="D1000" s="146"/>
      <c r="E1000" s="139"/>
      <c r="F1000" s="139"/>
      <c r="G1000" s="139"/>
      <c r="H1000" s="139"/>
      <c r="I1000" s="139"/>
      <c r="J1000" s="139"/>
      <c r="K1000" s="139"/>
      <c r="L1000" s="243"/>
      <c r="M1000" s="243"/>
      <c r="N1000" s="139"/>
      <c r="O1000" s="139"/>
      <c r="P1000" s="139"/>
      <c r="Q1000" s="147"/>
      <c r="R1000" s="139"/>
      <c r="S1000" s="139"/>
      <c r="T1000" s="139"/>
      <c r="U1000" s="139"/>
      <c r="V1000" s="139"/>
      <c r="W1000" s="139"/>
      <c r="X1000" s="146"/>
      <c r="Y1000" s="148"/>
      <c r="Z1000" s="145"/>
      <c r="AA1000" s="139"/>
      <c r="AB1000" s="149"/>
      <c r="AC1000" s="11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74"/>
      <c r="AR1000" s="222"/>
    </row>
    <row r="1001" spans="2:44" s="22" customFormat="1" ht="18" customHeight="1" x14ac:dyDescent="0.25">
      <c r="B1001" s="145"/>
      <c r="C1001" s="139"/>
      <c r="D1001" s="146"/>
      <c r="E1001" s="139"/>
      <c r="F1001" s="139"/>
      <c r="G1001" s="139"/>
      <c r="H1001" s="139"/>
      <c r="I1001" s="139"/>
      <c r="J1001" s="139"/>
      <c r="K1001" s="139"/>
      <c r="L1001" s="243"/>
      <c r="M1001" s="243"/>
      <c r="N1001" s="139"/>
      <c r="O1001" s="139"/>
      <c r="P1001" s="139"/>
      <c r="Q1001" s="147"/>
      <c r="R1001" s="139"/>
      <c r="S1001" s="139"/>
      <c r="T1001" s="139"/>
      <c r="U1001" s="139"/>
      <c r="V1001" s="139"/>
      <c r="W1001" s="139"/>
      <c r="X1001" s="146"/>
      <c r="Y1001" s="148"/>
      <c r="Z1001" s="145"/>
      <c r="AA1001" s="139"/>
      <c r="AB1001" s="149"/>
      <c r="AC1001" s="119"/>
      <c r="AD1001" s="139"/>
      <c r="AE1001" s="139"/>
      <c r="AF1001" s="139"/>
      <c r="AG1001" s="139"/>
      <c r="AH1001" s="139"/>
      <c r="AI1001" s="139"/>
      <c r="AJ1001" s="139"/>
      <c r="AK1001" s="139"/>
      <c r="AL1001" s="139"/>
      <c r="AM1001" s="139"/>
      <c r="AN1001" s="139"/>
      <c r="AO1001" s="139"/>
      <c r="AP1001" s="139"/>
      <c r="AQ1001" s="174"/>
      <c r="AR1001" s="222"/>
    </row>
    <row r="1002" spans="2:44" s="22" customFormat="1" ht="18" customHeight="1" x14ac:dyDescent="0.25">
      <c r="B1002" s="145"/>
      <c r="C1002" s="139"/>
      <c r="D1002" s="146"/>
      <c r="E1002" s="139"/>
      <c r="F1002" s="139"/>
      <c r="G1002" s="139"/>
      <c r="H1002" s="139"/>
      <c r="I1002" s="139"/>
      <c r="J1002" s="139"/>
      <c r="K1002" s="139"/>
      <c r="L1002" s="243"/>
      <c r="M1002" s="243"/>
      <c r="N1002" s="139"/>
      <c r="O1002" s="139"/>
      <c r="P1002" s="139"/>
      <c r="Q1002" s="147"/>
      <c r="R1002" s="139"/>
      <c r="S1002" s="139"/>
      <c r="T1002" s="139"/>
      <c r="U1002" s="139"/>
      <c r="V1002" s="139"/>
      <c r="W1002" s="139"/>
      <c r="X1002" s="146"/>
      <c r="Y1002" s="148"/>
      <c r="Z1002" s="145"/>
      <c r="AA1002" s="139"/>
      <c r="AB1002" s="149"/>
      <c r="AC1002" s="119"/>
      <c r="AD1002" s="139"/>
      <c r="AE1002" s="139"/>
      <c r="AF1002" s="139"/>
      <c r="AG1002" s="139"/>
      <c r="AH1002" s="139"/>
      <c r="AI1002" s="139"/>
      <c r="AJ1002" s="139"/>
      <c r="AK1002" s="139"/>
      <c r="AL1002" s="139"/>
      <c r="AM1002" s="139"/>
      <c r="AN1002" s="139"/>
      <c r="AO1002" s="139"/>
      <c r="AP1002" s="139"/>
      <c r="AQ1002" s="174"/>
      <c r="AR1002" s="222"/>
    </row>
    <row r="1003" spans="2:44" s="22" customFormat="1" ht="18" customHeight="1" x14ac:dyDescent="0.25">
      <c r="B1003" s="145"/>
      <c r="C1003" s="139"/>
      <c r="D1003" s="146"/>
      <c r="E1003" s="139"/>
      <c r="F1003" s="139"/>
      <c r="G1003" s="139"/>
      <c r="H1003" s="139"/>
      <c r="I1003" s="139"/>
      <c r="J1003" s="139"/>
      <c r="K1003" s="139"/>
      <c r="L1003" s="243"/>
      <c r="M1003" s="243"/>
      <c r="N1003" s="139"/>
      <c r="O1003" s="139"/>
      <c r="P1003" s="139"/>
      <c r="Q1003" s="147"/>
      <c r="R1003" s="139"/>
      <c r="S1003" s="139"/>
      <c r="T1003" s="139"/>
      <c r="U1003" s="139"/>
      <c r="V1003" s="139"/>
      <c r="W1003" s="139"/>
      <c r="X1003" s="146"/>
      <c r="Y1003" s="148"/>
      <c r="Z1003" s="145"/>
      <c r="AA1003" s="139"/>
      <c r="AB1003" s="149"/>
      <c r="AC1003" s="119"/>
      <c r="AD1003" s="139"/>
      <c r="AE1003" s="139"/>
      <c r="AF1003" s="139"/>
      <c r="AG1003" s="139"/>
      <c r="AH1003" s="139"/>
      <c r="AI1003" s="139"/>
      <c r="AJ1003" s="139"/>
      <c r="AK1003" s="139"/>
      <c r="AL1003" s="139"/>
      <c r="AM1003" s="139"/>
      <c r="AN1003" s="139"/>
      <c r="AO1003" s="139"/>
      <c r="AP1003" s="139"/>
      <c r="AQ1003" s="174"/>
      <c r="AR1003" s="222"/>
    </row>
    <row r="1004" spans="2:44" s="22" customFormat="1" ht="18" customHeight="1" x14ac:dyDescent="0.25">
      <c r="B1004" s="145"/>
      <c r="C1004" s="139"/>
      <c r="D1004" s="146"/>
      <c r="E1004" s="139"/>
      <c r="F1004" s="139"/>
      <c r="G1004" s="139"/>
      <c r="H1004" s="139"/>
      <c r="I1004" s="139"/>
      <c r="J1004" s="139"/>
      <c r="K1004" s="139"/>
      <c r="L1004" s="243"/>
      <c r="M1004" s="243"/>
      <c r="N1004" s="139"/>
      <c r="O1004" s="139"/>
      <c r="P1004" s="139"/>
      <c r="Q1004" s="147"/>
      <c r="R1004" s="139"/>
      <c r="S1004" s="139"/>
      <c r="T1004" s="139"/>
      <c r="U1004" s="139"/>
      <c r="V1004" s="139"/>
      <c r="W1004" s="139"/>
      <c r="X1004" s="146"/>
      <c r="Y1004" s="148"/>
      <c r="Z1004" s="145"/>
      <c r="AA1004" s="139"/>
      <c r="AB1004" s="149"/>
      <c r="AC1004" s="119"/>
      <c r="AD1004" s="139"/>
      <c r="AE1004" s="139"/>
      <c r="AF1004" s="139"/>
      <c r="AG1004" s="139"/>
      <c r="AH1004" s="139"/>
      <c r="AI1004" s="139"/>
      <c r="AJ1004" s="139"/>
      <c r="AK1004" s="139"/>
      <c r="AL1004" s="139"/>
      <c r="AM1004" s="139"/>
      <c r="AN1004" s="139"/>
      <c r="AO1004" s="139"/>
      <c r="AP1004" s="139"/>
      <c r="AQ1004" s="174"/>
      <c r="AR1004" s="222"/>
    </row>
    <row r="1005" spans="2:44" s="22" customFormat="1" ht="18" customHeight="1" x14ac:dyDescent="0.25">
      <c r="B1005" s="145"/>
      <c r="C1005" s="139"/>
      <c r="D1005" s="146"/>
      <c r="E1005" s="139"/>
      <c r="F1005" s="139"/>
      <c r="G1005" s="139"/>
      <c r="H1005" s="139"/>
      <c r="I1005" s="139"/>
      <c r="J1005" s="139"/>
      <c r="K1005" s="139"/>
      <c r="L1005" s="243"/>
      <c r="M1005" s="243"/>
      <c r="N1005" s="139"/>
      <c r="O1005" s="139"/>
      <c r="P1005" s="139"/>
      <c r="Q1005" s="147"/>
      <c r="R1005" s="139"/>
      <c r="S1005" s="139"/>
      <c r="T1005" s="139"/>
      <c r="U1005" s="139"/>
      <c r="V1005" s="139"/>
      <c r="W1005" s="139"/>
      <c r="X1005" s="146"/>
      <c r="Y1005" s="148"/>
      <c r="Z1005" s="145"/>
      <c r="AA1005" s="139"/>
      <c r="AB1005" s="149"/>
      <c r="AC1005" s="119"/>
      <c r="AD1005" s="139"/>
      <c r="AE1005" s="139"/>
      <c r="AF1005" s="139"/>
      <c r="AG1005" s="139"/>
      <c r="AH1005" s="139"/>
      <c r="AI1005" s="139"/>
      <c r="AJ1005" s="139"/>
      <c r="AK1005" s="139"/>
      <c r="AL1005" s="139"/>
      <c r="AM1005" s="139"/>
      <c r="AN1005" s="139"/>
      <c r="AO1005" s="139"/>
      <c r="AP1005" s="139"/>
      <c r="AQ1005" s="174"/>
      <c r="AR1005" s="222"/>
    </row>
    <row r="1006" spans="2:44" s="22" customFormat="1" ht="18" customHeight="1" x14ac:dyDescent="0.25">
      <c r="B1006" s="145"/>
      <c r="C1006" s="139"/>
      <c r="D1006" s="146"/>
      <c r="E1006" s="139"/>
      <c r="F1006" s="139"/>
      <c r="G1006" s="139"/>
      <c r="H1006" s="139"/>
      <c r="I1006" s="139"/>
      <c r="J1006" s="139"/>
      <c r="K1006" s="139"/>
      <c r="L1006" s="243"/>
      <c r="M1006" s="243"/>
      <c r="N1006" s="139"/>
      <c r="O1006" s="139"/>
      <c r="P1006" s="139"/>
      <c r="Q1006" s="147"/>
      <c r="R1006" s="139"/>
      <c r="S1006" s="139"/>
      <c r="T1006" s="139"/>
      <c r="U1006" s="139"/>
      <c r="V1006" s="139"/>
      <c r="W1006" s="139"/>
      <c r="X1006" s="146"/>
      <c r="Y1006" s="148"/>
      <c r="Z1006" s="145"/>
      <c r="AA1006" s="139"/>
      <c r="AB1006" s="149"/>
      <c r="AC1006" s="119"/>
      <c r="AD1006" s="139"/>
      <c r="AE1006" s="139"/>
      <c r="AF1006" s="139"/>
      <c r="AG1006" s="139"/>
      <c r="AH1006" s="139"/>
      <c r="AI1006" s="139"/>
      <c r="AJ1006" s="139"/>
      <c r="AK1006" s="139"/>
      <c r="AL1006" s="139"/>
      <c r="AM1006" s="139"/>
      <c r="AN1006" s="139"/>
      <c r="AO1006" s="139"/>
      <c r="AP1006" s="139"/>
      <c r="AQ1006" s="174"/>
      <c r="AR1006" s="222"/>
    </row>
    <row r="1007" spans="2:44" s="22" customFormat="1" ht="18" customHeight="1" x14ac:dyDescent="0.25">
      <c r="B1007" s="145"/>
      <c r="C1007" s="139"/>
      <c r="D1007" s="146"/>
      <c r="E1007" s="139"/>
      <c r="F1007" s="139"/>
      <c r="G1007" s="139"/>
      <c r="H1007" s="139"/>
      <c r="I1007" s="139"/>
      <c r="J1007" s="139"/>
      <c r="K1007" s="139"/>
      <c r="L1007" s="243"/>
      <c r="M1007" s="243"/>
      <c r="N1007" s="139"/>
      <c r="O1007" s="139"/>
      <c r="P1007" s="139"/>
      <c r="Q1007" s="147"/>
      <c r="R1007" s="139"/>
      <c r="S1007" s="139"/>
      <c r="T1007" s="139"/>
      <c r="U1007" s="139"/>
      <c r="V1007" s="139"/>
      <c r="W1007" s="139"/>
      <c r="X1007" s="146"/>
      <c r="Y1007" s="148"/>
      <c r="Z1007" s="145"/>
      <c r="AA1007" s="139"/>
      <c r="AB1007" s="149"/>
      <c r="AC1007" s="119"/>
      <c r="AD1007" s="139"/>
      <c r="AE1007" s="139"/>
      <c r="AF1007" s="139"/>
      <c r="AG1007" s="139"/>
      <c r="AH1007" s="139"/>
      <c r="AI1007" s="139"/>
      <c r="AJ1007" s="139"/>
      <c r="AK1007" s="139"/>
      <c r="AL1007" s="139"/>
      <c r="AM1007" s="139"/>
      <c r="AN1007" s="139"/>
      <c r="AO1007" s="139"/>
      <c r="AP1007" s="139"/>
      <c r="AQ1007" s="174"/>
      <c r="AR1007" s="222"/>
    </row>
    <row r="1008" spans="2:44" s="22" customFormat="1" ht="18" customHeight="1" x14ac:dyDescent="0.25">
      <c r="B1008" s="145"/>
      <c r="C1008" s="139"/>
      <c r="D1008" s="146"/>
      <c r="E1008" s="139"/>
      <c r="F1008" s="139"/>
      <c r="G1008" s="139"/>
      <c r="H1008" s="139"/>
      <c r="I1008" s="139"/>
      <c r="J1008" s="139"/>
      <c r="K1008" s="139"/>
      <c r="L1008" s="243"/>
      <c r="M1008" s="243"/>
      <c r="N1008" s="139"/>
      <c r="O1008" s="139"/>
      <c r="P1008" s="139"/>
      <c r="Q1008" s="147"/>
      <c r="R1008" s="139"/>
      <c r="S1008" s="139"/>
      <c r="T1008" s="139"/>
      <c r="U1008" s="139"/>
      <c r="V1008" s="139"/>
      <c r="W1008" s="139"/>
      <c r="X1008" s="146"/>
      <c r="Y1008" s="148"/>
      <c r="Z1008" s="145"/>
      <c r="AA1008" s="139"/>
      <c r="AB1008" s="149"/>
      <c r="AC1008" s="119"/>
      <c r="AD1008" s="139"/>
      <c r="AE1008" s="139"/>
      <c r="AF1008" s="139"/>
      <c r="AG1008" s="139"/>
      <c r="AH1008" s="139"/>
      <c r="AI1008" s="139"/>
      <c r="AJ1008" s="139"/>
      <c r="AK1008" s="139"/>
      <c r="AL1008" s="139"/>
      <c r="AM1008" s="139"/>
      <c r="AN1008" s="139"/>
      <c r="AO1008" s="139"/>
      <c r="AP1008" s="139"/>
      <c r="AQ1008" s="174"/>
      <c r="AR1008" s="222"/>
    </row>
    <row r="1009" spans="2:44" s="22" customFormat="1" ht="18" customHeight="1" x14ac:dyDescent="0.25">
      <c r="B1009" s="145"/>
      <c r="C1009" s="139"/>
      <c r="D1009" s="146"/>
      <c r="E1009" s="139"/>
      <c r="F1009" s="139"/>
      <c r="G1009" s="139"/>
      <c r="H1009" s="139"/>
      <c r="I1009" s="139"/>
      <c r="J1009" s="139"/>
      <c r="K1009" s="139"/>
      <c r="L1009" s="243"/>
      <c r="M1009" s="243"/>
      <c r="N1009" s="139"/>
      <c r="O1009" s="139"/>
      <c r="P1009" s="139"/>
      <c r="Q1009" s="147"/>
      <c r="R1009" s="139"/>
      <c r="S1009" s="139"/>
      <c r="T1009" s="139"/>
      <c r="U1009" s="139"/>
      <c r="V1009" s="139"/>
      <c r="W1009" s="139"/>
      <c r="X1009" s="146"/>
      <c r="Y1009" s="148"/>
      <c r="Z1009" s="145"/>
      <c r="AA1009" s="139"/>
      <c r="AB1009" s="149"/>
      <c r="AC1009" s="119"/>
      <c r="AD1009" s="139"/>
      <c r="AE1009" s="139"/>
      <c r="AF1009" s="139"/>
      <c r="AG1009" s="139"/>
      <c r="AH1009" s="139"/>
      <c r="AI1009" s="139"/>
      <c r="AJ1009" s="139"/>
      <c r="AK1009" s="139"/>
      <c r="AL1009" s="139"/>
      <c r="AM1009" s="139"/>
      <c r="AN1009" s="139"/>
      <c r="AO1009" s="139"/>
      <c r="AP1009" s="139"/>
      <c r="AQ1009" s="174"/>
      <c r="AR1009" s="222"/>
    </row>
    <row r="1010" spans="2:44" s="22" customFormat="1" ht="18" customHeight="1" x14ac:dyDescent="0.25">
      <c r="B1010" s="145"/>
      <c r="C1010" s="139"/>
      <c r="D1010" s="146"/>
      <c r="E1010" s="139"/>
      <c r="F1010" s="139"/>
      <c r="G1010" s="139"/>
      <c r="H1010" s="139"/>
      <c r="I1010" s="139"/>
      <c r="J1010" s="139"/>
      <c r="K1010" s="139"/>
      <c r="L1010" s="243"/>
      <c r="M1010" s="243"/>
      <c r="N1010" s="139"/>
      <c r="O1010" s="139"/>
      <c r="P1010" s="139"/>
      <c r="Q1010" s="147"/>
      <c r="R1010" s="139"/>
      <c r="S1010" s="139"/>
      <c r="T1010" s="139"/>
      <c r="U1010" s="139"/>
      <c r="V1010" s="139"/>
      <c r="W1010" s="139"/>
      <c r="X1010" s="146"/>
      <c r="Y1010" s="148"/>
      <c r="Z1010" s="145"/>
      <c r="AA1010" s="139"/>
      <c r="AB1010" s="149"/>
      <c r="AC1010" s="119"/>
      <c r="AD1010" s="139"/>
      <c r="AE1010" s="139"/>
      <c r="AF1010" s="139"/>
      <c r="AG1010" s="139"/>
      <c r="AH1010" s="139"/>
      <c r="AI1010" s="139"/>
      <c r="AJ1010" s="139"/>
      <c r="AK1010" s="139"/>
      <c r="AL1010" s="139"/>
      <c r="AM1010" s="139"/>
      <c r="AN1010" s="139"/>
      <c r="AO1010" s="139"/>
      <c r="AP1010" s="139"/>
      <c r="AQ1010" s="174"/>
      <c r="AR1010" s="222"/>
    </row>
    <row r="1011" spans="2:44" s="22" customFormat="1" ht="18" customHeight="1" x14ac:dyDescent="0.25">
      <c r="B1011" s="145"/>
      <c r="C1011" s="139"/>
      <c r="D1011" s="146"/>
      <c r="E1011" s="139"/>
      <c r="F1011" s="139"/>
      <c r="G1011" s="139"/>
      <c r="H1011" s="139"/>
      <c r="I1011" s="139"/>
      <c r="J1011" s="139"/>
      <c r="K1011" s="139"/>
      <c r="L1011" s="243"/>
      <c r="M1011" s="243"/>
      <c r="N1011" s="139"/>
      <c r="O1011" s="139"/>
      <c r="P1011" s="139"/>
      <c r="Q1011" s="147"/>
      <c r="R1011" s="139"/>
      <c r="S1011" s="139"/>
      <c r="T1011" s="139"/>
      <c r="U1011" s="139"/>
      <c r="V1011" s="139"/>
      <c r="W1011" s="139"/>
      <c r="X1011" s="146"/>
      <c r="Y1011" s="148"/>
      <c r="Z1011" s="145"/>
      <c r="AA1011" s="139"/>
      <c r="AB1011" s="149"/>
      <c r="AC1011" s="119"/>
      <c r="AD1011" s="139"/>
      <c r="AE1011" s="139"/>
      <c r="AF1011" s="139"/>
      <c r="AG1011" s="139"/>
      <c r="AH1011" s="139"/>
      <c r="AI1011" s="139"/>
      <c r="AJ1011" s="139"/>
      <c r="AK1011" s="139"/>
      <c r="AL1011" s="139"/>
      <c r="AM1011" s="139"/>
      <c r="AN1011" s="139"/>
      <c r="AO1011" s="139"/>
      <c r="AP1011" s="139"/>
      <c r="AQ1011" s="174"/>
      <c r="AR1011" s="222"/>
    </row>
    <row r="1012" spans="2:44" s="22" customFormat="1" ht="18" customHeight="1" x14ac:dyDescent="0.25">
      <c r="B1012" s="145"/>
      <c r="C1012" s="139"/>
      <c r="D1012" s="146"/>
      <c r="E1012" s="139"/>
      <c r="F1012" s="139"/>
      <c r="G1012" s="139"/>
      <c r="H1012" s="139"/>
      <c r="I1012" s="139"/>
      <c r="J1012" s="139"/>
      <c r="K1012" s="139"/>
      <c r="L1012" s="243"/>
      <c r="M1012" s="243"/>
      <c r="N1012" s="139"/>
      <c r="O1012" s="139"/>
      <c r="P1012" s="139"/>
      <c r="Q1012" s="147"/>
      <c r="R1012" s="139"/>
      <c r="S1012" s="139"/>
      <c r="T1012" s="139"/>
      <c r="U1012" s="139"/>
      <c r="V1012" s="139"/>
      <c r="W1012" s="139"/>
      <c r="X1012" s="146"/>
      <c r="Y1012" s="148"/>
      <c r="Z1012" s="145"/>
      <c r="AA1012" s="139"/>
      <c r="AB1012" s="149"/>
      <c r="AC1012" s="119"/>
      <c r="AD1012" s="139"/>
      <c r="AE1012" s="139"/>
      <c r="AF1012" s="139"/>
      <c r="AG1012" s="139"/>
      <c r="AH1012" s="139"/>
      <c r="AI1012" s="139"/>
      <c r="AJ1012" s="139"/>
      <c r="AK1012" s="139"/>
      <c r="AL1012" s="139"/>
      <c r="AM1012" s="139"/>
      <c r="AN1012" s="139"/>
      <c r="AO1012" s="139"/>
      <c r="AP1012" s="139"/>
      <c r="AQ1012" s="174"/>
      <c r="AR1012" s="222"/>
    </row>
    <row r="1013" spans="2:44" s="22" customFormat="1" ht="18" customHeight="1" x14ac:dyDescent="0.25">
      <c r="B1013" s="145"/>
      <c r="C1013" s="139"/>
      <c r="D1013" s="146"/>
      <c r="E1013" s="139"/>
      <c r="F1013" s="139"/>
      <c r="G1013" s="139"/>
      <c r="H1013" s="139"/>
      <c r="I1013" s="139"/>
      <c r="J1013" s="139"/>
      <c r="K1013" s="139"/>
      <c r="L1013" s="243"/>
      <c r="M1013" s="243"/>
      <c r="N1013" s="139"/>
      <c r="O1013" s="139"/>
      <c r="P1013" s="139"/>
      <c r="Q1013" s="147"/>
      <c r="R1013" s="139"/>
      <c r="S1013" s="139"/>
      <c r="T1013" s="139"/>
      <c r="U1013" s="139"/>
      <c r="V1013" s="139"/>
      <c r="W1013" s="139"/>
      <c r="X1013" s="146"/>
      <c r="Y1013" s="148"/>
      <c r="Z1013" s="145"/>
      <c r="AA1013" s="139"/>
      <c r="AB1013" s="149"/>
      <c r="AC1013" s="119"/>
      <c r="AD1013" s="139"/>
      <c r="AE1013" s="139"/>
      <c r="AF1013" s="139"/>
      <c r="AG1013" s="139"/>
      <c r="AH1013" s="139"/>
      <c r="AI1013" s="139"/>
      <c r="AJ1013" s="139"/>
      <c r="AK1013" s="139"/>
      <c r="AL1013" s="139"/>
      <c r="AM1013" s="139"/>
      <c r="AN1013" s="139"/>
      <c r="AO1013" s="139"/>
      <c r="AP1013" s="139"/>
      <c r="AQ1013" s="174"/>
      <c r="AR1013" s="222"/>
    </row>
    <row r="1014" spans="2:44" s="22" customFormat="1" ht="18" customHeight="1" x14ac:dyDescent="0.25">
      <c r="B1014" s="145"/>
      <c r="C1014" s="139"/>
      <c r="D1014" s="146"/>
      <c r="E1014" s="139"/>
      <c r="F1014" s="139"/>
      <c r="G1014" s="139"/>
      <c r="H1014" s="139"/>
      <c r="I1014" s="139"/>
      <c r="J1014" s="139"/>
      <c r="K1014" s="139"/>
      <c r="L1014" s="243"/>
      <c r="M1014" s="243"/>
      <c r="N1014" s="139"/>
      <c r="O1014" s="139"/>
      <c r="P1014" s="139"/>
      <c r="Q1014" s="147"/>
      <c r="R1014" s="139"/>
      <c r="S1014" s="139"/>
      <c r="T1014" s="139"/>
      <c r="U1014" s="139"/>
      <c r="V1014" s="139"/>
      <c r="W1014" s="139"/>
      <c r="X1014" s="146"/>
      <c r="Y1014" s="148"/>
      <c r="Z1014" s="145"/>
      <c r="AA1014" s="139"/>
      <c r="AB1014" s="149"/>
      <c r="AC1014" s="119"/>
      <c r="AD1014" s="139"/>
      <c r="AE1014" s="139"/>
      <c r="AF1014" s="139"/>
      <c r="AG1014" s="139"/>
      <c r="AH1014" s="139"/>
      <c r="AI1014" s="139"/>
      <c r="AJ1014" s="139"/>
      <c r="AK1014" s="139"/>
      <c r="AL1014" s="139"/>
      <c r="AM1014" s="139"/>
      <c r="AN1014" s="139"/>
      <c r="AO1014" s="139"/>
      <c r="AP1014" s="139"/>
      <c r="AQ1014" s="174"/>
      <c r="AR1014" s="222"/>
    </row>
    <row r="1015" spans="2:44" s="22" customFormat="1" ht="18" customHeight="1" x14ac:dyDescent="0.25">
      <c r="B1015" s="145"/>
      <c r="C1015" s="139"/>
      <c r="D1015" s="146"/>
      <c r="E1015" s="139"/>
      <c r="F1015" s="139"/>
      <c r="G1015" s="139"/>
      <c r="H1015" s="139"/>
      <c r="I1015" s="139"/>
      <c r="J1015" s="139"/>
      <c r="K1015" s="139"/>
      <c r="L1015" s="243"/>
      <c r="M1015" s="243"/>
      <c r="N1015" s="139"/>
      <c r="O1015" s="139"/>
      <c r="P1015" s="139"/>
      <c r="Q1015" s="147"/>
      <c r="R1015" s="139"/>
      <c r="S1015" s="139"/>
      <c r="T1015" s="139"/>
      <c r="U1015" s="139"/>
      <c r="V1015" s="139"/>
      <c r="W1015" s="139"/>
      <c r="X1015" s="146"/>
      <c r="Y1015" s="148"/>
      <c r="Z1015" s="145"/>
      <c r="AA1015" s="139"/>
      <c r="AB1015" s="149"/>
      <c r="AC1015" s="119"/>
      <c r="AD1015" s="139"/>
      <c r="AE1015" s="139"/>
      <c r="AF1015" s="139"/>
      <c r="AG1015" s="139"/>
      <c r="AH1015" s="139"/>
      <c r="AI1015" s="139"/>
      <c r="AJ1015" s="139"/>
      <c r="AK1015" s="139"/>
      <c r="AL1015" s="139"/>
      <c r="AM1015" s="139"/>
      <c r="AN1015" s="139"/>
      <c r="AO1015" s="139"/>
      <c r="AP1015" s="139"/>
      <c r="AQ1015" s="174"/>
      <c r="AR1015" s="222"/>
    </row>
    <row r="1016" spans="2:44" s="22" customFormat="1" ht="18" customHeight="1" x14ac:dyDescent="0.25">
      <c r="B1016" s="145"/>
      <c r="C1016" s="139"/>
      <c r="D1016" s="146"/>
      <c r="E1016" s="139"/>
      <c r="F1016" s="139"/>
      <c r="G1016" s="139"/>
      <c r="H1016" s="139"/>
      <c r="I1016" s="139"/>
      <c r="J1016" s="139"/>
      <c r="K1016" s="139"/>
      <c r="L1016" s="243"/>
      <c r="M1016" s="243"/>
      <c r="N1016" s="139"/>
      <c r="O1016" s="139"/>
      <c r="P1016" s="139"/>
      <c r="Q1016" s="147"/>
      <c r="R1016" s="139"/>
      <c r="S1016" s="139"/>
      <c r="T1016" s="139"/>
      <c r="U1016" s="139"/>
      <c r="V1016" s="139"/>
      <c r="W1016" s="139"/>
      <c r="X1016" s="146"/>
      <c r="Y1016" s="148"/>
      <c r="Z1016" s="145"/>
      <c r="AA1016" s="139"/>
      <c r="AB1016" s="149"/>
      <c r="AC1016" s="119"/>
      <c r="AD1016" s="139"/>
      <c r="AE1016" s="139"/>
      <c r="AF1016" s="139"/>
      <c r="AG1016" s="139"/>
      <c r="AH1016" s="139"/>
      <c r="AI1016" s="139"/>
      <c r="AJ1016" s="139"/>
      <c r="AK1016" s="139"/>
      <c r="AL1016" s="139"/>
      <c r="AM1016" s="139"/>
      <c r="AN1016" s="139"/>
      <c r="AO1016" s="139"/>
      <c r="AP1016" s="139"/>
      <c r="AQ1016" s="174"/>
      <c r="AR1016" s="222"/>
    </row>
    <row r="1017" spans="2:44" s="22" customFormat="1" ht="18" customHeight="1" x14ac:dyDescent="0.25">
      <c r="B1017" s="145"/>
      <c r="C1017" s="139"/>
      <c r="D1017" s="146"/>
      <c r="E1017" s="139"/>
      <c r="F1017" s="139"/>
      <c r="G1017" s="139"/>
      <c r="H1017" s="139"/>
      <c r="I1017" s="139"/>
      <c r="J1017" s="139"/>
      <c r="K1017" s="139"/>
      <c r="L1017" s="243"/>
      <c r="M1017" s="243"/>
      <c r="N1017" s="139"/>
      <c r="O1017" s="139"/>
      <c r="P1017" s="139"/>
      <c r="Q1017" s="147"/>
      <c r="R1017" s="139"/>
      <c r="S1017" s="139"/>
      <c r="T1017" s="139"/>
      <c r="U1017" s="139"/>
      <c r="V1017" s="139"/>
      <c r="W1017" s="139"/>
      <c r="X1017" s="146"/>
      <c r="Y1017" s="148"/>
      <c r="Z1017" s="145"/>
      <c r="AA1017" s="139"/>
      <c r="AB1017" s="149"/>
      <c r="AC1017" s="119"/>
      <c r="AD1017" s="139"/>
      <c r="AE1017" s="139"/>
      <c r="AF1017" s="139"/>
      <c r="AG1017" s="139"/>
      <c r="AH1017" s="139"/>
      <c r="AI1017" s="139"/>
      <c r="AJ1017" s="139"/>
      <c r="AK1017" s="139"/>
      <c r="AL1017" s="139"/>
      <c r="AM1017" s="139"/>
      <c r="AN1017" s="139"/>
      <c r="AO1017" s="139"/>
      <c r="AP1017" s="139"/>
      <c r="AQ1017" s="174"/>
      <c r="AR1017" s="222"/>
    </row>
    <row r="1018" spans="2:44" s="22" customFormat="1" ht="18" customHeight="1" x14ac:dyDescent="0.25">
      <c r="B1018" s="145"/>
      <c r="C1018" s="139"/>
      <c r="D1018" s="146"/>
      <c r="E1018" s="139"/>
      <c r="F1018" s="139"/>
      <c r="G1018" s="139"/>
      <c r="H1018" s="139"/>
      <c r="I1018" s="139"/>
      <c r="J1018" s="139"/>
      <c r="K1018" s="139"/>
      <c r="L1018" s="243"/>
      <c r="M1018" s="243"/>
      <c r="N1018" s="139"/>
      <c r="O1018" s="139"/>
      <c r="P1018" s="139"/>
      <c r="Q1018" s="147"/>
      <c r="R1018" s="139"/>
      <c r="S1018" s="139"/>
      <c r="T1018" s="139"/>
      <c r="U1018" s="139"/>
      <c r="V1018" s="139"/>
      <c r="W1018" s="139"/>
      <c r="X1018" s="146"/>
      <c r="Y1018" s="148"/>
      <c r="Z1018" s="145"/>
      <c r="AA1018" s="139"/>
      <c r="AB1018" s="149"/>
      <c r="AC1018" s="119"/>
      <c r="AD1018" s="139"/>
      <c r="AE1018" s="139"/>
      <c r="AF1018" s="139"/>
      <c r="AG1018" s="139"/>
      <c r="AH1018" s="139"/>
      <c r="AI1018" s="139"/>
      <c r="AJ1018" s="139"/>
      <c r="AK1018" s="139"/>
      <c r="AL1018" s="139"/>
      <c r="AM1018" s="139"/>
      <c r="AN1018" s="139"/>
      <c r="AO1018" s="139"/>
      <c r="AP1018" s="139"/>
      <c r="AQ1018" s="174"/>
      <c r="AR1018" s="222"/>
    </row>
    <row r="1019" spans="2:44" s="22" customFormat="1" ht="18" customHeight="1" x14ac:dyDescent="0.25">
      <c r="B1019" s="145"/>
      <c r="C1019" s="139"/>
      <c r="D1019" s="146"/>
      <c r="E1019" s="139"/>
      <c r="F1019" s="139"/>
      <c r="G1019" s="139"/>
      <c r="H1019" s="139"/>
      <c r="I1019" s="139"/>
      <c r="J1019" s="139"/>
      <c r="K1019" s="139"/>
      <c r="L1019" s="243"/>
      <c r="M1019" s="243"/>
      <c r="N1019" s="139"/>
      <c r="O1019" s="139"/>
      <c r="P1019" s="139"/>
      <c r="Q1019" s="147"/>
      <c r="R1019" s="139"/>
      <c r="S1019" s="139"/>
      <c r="T1019" s="139"/>
      <c r="U1019" s="139"/>
      <c r="V1019" s="139"/>
      <c r="W1019" s="139"/>
      <c r="X1019" s="146"/>
      <c r="Y1019" s="148"/>
      <c r="Z1019" s="145"/>
      <c r="AA1019" s="139"/>
      <c r="AB1019" s="149"/>
      <c r="AC1019" s="119"/>
      <c r="AD1019" s="139"/>
      <c r="AE1019" s="139"/>
      <c r="AF1019" s="139"/>
      <c r="AG1019" s="139"/>
      <c r="AH1019" s="139"/>
      <c r="AI1019" s="139"/>
      <c r="AJ1019" s="139"/>
      <c r="AK1019" s="139"/>
      <c r="AL1019" s="139"/>
      <c r="AM1019" s="139"/>
      <c r="AN1019" s="139"/>
      <c r="AO1019" s="139"/>
      <c r="AP1019" s="139"/>
      <c r="AQ1019" s="174"/>
      <c r="AR1019" s="222"/>
    </row>
    <row r="1020" spans="2:44" s="22" customFormat="1" ht="18" customHeight="1" x14ac:dyDescent="0.25">
      <c r="B1020" s="145"/>
      <c r="C1020" s="139"/>
      <c r="D1020" s="146"/>
      <c r="E1020" s="139"/>
      <c r="F1020" s="139"/>
      <c r="G1020" s="139"/>
      <c r="H1020" s="139"/>
      <c r="I1020" s="139"/>
      <c r="J1020" s="139"/>
      <c r="K1020" s="139"/>
      <c r="L1020" s="243"/>
      <c r="M1020" s="243"/>
      <c r="N1020" s="139"/>
      <c r="O1020" s="139"/>
      <c r="P1020" s="139"/>
      <c r="Q1020" s="147"/>
      <c r="R1020" s="139"/>
      <c r="S1020" s="139"/>
      <c r="T1020" s="139"/>
      <c r="U1020" s="139"/>
      <c r="V1020" s="139"/>
      <c r="W1020" s="139"/>
      <c r="X1020" s="146"/>
      <c r="Y1020" s="148"/>
      <c r="Z1020" s="145"/>
      <c r="AA1020" s="139"/>
      <c r="AB1020" s="149"/>
      <c r="AC1020" s="119"/>
      <c r="AD1020" s="139"/>
      <c r="AE1020" s="139"/>
      <c r="AF1020" s="139"/>
      <c r="AG1020" s="139"/>
      <c r="AH1020" s="139"/>
      <c r="AI1020" s="139"/>
      <c r="AJ1020" s="139"/>
      <c r="AK1020" s="139"/>
      <c r="AL1020" s="139"/>
      <c r="AM1020" s="139"/>
      <c r="AN1020" s="139"/>
      <c r="AO1020" s="139"/>
      <c r="AP1020" s="139"/>
      <c r="AQ1020" s="174"/>
      <c r="AR1020" s="222"/>
    </row>
    <row r="1021" spans="2:44" s="22" customFormat="1" ht="18" customHeight="1" x14ac:dyDescent="0.25">
      <c r="B1021" s="145"/>
      <c r="C1021" s="139"/>
      <c r="D1021" s="146"/>
      <c r="E1021" s="139"/>
      <c r="F1021" s="139"/>
      <c r="G1021" s="139"/>
      <c r="H1021" s="139"/>
      <c r="I1021" s="139"/>
      <c r="J1021" s="139"/>
      <c r="K1021" s="139"/>
      <c r="L1021" s="243"/>
      <c r="M1021" s="243"/>
      <c r="N1021" s="139"/>
      <c r="O1021" s="139"/>
      <c r="P1021" s="139"/>
      <c r="Q1021" s="147"/>
      <c r="R1021" s="139"/>
      <c r="S1021" s="139"/>
      <c r="T1021" s="139"/>
      <c r="U1021" s="139"/>
      <c r="V1021" s="139"/>
      <c r="W1021" s="139"/>
      <c r="X1021" s="146"/>
      <c r="Y1021" s="148"/>
      <c r="Z1021" s="145"/>
      <c r="AA1021" s="139"/>
      <c r="AB1021" s="149"/>
      <c r="AC1021" s="119"/>
      <c r="AD1021" s="139"/>
      <c r="AE1021" s="139"/>
      <c r="AF1021" s="139"/>
      <c r="AG1021" s="139"/>
      <c r="AH1021" s="139"/>
      <c r="AI1021" s="139"/>
      <c r="AJ1021" s="139"/>
      <c r="AK1021" s="139"/>
      <c r="AL1021" s="139"/>
      <c r="AM1021" s="139"/>
      <c r="AN1021" s="139"/>
      <c r="AO1021" s="139"/>
      <c r="AP1021" s="139"/>
      <c r="AQ1021" s="174"/>
      <c r="AR1021" s="222"/>
    </row>
    <row r="1022" spans="2:44" s="22" customFormat="1" ht="18" customHeight="1" x14ac:dyDescent="0.25">
      <c r="B1022" s="145"/>
      <c r="C1022" s="139"/>
      <c r="D1022" s="146"/>
      <c r="E1022" s="139"/>
      <c r="F1022" s="139"/>
      <c r="G1022" s="139"/>
      <c r="H1022" s="139"/>
      <c r="I1022" s="139"/>
      <c r="J1022" s="139"/>
      <c r="K1022" s="139"/>
      <c r="L1022" s="243"/>
      <c r="M1022" s="243"/>
      <c r="N1022" s="139"/>
      <c r="O1022" s="139"/>
      <c r="P1022" s="139"/>
      <c r="Q1022" s="147"/>
      <c r="R1022" s="139"/>
      <c r="S1022" s="139"/>
      <c r="T1022" s="139"/>
      <c r="U1022" s="139"/>
      <c r="V1022" s="139"/>
      <c r="W1022" s="139"/>
      <c r="X1022" s="146"/>
      <c r="Y1022" s="148"/>
      <c r="Z1022" s="145"/>
      <c r="AA1022" s="139"/>
      <c r="AB1022" s="149"/>
      <c r="AC1022" s="119"/>
      <c r="AD1022" s="139"/>
      <c r="AE1022" s="139"/>
      <c r="AF1022" s="139"/>
      <c r="AG1022" s="139"/>
      <c r="AH1022" s="139"/>
      <c r="AI1022" s="139"/>
      <c r="AJ1022" s="139"/>
      <c r="AK1022" s="139"/>
      <c r="AL1022" s="139"/>
      <c r="AM1022" s="139"/>
      <c r="AN1022" s="139"/>
      <c r="AO1022" s="139"/>
      <c r="AP1022" s="139"/>
      <c r="AQ1022" s="174"/>
      <c r="AR1022" s="222"/>
    </row>
    <row r="1023" spans="2:44" s="22" customFormat="1" ht="18" customHeight="1" x14ac:dyDescent="0.25">
      <c r="B1023" s="145"/>
      <c r="C1023" s="139"/>
      <c r="D1023" s="146"/>
      <c r="E1023" s="139"/>
      <c r="F1023" s="139"/>
      <c r="G1023" s="139"/>
      <c r="H1023" s="139"/>
      <c r="I1023" s="139"/>
      <c r="J1023" s="139"/>
      <c r="K1023" s="139"/>
      <c r="L1023" s="243"/>
      <c r="M1023" s="243"/>
      <c r="N1023" s="139"/>
      <c r="O1023" s="139"/>
      <c r="P1023" s="139"/>
      <c r="Q1023" s="147"/>
      <c r="R1023" s="139"/>
      <c r="S1023" s="139"/>
      <c r="T1023" s="139"/>
      <c r="U1023" s="139"/>
      <c r="V1023" s="139"/>
      <c r="W1023" s="139"/>
      <c r="X1023" s="146"/>
      <c r="Y1023" s="148"/>
      <c r="Z1023" s="145"/>
      <c r="AA1023" s="139"/>
      <c r="AB1023" s="149"/>
      <c r="AC1023" s="119"/>
      <c r="AD1023" s="139"/>
      <c r="AE1023" s="139"/>
      <c r="AF1023" s="139"/>
      <c r="AG1023" s="139"/>
      <c r="AH1023" s="139"/>
      <c r="AI1023" s="139"/>
      <c r="AJ1023" s="139"/>
      <c r="AK1023" s="139"/>
      <c r="AL1023" s="139"/>
      <c r="AM1023" s="139"/>
      <c r="AN1023" s="139"/>
      <c r="AO1023" s="139"/>
      <c r="AP1023" s="139"/>
      <c r="AQ1023" s="174"/>
      <c r="AR1023" s="222"/>
    </row>
    <row r="1024" spans="2:44" s="22" customFormat="1" ht="18" customHeight="1" x14ac:dyDescent="0.25">
      <c r="B1024" s="145"/>
      <c r="C1024" s="139"/>
      <c r="D1024" s="146"/>
      <c r="E1024" s="139"/>
      <c r="F1024" s="139"/>
      <c r="G1024" s="139"/>
      <c r="H1024" s="139"/>
      <c r="I1024" s="139"/>
      <c r="J1024" s="139"/>
      <c r="K1024" s="139"/>
      <c r="L1024" s="243"/>
      <c r="M1024" s="243"/>
      <c r="N1024" s="139"/>
      <c r="O1024" s="139"/>
      <c r="P1024" s="139"/>
      <c r="Q1024" s="147"/>
      <c r="R1024" s="139"/>
      <c r="S1024" s="139"/>
      <c r="T1024" s="139"/>
      <c r="U1024" s="139"/>
      <c r="V1024" s="139"/>
      <c r="W1024" s="139"/>
      <c r="X1024" s="146"/>
      <c r="Y1024" s="148"/>
      <c r="Z1024" s="145"/>
      <c r="AA1024" s="139"/>
      <c r="AB1024" s="149"/>
      <c r="AC1024" s="119"/>
      <c r="AD1024" s="139"/>
      <c r="AE1024" s="139"/>
      <c r="AF1024" s="139"/>
      <c r="AG1024" s="139"/>
      <c r="AH1024" s="139"/>
      <c r="AI1024" s="139"/>
      <c r="AJ1024" s="139"/>
      <c r="AK1024" s="139"/>
      <c r="AL1024" s="139"/>
      <c r="AM1024" s="139"/>
      <c r="AN1024" s="139"/>
      <c r="AO1024" s="139"/>
      <c r="AP1024" s="139"/>
      <c r="AQ1024" s="174"/>
      <c r="AR1024" s="222"/>
    </row>
    <row r="1025" spans="2:44" s="22" customFormat="1" ht="18" customHeight="1" x14ac:dyDescent="0.25">
      <c r="B1025" s="145"/>
      <c r="C1025" s="139"/>
      <c r="D1025" s="146"/>
      <c r="E1025" s="139"/>
      <c r="F1025" s="139"/>
      <c r="G1025" s="139"/>
      <c r="H1025" s="139"/>
      <c r="I1025" s="139"/>
      <c r="J1025" s="139"/>
      <c r="K1025" s="139"/>
      <c r="L1025" s="243"/>
      <c r="M1025" s="243"/>
      <c r="N1025" s="139"/>
      <c r="O1025" s="139"/>
      <c r="P1025" s="139"/>
      <c r="Q1025" s="147"/>
      <c r="R1025" s="139"/>
      <c r="S1025" s="139"/>
      <c r="T1025" s="139"/>
      <c r="U1025" s="139"/>
      <c r="V1025" s="139"/>
      <c r="W1025" s="139"/>
      <c r="X1025" s="146"/>
      <c r="Y1025" s="148"/>
      <c r="Z1025" s="145"/>
      <c r="AA1025" s="139"/>
      <c r="AB1025" s="149"/>
      <c r="AC1025" s="119"/>
      <c r="AD1025" s="139"/>
      <c r="AE1025" s="139"/>
      <c r="AF1025" s="139"/>
      <c r="AG1025" s="139"/>
      <c r="AH1025" s="139"/>
      <c r="AI1025" s="139"/>
      <c r="AJ1025" s="139"/>
      <c r="AK1025" s="139"/>
      <c r="AL1025" s="139"/>
      <c r="AM1025" s="139"/>
      <c r="AN1025" s="139"/>
      <c r="AO1025" s="139"/>
      <c r="AP1025" s="139"/>
      <c r="AQ1025" s="174"/>
      <c r="AR1025" s="222"/>
    </row>
    <row r="1026" spans="2:44" s="22" customFormat="1" ht="18" customHeight="1" x14ac:dyDescent="0.25">
      <c r="B1026" s="145"/>
      <c r="C1026" s="139"/>
      <c r="D1026" s="146"/>
      <c r="E1026" s="139"/>
      <c r="F1026" s="139"/>
      <c r="G1026" s="139"/>
      <c r="H1026" s="139"/>
      <c r="I1026" s="139"/>
      <c r="J1026" s="139"/>
      <c r="K1026" s="139"/>
      <c r="L1026" s="243"/>
      <c r="M1026" s="243"/>
      <c r="N1026" s="139"/>
      <c r="O1026" s="139"/>
      <c r="P1026" s="139"/>
      <c r="Q1026" s="147"/>
      <c r="R1026" s="139"/>
      <c r="S1026" s="139"/>
      <c r="T1026" s="139"/>
      <c r="U1026" s="139"/>
      <c r="V1026" s="139"/>
      <c r="W1026" s="139"/>
      <c r="X1026" s="146"/>
      <c r="Y1026" s="148"/>
      <c r="Z1026" s="145"/>
      <c r="AA1026" s="139"/>
      <c r="AB1026" s="149"/>
      <c r="AC1026" s="119"/>
      <c r="AD1026" s="139"/>
      <c r="AE1026" s="139"/>
      <c r="AF1026" s="139"/>
      <c r="AG1026" s="139"/>
      <c r="AH1026" s="139"/>
      <c r="AI1026" s="139"/>
      <c r="AJ1026" s="139"/>
      <c r="AK1026" s="139"/>
      <c r="AL1026" s="139"/>
      <c r="AM1026" s="139"/>
      <c r="AN1026" s="139"/>
      <c r="AO1026" s="139"/>
      <c r="AP1026" s="139"/>
      <c r="AQ1026" s="174"/>
      <c r="AR1026" s="222"/>
    </row>
    <row r="1027" spans="2:44" s="22" customFormat="1" ht="18" customHeight="1" x14ac:dyDescent="0.25">
      <c r="B1027" s="145"/>
      <c r="C1027" s="139"/>
      <c r="D1027" s="146"/>
      <c r="E1027" s="139"/>
      <c r="F1027" s="139"/>
      <c r="G1027" s="139"/>
      <c r="H1027" s="139"/>
      <c r="I1027" s="139"/>
      <c r="J1027" s="139"/>
      <c r="K1027" s="139"/>
      <c r="L1027" s="243"/>
      <c r="M1027" s="243"/>
      <c r="N1027" s="139"/>
      <c r="O1027" s="139"/>
      <c r="P1027" s="139"/>
      <c r="Q1027" s="147"/>
      <c r="R1027" s="139"/>
      <c r="S1027" s="139"/>
      <c r="T1027" s="139"/>
      <c r="U1027" s="139"/>
      <c r="V1027" s="139"/>
      <c r="W1027" s="139"/>
      <c r="X1027" s="146"/>
      <c r="Y1027" s="148"/>
      <c r="Z1027" s="145"/>
      <c r="AA1027" s="139"/>
      <c r="AB1027" s="149"/>
      <c r="AC1027" s="119"/>
      <c r="AD1027" s="139"/>
      <c r="AE1027" s="139"/>
      <c r="AF1027" s="139"/>
      <c r="AG1027" s="139"/>
      <c r="AH1027" s="139"/>
      <c r="AI1027" s="139"/>
      <c r="AJ1027" s="139"/>
      <c r="AK1027" s="139"/>
      <c r="AL1027" s="139"/>
      <c r="AM1027" s="139"/>
      <c r="AN1027" s="139"/>
      <c r="AO1027" s="139"/>
      <c r="AP1027" s="139"/>
      <c r="AQ1027" s="174"/>
      <c r="AR1027" s="222"/>
    </row>
    <row r="1028" spans="2:44" s="22" customFormat="1" ht="18" customHeight="1" x14ac:dyDescent="0.25">
      <c r="B1028" s="145"/>
      <c r="C1028" s="139"/>
      <c r="D1028" s="146"/>
      <c r="E1028" s="139"/>
      <c r="F1028" s="139"/>
      <c r="G1028" s="139"/>
      <c r="H1028" s="139"/>
      <c r="I1028" s="139"/>
      <c r="J1028" s="139"/>
      <c r="K1028" s="139"/>
      <c r="L1028" s="243"/>
      <c r="M1028" s="243"/>
      <c r="N1028" s="139"/>
      <c r="O1028" s="139"/>
      <c r="P1028" s="139"/>
      <c r="Q1028" s="147"/>
      <c r="R1028" s="139"/>
      <c r="S1028" s="139"/>
      <c r="T1028" s="139"/>
      <c r="U1028" s="139"/>
      <c r="V1028" s="139"/>
      <c r="W1028" s="139"/>
      <c r="X1028" s="146"/>
      <c r="Y1028" s="148"/>
      <c r="Z1028" s="145"/>
      <c r="AA1028" s="139"/>
      <c r="AB1028" s="149"/>
      <c r="AC1028" s="119"/>
      <c r="AD1028" s="139"/>
      <c r="AE1028" s="139"/>
      <c r="AF1028" s="139"/>
      <c r="AG1028" s="139"/>
      <c r="AH1028" s="139"/>
      <c r="AI1028" s="139"/>
      <c r="AJ1028" s="139"/>
      <c r="AK1028" s="139"/>
      <c r="AL1028" s="139"/>
      <c r="AM1028" s="139"/>
      <c r="AN1028" s="139"/>
      <c r="AO1028" s="139"/>
      <c r="AP1028" s="139"/>
      <c r="AQ1028" s="174"/>
      <c r="AR1028" s="222"/>
    </row>
    <row r="1029" spans="2:44" s="22" customFormat="1" ht="18" customHeight="1" x14ac:dyDescent="0.25">
      <c r="B1029" s="145"/>
      <c r="C1029" s="139"/>
      <c r="D1029" s="146"/>
      <c r="E1029" s="139"/>
      <c r="F1029" s="139"/>
      <c r="G1029" s="139"/>
      <c r="H1029" s="139"/>
      <c r="I1029" s="139"/>
      <c r="J1029" s="139"/>
      <c r="K1029" s="139"/>
      <c r="L1029" s="243"/>
      <c r="M1029" s="243"/>
      <c r="N1029" s="139"/>
      <c r="O1029" s="139"/>
      <c r="P1029" s="139"/>
      <c r="Q1029" s="147"/>
      <c r="R1029" s="139"/>
      <c r="S1029" s="139"/>
      <c r="T1029" s="139"/>
      <c r="U1029" s="139"/>
      <c r="V1029" s="139"/>
      <c r="W1029" s="139"/>
      <c r="X1029" s="146"/>
      <c r="Y1029" s="148"/>
      <c r="Z1029" s="145"/>
      <c r="AA1029" s="139"/>
      <c r="AB1029" s="149"/>
      <c r="AC1029" s="119"/>
      <c r="AD1029" s="139"/>
      <c r="AE1029" s="139"/>
      <c r="AF1029" s="139"/>
      <c r="AG1029" s="139"/>
      <c r="AH1029" s="139"/>
      <c r="AI1029" s="139"/>
      <c r="AJ1029" s="139"/>
      <c r="AK1029" s="139"/>
      <c r="AL1029" s="139"/>
      <c r="AM1029" s="139"/>
      <c r="AN1029" s="139"/>
      <c r="AO1029" s="139"/>
      <c r="AP1029" s="139"/>
      <c r="AQ1029" s="174"/>
      <c r="AR1029" s="222"/>
    </row>
    <row r="1030" spans="2:44" s="22" customFormat="1" ht="18" customHeight="1" x14ac:dyDescent="0.25">
      <c r="B1030" s="145"/>
      <c r="C1030" s="139"/>
      <c r="D1030" s="146"/>
      <c r="E1030" s="139"/>
      <c r="F1030" s="139"/>
      <c r="G1030" s="139"/>
      <c r="H1030" s="139"/>
      <c r="I1030" s="139"/>
      <c r="J1030" s="139"/>
      <c r="K1030" s="139"/>
      <c r="L1030" s="243"/>
      <c r="M1030" s="243"/>
      <c r="N1030" s="139"/>
      <c r="O1030" s="139"/>
      <c r="P1030" s="139"/>
      <c r="Q1030" s="147"/>
      <c r="R1030" s="139"/>
      <c r="S1030" s="139"/>
      <c r="T1030" s="139"/>
      <c r="U1030" s="139"/>
      <c r="V1030" s="139"/>
      <c r="W1030" s="139"/>
      <c r="X1030" s="146"/>
      <c r="Y1030" s="148"/>
      <c r="Z1030" s="145"/>
      <c r="AA1030" s="139"/>
      <c r="AB1030" s="149"/>
      <c r="AC1030" s="119"/>
      <c r="AD1030" s="139"/>
      <c r="AE1030" s="139"/>
      <c r="AF1030" s="139"/>
      <c r="AG1030" s="139"/>
      <c r="AH1030" s="139"/>
      <c r="AI1030" s="139"/>
      <c r="AJ1030" s="139"/>
      <c r="AK1030" s="139"/>
      <c r="AL1030" s="139"/>
      <c r="AM1030" s="139"/>
      <c r="AN1030" s="139"/>
      <c r="AO1030" s="139"/>
      <c r="AP1030" s="139"/>
      <c r="AQ1030" s="174"/>
      <c r="AR1030" s="222"/>
    </row>
    <row r="1031" spans="2:44" s="22" customFormat="1" ht="18" customHeight="1" x14ac:dyDescent="0.25">
      <c r="B1031" s="145"/>
      <c r="C1031" s="139"/>
      <c r="D1031" s="146"/>
      <c r="E1031" s="139"/>
      <c r="F1031" s="139"/>
      <c r="G1031" s="139"/>
      <c r="H1031" s="139"/>
      <c r="I1031" s="139"/>
      <c r="J1031" s="139"/>
      <c r="K1031" s="139"/>
      <c r="L1031" s="243"/>
      <c r="M1031" s="243"/>
      <c r="N1031" s="139"/>
      <c r="O1031" s="139"/>
      <c r="P1031" s="139"/>
      <c r="Q1031" s="147"/>
      <c r="R1031" s="139"/>
      <c r="S1031" s="139"/>
      <c r="T1031" s="139"/>
      <c r="U1031" s="139"/>
      <c r="V1031" s="139"/>
      <c r="W1031" s="139"/>
      <c r="X1031" s="146"/>
      <c r="Y1031" s="148"/>
      <c r="Z1031" s="145"/>
      <c r="AA1031" s="139"/>
      <c r="AB1031" s="149"/>
      <c r="AC1031" s="119"/>
      <c r="AD1031" s="139"/>
      <c r="AE1031" s="139"/>
      <c r="AF1031" s="139"/>
      <c r="AG1031" s="139"/>
      <c r="AH1031" s="139"/>
      <c r="AI1031" s="139"/>
      <c r="AJ1031" s="139"/>
      <c r="AK1031" s="139"/>
      <c r="AL1031" s="139"/>
      <c r="AM1031" s="139"/>
      <c r="AN1031" s="139"/>
      <c r="AO1031" s="139"/>
      <c r="AP1031" s="139"/>
      <c r="AQ1031" s="174"/>
      <c r="AR1031" s="222"/>
    </row>
    <row r="1032" spans="2:44" s="22" customFormat="1" ht="18" customHeight="1" x14ac:dyDescent="0.25">
      <c r="B1032" s="145"/>
      <c r="C1032" s="139"/>
      <c r="D1032" s="146"/>
      <c r="E1032" s="139"/>
      <c r="F1032" s="139"/>
      <c r="G1032" s="139"/>
      <c r="H1032" s="139"/>
      <c r="I1032" s="139"/>
      <c r="J1032" s="139"/>
      <c r="K1032" s="139"/>
      <c r="L1032" s="243"/>
      <c r="M1032" s="243"/>
      <c r="N1032" s="139"/>
      <c r="O1032" s="139"/>
      <c r="P1032" s="139"/>
      <c r="Q1032" s="147"/>
      <c r="R1032" s="139"/>
      <c r="S1032" s="139"/>
      <c r="T1032" s="139"/>
      <c r="U1032" s="139"/>
      <c r="V1032" s="139"/>
      <c r="W1032" s="139"/>
      <c r="X1032" s="146"/>
      <c r="Y1032" s="148"/>
      <c r="Z1032" s="145"/>
      <c r="AA1032" s="139"/>
      <c r="AB1032" s="149"/>
      <c r="AC1032" s="119"/>
      <c r="AD1032" s="139"/>
      <c r="AE1032" s="139"/>
      <c r="AF1032" s="139"/>
      <c r="AG1032" s="139"/>
      <c r="AH1032" s="139"/>
      <c r="AI1032" s="139"/>
      <c r="AJ1032" s="139"/>
      <c r="AK1032" s="139"/>
      <c r="AL1032" s="139"/>
      <c r="AM1032" s="139"/>
      <c r="AN1032" s="139"/>
      <c r="AO1032" s="139"/>
      <c r="AP1032" s="139"/>
      <c r="AQ1032" s="174"/>
      <c r="AR1032" s="222"/>
    </row>
    <row r="1033" spans="2:44" s="22" customFormat="1" ht="18" customHeight="1" x14ac:dyDescent="0.25">
      <c r="B1033" s="145"/>
      <c r="C1033" s="139"/>
      <c r="D1033" s="146"/>
      <c r="E1033" s="139"/>
      <c r="F1033" s="139"/>
      <c r="G1033" s="139"/>
      <c r="H1033" s="139"/>
      <c r="I1033" s="139"/>
      <c r="J1033" s="139"/>
      <c r="K1033" s="139"/>
      <c r="L1033" s="243"/>
      <c r="M1033" s="243"/>
      <c r="N1033" s="139"/>
      <c r="O1033" s="139"/>
      <c r="P1033" s="139"/>
      <c r="Q1033" s="147"/>
      <c r="R1033" s="139"/>
      <c r="S1033" s="139"/>
      <c r="T1033" s="139"/>
      <c r="U1033" s="139"/>
      <c r="V1033" s="139"/>
      <c r="W1033" s="139"/>
      <c r="X1033" s="146"/>
      <c r="Y1033" s="148"/>
      <c r="Z1033" s="145"/>
      <c r="AA1033" s="139"/>
      <c r="AB1033" s="149"/>
      <c r="AC1033" s="119"/>
      <c r="AD1033" s="139"/>
      <c r="AE1033" s="139"/>
      <c r="AF1033" s="139"/>
      <c r="AG1033" s="139"/>
      <c r="AH1033" s="139"/>
      <c r="AI1033" s="139"/>
      <c r="AJ1033" s="139"/>
      <c r="AK1033" s="139"/>
      <c r="AL1033" s="139"/>
      <c r="AM1033" s="139"/>
      <c r="AN1033" s="139"/>
      <c r="AO1033" s="139"/>
      <c r="AP1033" s="139"/>
      <c r="AQ1033" s="174"/>
      <c r="AR1033" s="222"/>
    </row>
    <row r="1034" spans="2:44" s="22" customFormat="1" ht="18" customHeight="1" x14ac:dyDescent="0.25">
      <c r="B1034" s="145"/>
      <c r="C1034" s="139"/>
      <c r="D1034" s="146"/>
      <c r="E1034" s="139"/>
      <c r="F1034" s="139"/>
      <c r="G1034" s="139"/>
      <c r="H1034" s="139"/>
      <c r="I1034" s="139"/>
      <c r="J1034" s="139"/>
      <c r="K1034" s="139"/>
      <c r="L1034" s="243"/>
      <c r="M1034" s="243"/>
      <c r="N1034" s="139"/>
      <c r="O1034" s="139"/>
      <c r="P1034" s="139"/>
      <c r="Q1034" s="147"/>
      <c r="R1034" s="139"/>
      <c r="S1034" s="139"/>
      <c r="T1034" s="139"/>
      <c r="U1034" s="139"/>
      <c r="V1034" s="139"/>
      <c r="W1034" s="139"/>
      <c r="X1034" s="146"/>
      <c r="Y1034" s="148"/>
      <c r="Z1034" s="145"/>
      <c r="AA1034" s="139"/>
      <c r="AB1034" s="149"/>
      <c r="AC1034" s="119"/>
      <c r="AD1034" s="139"/>
      <c r="AE1034" s="139"/>
      <c r="AF1034" s="139"/>
      <c r="AG1034" s="139"/>
      <c r="AH1034" s="139"/>
      <c r="AI1034" s="139"/>
      <c r="AJ1034" s="139"/>
      <c r="AK1034" s="139"/>
      <c r="AL1034" s="139"/>
      <c r="AM1034" s="139"/>
      <c r="AN1034" s="139"/>
      <c r="AO1034" s="139"/>
      <c r="AP1034" s="139"/>
      <c r="AQ1034" s="174"/>
      <c r="AR1034" s="222"/>
    </row>
    <row r="1035" spans="2:44" s="22" customFormat="1" ht="18" customHeight="1" x14ac:dyDescent="0.25">
      <c r="B1035" s="145"/>
      <c r="C1035" s="139"/>
      <c r="D1035" s="146"/>
      <c r="E1035" s="139"/>
      <c r="F1035" s="139"/>
      <c r="G1035" s="139"/>
      <c r="H1035" s="139"/>
      <c r="I1035" s="139"/>
      <c r="J1035" s="139"/>
      <c r="K1035" s="139"/>
      <c r="L1035" s="243"/>
      <c r="M1035" s="243"/>
      <c r="N1035" s="139"/>
      <c r="O1035" s="139"/>
      <c r="P1035" s="139"/>
      <c r="Q1035" s="147"/>
      <c r="R1035" s="139"/>
      <c r="S1035" s="139"/>
      <c r="T1035" s="139"/>
      <c r="U1035" s="139"/>
      <c r="V1035" s="139"/>
      <c r="W1035" s="139"/>
      <c r="X1035" s="146"/>
      <c r="Y1035" s="148"/>
      <c r="Z1035" s="145"/>
      <c r="AA1035" s="139"/>
      <c r="AB1035" s="149"/>
      <c r="AC1035" s="119"/>
      <c r="AD1035" s="139"/>
      <c r="AE1035" s="139"/>
      <c r="AF1035" s="139"/>
      <c r="AG1035" s="139"/>
      <c r="AH1035" s="139"/>
      <c r="AI1035" s="139"/>
      <c r="AJ1035" s="139"/>
      <c r="AK1035" s="139"/>
      <c r="AL1035" s="139"/>
      <c r="AM1035" s="139"/>
      <c r="AN1035" s="139"/>
      <c r="AO1035" s="139"/>
      <c r="AP1035" s="139"/>
      <c r="AQ1035" s="174"/>
      <c r="AR1035" s="222"/>
    </row>
    <row r="1036" spans="2:44" s="22" customFormat="1" ht="18" customHeight="1" x14ac:dyDescent="0.25">
      <c r="B1036" s="145"/>
      <c r="C1036" s="139"/>
      <c r="D1036" s="146"/>
      <c r="E1036" s="139"/>
      <c r="F1036" s="139"/>
      <c r="G1036" s="139"/>
      <c r="H1036" s="139"/>
      <c r="I1036" s="139"/>
      <c r="J1036" s="139"/>
      <c r="K1036" s="139"/>
      <c r="L1036" s="243"/>
      <c r="M1036" s="243"/>
      <c r="N1036" s="139"/>
      <c r="O1036" s="139"/>
      <c r="P1036" s="139"/>
      <c r="Q1036" s="147"/>
      <c r="R1036" s="139"/>
      <c r="S1036" s="139"/>
      <c r="T1036" s="139"/>
      <c r="U1036" s="139"/>
      <c r="V1036" s="139"/>
      <c r="W1036" s="139"/>
      <c r="X1036" s="146"/>
      <c r="Y1036" s="148"/>
      <c r="Z1036" s="145"/>
      <c r="AA1036" s="139"/>
      <c r="AB1036" s="149"/>
      <c r="AC1036" s="119"/>
      <c r="AD1036" s="139"/>
      <c r="AE1036" s="139"/>
      <c r="AF1036" s="139"/>
      <c r="AG1036" s="139"/>
      <c r="AH1036" s="139"/>
      <c r="AI1036" s="139"/>
      <c r="AJ1036" s="139"/>
      <c r="AK1036" s="139"/>
      <c r="AL1036" s="139"/>
      <c r="AM1036" s="139"/>
      <c r="AN1036" s="139"/>
      <c r="AO1036" s="139"/>
      <c r="AP1036" s="139"/>
      <c r="AQ1036" s="174"/>
      <c r="AR1036" s="222"/>
    </row>
    <row r="1037" spans="2:44" s="22" customFormat="1" ht="18" customHeight="1" x14ac:dyDescent="0.25">
      <c r="B1037" s="145"/>
      <c r="C1037" s="139"/>
      <c r="D1037" s="146"/>
      <c r="E1037" s="139"/>
      <c r="F1037" s="139"/>
      <c r="G1037" s="139"/>
      <c r="H1037" s="139"/>
      <c r="I1037" s="139"/>
      <c r="J1037" s="139"/>
      <c r="K1037" s="139"/>
      <c r="L1037" s="243"/>
      <c r="M1037" s="243"/>
      <c r="N1037" s="139"/>
      <c r="O1037" s="139"/>
      <c r="P1037" s="139"/>
      <c r="Q1037" s="147"/>
      <c r="R1037" s="139"/>
      <c r="S1037" s="139"/>
      <c r="T1037" s="139"/>
      <c r="U1037" s="139"/>
      <c r="V1037" s="139"/>
      <c r="W1037" s="139"/>
      <c r="X1037" s="146"/>
      <c r="Y1037" s="148"/>
      <c r="Z1037" s="145"/>
      <c r="AA1037" s="139"/>
      <c r="AB1037" s="149"/>
      <c r="AC1037" s="119"/>
      <c r="AD1037" s="139"/>
      <c r="AE1037" s="139"/>
      <c r="AF1037" s="139"/>
      <c r="AG1037" s="139"/>
      <c r="AH1037" s="139"/>
      <c r="AI1037" s="139"/>
      <c r="AJ1037" s="139"/>
      <c r="AK1037" s="139"/>
      <c r="AL1037" s="139"/>
      <c r="AM1037" s="139"/>
      <c r="AN1037" s="139"/>
      <c r="AO1037" s="139"/>
      <c r="AP1037" s="139"/>
      <c r="AQ1037" s="174"/>
      <c r="AR1037" s="222"/>
    </row>
    <row r="1038" spans="2:44" s="22" customFormat="1" ht="18" customHeight="1" x14ac:dyDescent="0.25">
      <c r="B1038" s="145"/>
      <c r="C1038" s="139"/>
      <c r="D1038" s="146"/>
      <c r="E1038" s="139"/>
      <c r="F1038" s="139"/>
      <c r="G1038" s="139"/>
      <c r="H1038" s="139"/>
      <c r="I1038" s="139"/>
      <c r="J1038" s="139"/>
      <c r="K1038" s="139"/>
      <c r="L1038" s="243"/>
      <c r="M1038" s="243"/>
      <c r="N1038" s="139"/>
      <c r="O1038" s="139"/>
      <c r="P1038" s="139"/>
      <c r="Q1038" s="147"/>
      <c r="R1038" s="139"/>
      <c r="S1038" s="139"/>
      <c r="T1038" s="139"/>
      <c r="U1038" s="139"/>
      <c r="V1038" s="139"/>
      <c r="W1038" s="139"/>
      <c r="X1038" s="146"/>
      <c r="Y1038" s="148"/>
      <c r="Z1038" s="145"/>
      <c r="AA1038" s="139"/>
      <c r="AB1038" s="149"/>
      <c r="AC1038" s="119"/>
      <c r="AD1038" s="139"/>
      <c r="AE1038" s="139"/>
      <c r="AF1038" s="139"/>
      <c r="AG1038" s="139"/>
      <c r="AH1038" s="139"/>
      <c r="AI1038" s="139"/>
      <c r="AJ1038" s="139"/>
      <c r="AK1038" s="139"/>
      <c r="AL1038" s="139"/>
      <c r="AM1038" s="139"/>
      <c r="AN1038" s="139"/>
      <c r="AO1038" s="139"/>
      <c r="AP1038" s="139"/>
      <c r="AQ1038" s="174"/>
      <c r="AR1038" s="222"/>
    </row>
    <row r="1039" spans="2:44" s="22" customFormat="1" ht="18" customHeight="1" x14ac:dyDescent="0.25">
      <c r="B1039" s="145"/>
      <c r="C1039" s="139"/>
      <c r="D1039" s="146"/>
      <c r="E1039" s="139"/>
      <c r="F1039" s="139"/>
      <c r="G1039" s="139"/>
      <c r="H1039" s="139"/>
      <c r="I1039" s="139"/>
      <c r="J1039" s="139"/>
      <c r="K1039" s="139"/>
      <c r="L1039" s="243"/>
      <c r="M1039" s="243"/>
      <c r="N1039" s="139"/>
      <c r="O1039" s="139"/>
      <c r="P1039" s="139"/>
      <c r="Q1039" s="147"/>
      <c r="R1039" s="139"/>
      <c r="S1039" s="139"/>
      <c r="T1039" s="139"/>
      <c r="U1039" s="139"/>
      <c r="V1039" s="139"/>
      <c r="W1039" s="139"/>
      <c r="X1039" s="146"/>
      <c r="Y1039" s="148"/>
      <c r="Z1039" s="145"/>
      <c r="AA1039" s="139"/>
      <c r="AB1039" s="149"/>
      <c r="AC1039" s="119"/>
      <c r="AD1039" s="139"/>
      <c r="AE1039" s="139"/>
      <c r="AF1039" s="139"/>
      <c r="AG1039" s="139"/>
      <c r="AH1039" s="139"/>
      <c r="AI1039" s="139"/>
      <c r="AJ1039" s="139"/>
      <c r="AK1039" s="139"/>
      <c r="AL1039" s="139"/>
      <c r="AM1039" s="139"/>
      <c r="AN1039" s="139"/>
      <c r="AO1039" s="139"/>
      <c r="AP1039" s="139"/>
      <c r="AQ1039" s="174"/>
      <c r="AR1039" s="222"/>
    </row>
    <row r="1040" spans="2:44" s="22" customFormat="1" ht="18" customHeight="1" x14ac:dyDescent="0.25">
      <c r="B1040" s="145"/>
      <c r="C1040" s="139"/>
      <c r="D1040" s="146"/>
      <c r="E1040" s="139"/>
      <c r="F1040" s="139"/>
      <c r="G1040" s="139"/>
      <c r="H1040" s="139"/>
      <c r="I1040" s="139"/>
      <c r="J1040" s="139"/>
      <c r="K1040" s="139"/>
      <c r="L1040" s="243"/>
      <c r="M1040" s="243"/>
      <c r="N1040" s="139"/>
      <c r="O1040" s="139"/>
      <c r="P1040" s="139"/>
      <c r="Q1040" s="147"/>
      <c r="R1040" s="139"/>
      <c r="S1040" s="139"/>
      <c r="T1040" s="139"/>
      <c r="U1040" s="139"/>
      <c r="V1040" s="139"/>
      <c r="W1040" s="139"/>
      <c r="X1040" s="146"/>
      <c r="Y1040" s="148"/>
      <c r="Z1040" s="145"/>
      <c r="AA1040" s="139"/>
      <c r="AB1040" s="149"/>
      <c r="AC1040" s="119"/>
      <c r="AD1040" s="139"/>
      <c r="AE1040" s="139"/>
      <c r="AF1040" s="139"/>
      <c r="AG1040" s="139"/>
      <c r="AH1040" s="139"/>
      <c r="AI1040" s="139"/>
      <c r="AJ1040" s="139"/>
      <c r="AK1040" s="139"/>
      <c r="AL1040" s="139"/>
      <c r="AM1040" s="139"/>
      <c r="AN1040" s="139"/>
      <c r="AO1040" s="139"/>
      <c r="AP1040" s="139"/>
      <c r="AQ1040" s="174"/>
      <c r="AR1040" s="222"/>
    </row>
    <row r="1041" spans="2:44" s="22" customFormat="1" ht="18" customHeight="1" x14ac:dyDescent="0.25">
      <c r="B1041" s="145"/>
      <c r="C1041" s="139"/>
      <c r="D1041" s="146"/>
      <c r="E1041" s="139"/>
      <c r="F1041" s="139"/>
      <c r="G1041" s="139"/>
      <c r="H1041" s="139"/>
      <c r="I1041" s="139"/>
      <c r="J1041" s="139"/>
      <c r="K1041" s="139"/>
      <c r="L1041" s="243"/>
      <c r="M1041" s="243"/>
      <c r="N1041" s="139"/>
      <c r="O1041" s="139"/>
      <c r="P1041" s="139"/>
      <c r="Q1041" s="147"/>
      <c r="R1041" s="139"/>
      <c r="S1041" s="139"/>
      <c r="T1041" s="139"/>
      <c r="U1041" s="139"/>
      <c r="V1041" s="139"/>
      <c r="W1041" s="139"/>
      <c r="X1041" s="146"/>
      <c r="Y1041" s="148"/>
      <c r="Z1041" s="145"/>
      <c r="AA1041" s="139"/>
      <c r="AB1041" s="149"/>
      <c r="AC1041" s="119"/>
      <c r="AD1041" s="139"/>
      <c r="AE1041" s="139"/>
      <c r="AF1041" s="139"/>
      <c r="AG1041" s="139"/>
      <c r="AH1041" s="139"/>
      <c r="AI1041" s="139"/>
      <c r="AJ1041" s="139"/>
      <c r="AK1041" s="139"/>
      <c r="AL1041" s="139"/>
      <c r="AM1041" s="139"/>
      <c r="AN1041" s="139"/>
      <c r="AO1041" s="139"/>
      <c r="AP1041" s="139"/>
      <c r="AQ1041" s="174"/>
      <c r="AR1041" s="222"/>
    </row>
    <row r="1042" spans="2:44" s="22" customFormat="1" ht="18" customHeight="1" x14ac:dyDescent="0.25">
      <c r="B1042" s="145"/>
      <c r="C1042" s="139"/>
      <c r="D1042" s="146"/>
      <c r="E1042" s="139"/>
      <c r="F1042" s="139"/>
      <c r="G1042" s="139"/>
      <c r="H1042" s="139"/>
      <c r="I1042" s="139"/>
      <c r="J1042" s="139"/>
      <c r="K1042" s="139"/>
      <c r="L1042" s="243"/>
      <c r="M1042" s="243"/>
      <c r="N1042" s="139"/>
      <c r="O1042" s="139"/>
      <c r="P1042" s="139"/>
      <c r="Q1042" s="147"/>
      <c r="R1042" s="139"/>
      <c r="S1042" s="139"/>
      <c r="T1042" s="139"/>
      <c r="U1042" s="139"/>
      <c r="V1042" s="139"/>
      <c r="W1042" s="139"/>
      <c r="X1042" s="146"/>
      <c r="Y1042" s="148"/>
      <c r="Z1042" s="145"/>
      <c r="AA1042" s="139"/>
      <c r="AB1042" s="149"/>
      <c r="AC1042" s="119"/>
      <c r="AD1042" s="139"/>
      <c r="AE1042" s="139"/>
      <c r="AF1042" s="139"/>
      <c r="AG1042" s="139"/>
      <c r="AH1042" s="139"/>
      <c r="AI1042" s="139"/>
      <c r="AJ1042" s="139"/>
      <c r="AK1042" s="139"/>
      <c r="AL1042" s="139"/>
      <c r="AM1042" s="139"/>
      <c r="AN1042" s="139"/>
      <c r="AO1042" s="139"/>
      <c r="AP1042" s="139"/>
      <c r="AQ1042" s="174"/>
      <c r="AR1042" s="222"/>
    </row>
    <row r="1043" spans="2:44" s="22" customFormat="1" ht="18" customHeight="1" x14ac:dyDescent="0.25">
      <c r="B1043" s="145"/>
      <c r="C1043" s="139"/>
      <c r="D1043" s="146"/>
      <c r="E1043" s="139"/>
      <c r="F1043" s="139"/>
      <c r="G1043" s="139"/>
      <c r="H1043" s="139"/>
      <c r="I1043" s="139"/>
      <c r="J1043" s="139"/>
      <c r="K1043" s="139"/>
      <c r="L1043" s="243"/>
      <c r="M1043" s="243"/>
      <c r="N1043" s="139"/>
      <c r="O1043" s="139"/>
      <c r="P1043" s="139"/>
      <c r="Q1043" s="147"/>
      <c r="R1043" s="139"/>
      <c r="S1043" s="139"/>
      <c r="T1043" s="139"/>
      <c r="U1043" s="139"/>
      <c r="V1043" s="139"/>
      <c r="W1043" s="139"/>
      <c r="X1043" s="146"/>
      <c r="Y1043" s="148"/>
      <c r="Z1043" s="145"/>
      <c r="AA1043" s="139"/>
      <c r="AB1043" s="149"/>
      <c r="AC1043" s="119"/>
      <c r="AD1043" s="139"/>
      <c r="AE1043" s="139"/>
      <c r="AF1043" s="139"/>
      <c r="AG1043" s="139"/>
      <c r="AH1043" s="139"/>
      <c r="AI1043" s="139"/>
      <c r="AJ1043" s="139"/>
      <c r="AK1043" s="139"/>
      <c r="AL1043" s="139"/>
      <c r="AM1043" s="139"/>
      <c r="AN1043" s="139"/>
      <c r="AO1043" s="139"/>
      <c r="AP1043" s="139"/>
      <c r="AQ1043" s="174"/>
      <c r="AR1043" s="222"/>
    </row>
    <row r="1044" spans="2:44" s="22" customFormat="1" ht="18" customHeight="1" x14ac:dyDescent="0.25">
      <c r="B1044" s="145"/>
      <c r="C1044" s="139"/>
      <c r="D1044" s="146"/>
      <c r="E1044" s="139"/>
      <c r="F1044" s="139"/>
      <c r="G1044" s="139"/>
      <c r="H1044" s="139"/>
      <c r="I1044" s="139"/>
      <c r="J1044" s="139"/>
      <c r="K1044" s="139"/>
      <c r="L1044" s="243"/>
      <c r="M1044" s="243"/>
      <c r="N1044" s="139"/>
      <c r="O1044" s="139"/>
      <c r="P1044" s="139"/>
      <c r="Q1044" s="147"/>
      <c r="R1044" s="139"/>
      <c r="S1044" s="139"/>
      <c r="T1044" s="139"/>
      <c r="U1044" s="139"/>
      <c r="V1044" s="139"/>
      <c r="W1044" s="139"/>
      <c r="X1044" s="146"/>
      <c r="Y1044" s="148"/>
      <c r="Z1044" s="145"/>
      <c r="AA1044" s="139"/>
      <c r="AB1044" s="149"/>
      <c r="AC1044" s="119"/>
      <c r="AD1044" s="139"/>
      <c r="AE1044" s="139"/>
      <c r="AF1044" s="139"/>
      <c r="AG1044" s="139"/>
      <c r="AH1044" s="139"/>
      <c r="AI1044" s="139"/>
      <c r="AJ1044" s="139"/>
      <c r="AK1044" s="139"/>
      <c r="AL1044" s="139"/>
      <c r="AM1044" s="139"/>
      <c r="AN1044" s="139"/>
      <c r="AO1044" s="139"/>
      <c r="AP1044" s="139"/>
      <c r="AQ1044" s="174"/>
      <c r="AR1044" s="222"/>
    </row>
    <row r="1045" spans="2:44" s="22" customFormat="1" ht="18" customHeight="1" x14ac:dyDescent="0.25">
      <c r="B1045" s="145"/>
      <c r="C1045" s="139"/>
      <c r="D1045" s="146"/>
      <c r="E1045" s="139"/>
      <c r="F1045" s="139"/>
      <c r="G1045" s="139"/>
      <c r="H1045" s="139"/>
      <c r="I1045" s="139"/>
      <c r="J1045" s="139"/>
      <c r="K1045" s="139"/>
      <c r="L1045" s="243"/>
      <c r="M1045" s="243"/>
      <c r="N1045" s="139"/>
      <c r="O1045" s="139"/>
      <c r="P1045" s="139"/>
      <c r="Q1045" s="147"/>
      <c r="R1045" s="139"/>
      <c r="S1045" s="139"/>
      <c r="T1045" s="139"/>
      <c r="U1045" s="139"/>
      <c r="V1045" s="139"/>
      <c r="W1045" s="139"/>
      <c r="X1045" s="146"/>
      <c r="Y1045" s="148"/>
      <c r="Z1045" s="145"/>
      <c r="AA1045" s="139"/>
      <c r="AB1045" s="149"/>
      <c r="AC1045" s="119"/>
      <c r="AD1045" s="139"/>
      <c r="AE1045" s="139"/>
      <c r="AF1045" s="139"/>
      <c r="AG1045" s="139"/>
      <c r="AH1045" s="139"/>
      <c r="AI1045" s="139"/>
      <c r="AJ1045" s="139"/>
      <c r="AK1045" s="139"/>
      <c r="AL1045" s="139"/>
      <c r="AM1045" s="139"/>
      <c r="AN1045" s="139"/>
      <c r="AO1045" s="139"/>
      <c r="AP1045" s="139"/>
      <c r="AQ1045" s="174"/>
      <c r="AR1045" s="222"/>
    </row>
    <row r="1046" spans="2:44" s="22" customFormat="1" ht="18" customHeight="1" x14ac:dyDescent="0.25">
      <c r="B1046" s="145"/>
      <c r="C1046" s="139"/>
      <c r="D1046" s="146"/>
      <c r="E1046" s="139"/>
      <c r="F1046" s="139"/>
      <c r="G1046" s="139"/>
      <c r="H1046" s="139"/>
      <c r="I1046" s="139"/>
      <c r="J1046" s="139"/>
      <c r="K1046" s="139"/>
      <c r="L1046" s="243"/>
      <c r="M1046" s="243"/>
      <c r="N1046" s="139"/>
      <c r="O1046" s="139"/>
      <c r="P1046" s="139"/>
      <c r="Q1046" s="147"/>
      <c r="R1046" s="139"/>
      <c r="S1046" s="139"/>
      <c r="T1046" s="139"/>
      <c r="U1046" s="139"/>
      <c r="V1046" s="139"/>
      <c r="W1046" s="139"/>
      <c r="X1046" s="146"/>
      <c r="Y1046" s="148"/>
      <c r="Z1046" s="145"/>
      <c r="AA1046" s="139"/>
      <c r="AB1046" s="149"/>
      <c r="AC1046" s="119"/>
      <c r="AD1046" s="139"/>
      <c r="AE1046" s="139"/>
      <c r="AF1046" s="139"/>
      <c r="AG1046" s="139"/>
      <c r="AH1046" s="139"/>
      <c r="AI1046" s="139"/>
      <c r="AJ1046" s="139"/>
      <c r="AK1046" s="139"/>
      <c r="AL1046" s="139"/>
      <c r="AM1046" s="139"/>
      <c r="AN1046" s="139"/>
      <c r="AO1046" s="139"/>
      <c r="AP1046" s="139"/>
      <c r="AQ1046" s="174"/>
      <c r="AR1046" s="222"/>
    </row>
    <row r="1047" spans="2:44" s="22" customFormat="1" ht="18" customHeight="1" x14ac:dyDescent="0.25">
      <c r="B1047" s="145"/>
      <c r="C1047" s="139"/>
      <c r="D1047" s="146"/>
      <c r="E1047" s="139"/>
      <c r="F1047" s="139"/>
      <c r="G1047" s="139"/>
      <c r="H1047" s="139"/>
      <c r="I1047" s="139"/>
      <c r="J1047" s="139"/>
      <c r="K1047" s="139"/>
      <c r="L1047" s="243"/>
      <c r="M1047" s="243"/>
      <c r="N1047" s="139"/>
      <c r="O1047" s="139"/>
      <c r="P1047" s="139"/>
      <c r="Q1047" s="147"/>
      <c r="R1047" s="139"/>
      <c r="S1047" s="139"/>
      <c r="T1047" s="139"/>
      <c r="U1047" s="139"/>
      <c r="V1047" s="139"/>
      <c r="W1047" s="139"/>
      <c r="X1047" s="146"/>
      <c r="Y1047" s="148"/>
      <c r="Z1047" s="145"/>
      <c r="AA1047" s="139"/>
      <c r="AB1047" s="149"/>
      <c r="AC1047" s="119"/>
      <c r="AD1047" s="139"/>
      <c r="AE1047" s="139"/>
      <c r="AF1047" s="139"/>
      <c r="AG1047" s="139"/>
      <c r="AH1047" s="139"/>
      <c r="AI1047" s="139"/>
      <c r="AJ1047" s="139"/>
      <c r="AK1047" s="139"/>
      <c r="AL1047" s="139"/>
      <c r="AM1047" s="139"/>
      <c r="AN1047" s="139"/>
      <c r="AO1047" s="139"/>
      <c r="AP1047" s="139"/>
      <c r="AQ1047" s="174"/>
      <c r="AR1047" s="222"/>
    </row>
    <row r="1048" spans="2:44" s="22" customFormat="1" ht="18" customHeight="1" x14ac:dyDescent="0.25">
      <c r="B1048" s="145"/>
      <c r="C1048" s="139"/>
      <c r="D1048" s="146"/>
      <c r="E1048" s="139"/>
      <c r="F1048" s="139"/>
      <c r="G1048" s="139"/>
      <c r="H1048" s="139"/>
      <c r="I1048" s="139"/>
      <c r="J1048" s="139"/>
      <c r="K1048" s="139"/>
      <c r="L1048" s="243"/>
      <c r="M1048" s="243"/>
      <c r="N1048" s="139"/>
      <c r="O1048" s="139"/>
      <c r="P1048" s="139"/>
      <c r="Q1048" s="147"/>
      <c r="R1048" s="139"/>
      <c r="S1048" s="139"/>
      <c r="T1048" s="139"/>
      <c r="U1048" s="139"/>
      <c r="V1048" s="139"/>
      <c r="W1048" s="139"/>
      <c r="X1048" s="146"/>
      <c r="Y1048" s="148"/>
      <c r="Z1048" s="145"/>
      <c r="AA1048" s="139"/>
      <c r="AB1048" s="149"/>
      <c r="AC1048" s="119"/>
      <c r="AD1048" s="139"/>
      <c r="AE1048" s="139"/>
      <c r="AF1048" s="139"/>
      <c r="AG1048" s="139"/>
      <c r="AH1048" s="139"/>
      <c r="AI1048" s="139"/>
      <c r="AJ1048" s="139"/>
      <c r="AK1048" s="139"/>
      <c r="AL1048" s="139"/>
      <c r="AM1048" s="139"/>
      <c r="AN1048" s="139"/>
      <c r="AO1048" s="139"/>
      <c r="AP1048" s="139"/>
      <c r="AQ1048" s="174"/>
      <c r="AR1048" s="222"/>
    </row>
    <row r="1049" spans="2:44" s="22" customFormat="1" ht="18" customHeight="1" x14ac:dyDescent="0.25">
      <c r="B1049" s="145"/>
      <c r="C1049" s="139"/>
      <c r="D1049" s="146"/>
      <c r="E1049" s="139"/>
      <c r="F1049" s="139"/>
      <c r="G1049" s="139"/>
      <c r="H1049" s="139"/>
      <c r="I1049" s="139"/>
      <c r="J1049" s="139"/>
      <c r="K1049" s="139"/>
      <c r="L1049" s="243"/>
      <c r="M1049" s="243"/>
      <c r="N1049" s="139"/>
      <c r="O1049" s="139"/>
      <c r="P1049" s="139"/>
      <c r="Q1049" s="147"/>
      <c r="R1049" s="139"/>
      <c r="S1049" s="139"/>
      <c r="T1049" s="139"/>
      <c r="U1049" s="139"/>
      <c r="V1049" s="139"/>
      <c r="W1049" s="139"/>
      <c r="X1049" s="146"/>
      <c r="Y1049" s="148"/>
      <c r="Z1049" s="145"/>
      <c r="AA1049" s="139"/>
      <c r="AB1049" s="149"/>
      <c r="AC1049" s="119"/>
      <c r="AD1049" s="139"/>
      <c r="AE1049" s="139"/>
      <c r="AF1049" s="139"/>
      <c r="AG1049" s="139"/>
      <c r="AH1049" s="139"/>
      <c r="AI1049" s="139"/>
      <c r="AJ1049" s="139"/>
      <c r="AK1049" s="139"/>
      <c r="AL1049" s="139"/>
      <c r="AM1049" s="139"/>
      <c r="AN1049" s="139"/>
      <c r="AO1049" s="139"/>
      <c r="AP1049" s="139"/>
      <c r="AQ1049" s="174"/>
      <c r="AR1049" s="222"/>
    </row>
    <row r="1050" spans="2:44" s="22" customFormat="1" ht="18" customHeight="1" x14ac:dyDescent="0.25">
      <c r="B1050" s="145"/>
      <c r="C1050" s="139"/>
      <c r="D1050" s="146"/>
      <c r="E1050" s="139"/>
      <c r="F1050" s="139"/>
      <c r="G1050" s="139"/>
      <c r="H1050" s="139"/>
      <c r="I1050" s="139"/>
      <c r="J1050" s="139"/>
      <c r="K1050" s="139"/>
      <c r="L1050" s="243"/>
      <c r="M1050" s="243"/>
      <c r="N1050" s="139"/>
      <c r="O1050" s="139"/>
      <c r="P1050" s="139"/>
      <c r="Q1050" s="147"/>
      <c r="R1050" s="139"/>
      <c r="S1050" s="139"/>
      <c r="T1050" s="139"/>
      <c r="U1050" s="139"/>
      <c r="V1050" s="139"/>
      <c r="W1050" s="139"/>
      <c r="X1050" s="146"/>
      <c r="Y1050" s="148"/>
      <c r="Z1050" s="145"/>
      <c r="AA1050" s="139"/>
      <c r="AB1050" s="149"/>
      <c r="AC1050" s="119"/>
      <c r="AD1050" s="139"/>
      <c r="AE1050" s="139"/>
      <c r="AF1050" s="139"/>
      <c r="AG1050" s="139"/>
      <c r="AH1050" s="139"/>
      <c r="AI1050" s="139"/>
      <c r="AJ1050" s="139"/>
      <c r="AK1050" s="139"/>
      <c r="AL1050" s="139"/>
      <c r="AM1050" s="139"/>
      <c r="AN1050" s="139"/>
      <c r="AO1050" s="139"/>
      <c r="AP1050" s="139"/>
      <c r="AQ1050" s="174"/>
      <c r="AR1050" s="222"/>
    </row>
    <row r="1051" spans="2:44" s="22" customFormat="1" ht="18" customHeight="1" x14ac:dyDescent="0.25">
      <c r="B1051" s="145"/>
      <c r="C1051" s="139"/>
      <c r="D1051" s="146"/>
      <c r="E1051" s="139"/>
      <c r="F1051" s="139"/>
      <c r="G1051" s="139"/>
      <c r="H1051" s="139"/>
      <c r="I1051" s="139"/>
      <c r="J1051" s="139"/>
      <c r="K1051" s="139"/>
      <c r="L1051" s="243"/>
      <c r="M1051" s="243"/>
      <c r="N1051" s="139"/>
      <c r="O1051" s="139"/>
      <c r="P1051" s="139"/>
      <c r="Q1051" s="147"/>
      <c r="R1051" s="139"/>
      <c r="S1051" s="139"/>
      <c r="T1051" s="139"/>
      <c r="U1051" s="139"/>
      <c r="V1051" s="139"/>
      <c r="W1051" s="139"/>
      <c r="X1051" s="146"/>
      <c r="Y1051" s="148"/>
      <c r="Z1051" s="145"/>
      <c r="AA1051" s="139"/>
      <c r="AB1051" s="149"/>
      <c r="AC1051" s="119"/>
      <c r="AD1051" s="139"/>
      <c r="AE1051" s="139"/>
      <c r="AF1051" s="139"/>
      <c r="AG1051" s="139"/>
      <c r="AH1051" s="139"/>
      <c r="AI1051" s="139"/>
      <c r="AJ1051" s="139"/>
      <c r="AK1051" s="139"/>
      <c r="AL1051" s="139"/>
      <c r="AM1051" s="139"/>
      <c r="AN1051" s="139"/>
      <c r="AO1051" s="139"/>
      <c r="AP1051" s="139"/>
      <c r="AQ1051" s="174"/>
      <c r="AR1051" s="222"/>
    </row>
    <row r="1052" spans="2:44" s="22" customFormat="1" ht="18" customHeight="1" x14ac:dyDescent="0.25">
      <c r="B1052" s="145"/>
      <c r="C1052" s="139"/>
      <c r="D1052" s="146"/>
      <c r="E1052" s="139"/>
      <c r="F1052" s="139"/>
      <c r="G1052" s="139"/>
      <c r="H1052" s="139"/>
      <c r="I1052" s="139"/>
      <c r="J1052" s="139"/>
      <c r="K1052" s="139"/>
      <c r="L1052" s="243"/>
      <c r="M1052" s="243"/>
      <c r="N1052" s="139"/>
      <c r="O1052" s="139"/>
      <c r="P1052" s="139"/>
      <c r="Q1052" s="147"/>
      <c r="R1052" s="139"/>
      <c r="S1052" s="139"/>
      <c r="T1052" s="139"/>
      <c r="U1052" s="139"/>
      <c r="V1052" s="139"/>
      <c r="W1052" s="139"/>
      <c r="X1052" s="146"/>
      <c r="Y1052" s="148"/>
      <c r="Z1052" s="145"/>
      <c r="AA1052" s="139"/>
      <c r="AB1052" s="149"/>
      <c r="AC1052" s="119"/>
      <c r="AD1052" s="139"/>
      <c r="AE1052" s="139"/>
      <c r="AF1052" s="139"/>
      <c r="AG1052" s="139"/>
      <c r="AH1052" s="139"/>
      <c r="AI1052" s="139"/>
      <c r="AJ1052" s="139"/>
      <c r="AK1052" s="139"/>
      <c r="AL1052" s="139"/>
      <c r="AM1052" s="139"/>
      <c r="AN1052" s="139"/>
      <c r="AO1052" s="139"/>
      <c r="AP1052" s="139"/>
      <c r="AQ1052" s="174"/>
      <c r="AR1052" s="222"/>
    </row>
    <row r="1053" spans="2:44" s="22" customFormat="1" ht="18" customHeight="1" x14ac:dyDescent="0.25">
      <c r="B1053" s="145"/>
      <c r="C1053" s="139"/>
      <c r="D1053" s="146"/>
      <c r="E1053" s="139"/>
      <c r="F1053" s="139"/>
      <c r="G1053" s="139"/>
      <c r="H1053" s="139"/>
      <c r="I1053" s="139"/>
      <c r="J1053" s="139"/>
      <c r="K1053" s="139"/>
      <c r="L1053" s="243"/>
      <c r="M1053" s="243"/>
      <c r="N1053" s="139"/>
      <c r="O1053" s="139"/>
      <c r="P1053" s="139"/>
      <c r="Q1053" s="147"/>
      <c r="R1053" s="139"/>
      <c r="S1053" s="139"/>
      <c r="T1053" s="139"/>
      <c r="U1053" s="139"/>
      <c r="V1053" s="139"/>
      <c r="W1053" s="139"/>
      <c r="X1053" s="146"/>
      <c r="Y1053" s="148"/>
      <c r="Z1053" s="145"/>
      <c r="AA1053" s="139"/>
      <c r="AB1053" s="149"/>
      <c r="AC1053" s="119"/>
      <c r="AD1053" s="139"/>
      <c r="AE1053" s="139"/>
      <c r="AF1053" s="139"/>
      <c r="AG1053" s="139"/>
      <c r="AH1053" s="139"/>
      <c r="AI1053" s="139"/>
      <c r="AJ1053" s="139"/>
      <c r="AK1053" s="139"/>
      <c r="AL1053" s="139"/>
      <c r="AM1053" s="139"/>
      <c r="AN1053" s="139"/>
      <c r="AO1053" s="139"/>
      <c r="AP1053" s="139"/>
      <c r="AQ1053" s="174"/>
      <c r="AR1053" s="222"/>
    </row>
    <row r="1054" spans="2:44" s="22" customFormat="1" ht="18" customHeight="1" x14ac:dyDescent="0.25">
      <c r="B1054" s="145"/>
      <c r="C1054" s="139"/>
      <c r="D1054" s="146"/>
      <c r="E1054" s="139"/>
      <c r="F1054" s="139"/>
      <c r="G1054" s="139"/>
      <c r="H1054" s="139"/>
      <c r="I1054" s="139"/>
      <c r="J1054" s="139"/>
      <c r="K1054" s="139"/>
      <c r="L1054" s="243"/>
      <c r="M1054" s="243"/>
      <c r="N1054" s="139"/>
      <c r="O1054" s="139"/>
      <c r="P1054" s="139"/>
      <c r="Q1054" s="147"/>
      <c r="R1054" s="139"/>
      <c r="S1054" s="139"/>
      <c r="T1054" s="139"/>
      <c r="U1054" s="139"/>
      <c r="V1054" s="139"/>
      <c r="W1054" s="139"/>
      <c r="X1054" s="146"/>
      <c r="Y1054" s="148"/>
      <c r="Z1054" s="145"/>
      <c r="AA1054" s="139"/>
      <c r="AB1054" s="149"/>
      <c r="AC1054" s="119"/>
      <c r="AD1054" s="139"/>
      <c r="AE1054" s="139"/>
      <c r="AF1054" s="139"/>
      <c r="AG1054" s="139"/>
      <c r="AH1054" s="139"/>
      <c r="AI1054" s="139"/>
      <c r="AJ1054" s="139"/>
      <c r="AK1054" s="139"/>
      <c r="AL1054" s="139"/>
      <c r="AM1054" s="139"/>
      <c r="AN1054" s="139"/>
      <c r="AO1054" s="139"/>
      <c r="AP1054" s="139"/>
      <c r="AQ1054" s="174"/>
      <c r="AR1054" s="222"/>
    </row>
    <row r="1055" spans="2:44" s="22" customFormat="1" ht="18" customHeight="1" x14ac:dyDescent="0.25">
      <c r="B1055" s="145"/>
      <c r="C1055" s="139"/>
      <c r="D1055" s="146"/>
      <c r="E1055" s="139"/>
      <c r="F1055" s="139"/>
      <c r="G1055" s="139"/>
      <c r="H1055" s="139"/>
      <c r="I1055" s="139"/>
      <c r="J1055" s="139"/>
      <c r="K1055" s="139"/>
      <c r="L1055" s="243"/>
      <c r="M1055" s="243"/>
      <c r="N1055" s="139"/>
      <c r="O1055" s="139"/>
      <c r="P1055" s="139"/>
      <c r="Q1055" s="147"/>
      <c r="R1055" s="139"/>
      <c r="S1055" s="139"/>
      <c r="T1055" s="139"/>
      <c r="U1055" s="139"/>
      <c r="V1055" s="139"/>
      <c r="W1055" s="139"/>
      <c r="X1055" s="146"/>
      <c r="Y1055" s="148"/>
      <c r="Z1055" s="145"/>
      <c r="AA1055" s="139"/>
      <c r="AB1055" s="149"/>
      <c r="AC1055" s="119"/>
      <c r="AD1055" s="139"/>
      <c r="AE1055" s="139"/>
      <c r="AF1055" s="139"/>
      <c r="AG1055" s="139"/>
      <c r="AH1055" s="139"/>
      <c r="AI1055" s="139"/>
      <c r="AJ1055" s="139"/>
      <c r="AK1055" s="139"/>
      <c r="AL1055" s="139"/>
      <c r="AM1055" s="139"/>
      <c r="AN1055" s="139"/>
      <c r="AO1055" s="139"/>
      <c r="AP1055" s="139"/>
      <c r="AQ1055" s="174"/>
      <c r="AR1055" s="222"/>
    </row>
    <row r="1056" spans="2:44" s="22" customFormat="1" ht="18" customHeight="1" x14ac:dyDescent="0.25">
      <c r="B1056" s="145"/>
      <c r="C1056" s="139"/>
      <c r="D1056" s="146"/>
      <c r="E1056" s="139"/>
      <c r="F1056" s="139"/>
      <c r="G1056" s="139"/>
      <c r="H1056" s="139"/>
      <c r="I1056" s="139"/>
      <c r="J1056" s="139"/>
      <c r="K1056" s="139"/>
      <c r="L1056" s="243"/>
      <c r="M1056" s="243"/>
      <c r="N1056" s="139"/>
      <c r="O1056" s="139"/>
      <c r="P1056" s="139"/>
      <c r="Q1056" s="147"/>
      <c r="R1056" s="139"/>
      <c r="S1056" s="139"/>
      <c r="T1056" s="139"/>
      <c r="U1056" s="139"/>
      <c r="V1056" s="139"/>
      <c r="W1056" s="139"/>
      <c r="X1056" s="146"/>
      <c r="Y1056" s="148"/>
      <c r="Z1056" s="145"/>
      <c r="AA1056" s="139"/>
      <c r="AB1056" s="149"/>
      <c r="AC1056" s="119"/>
      <c r="AD1056" s="139"/>
      <c r="AE1056" s="139"/>
      <c r="AF1056" s="139"/>
      <c r="AG1056" s="139"/>
      <c r="AH1056" s="139"/>
      <c r="AI1056" s="139"/>
      <c r="AJ1056" s="139"/>
      <c r="AK1056" s="139"/>
      <c r="AL1056" s="139"/>
      <c r="AM1056" s="139"/>
      <c r="AN1056" s="139"/>
      <c r="AO1056" s="139"/>
      <c r="AP1056" s="139"/>
      <c r="AQ1056" s="174"/>
      <c r="AR1056" s="222"/>
    </row>
    <row r="1057" spans="2:44" s="22" customFormat="1" ht="18" customHeight="1" x14ac:dyDescent="0.25">
      <c r="B1057" s="145"/>
      <c r="C1057" s="139"/>
      <c r="D1057" s="146"/>
      <c r="E1057" s="139"/>
      <c r="F1057" s="139"/>
      <c r="G1057" s="139"/>
      <c r="H1057" s="139"/>
      <c r="I1057" s="139"/>
      <c r="J1057" s="139"/>
      <c r="K1057" s="139"/>
      <c r="L1057" s="243"/>
      <c r="M1057" s="243"/>
      <c r="N1057" s="139"/>
      <c r="O1057" s="139"/>
      <c r="P1057" s="139"/>
      <c r="Q1057" s="147"/>
      <c r="R1057" s="139"/>
      <c r="S1057" s="139"/>
      <c r="T1057" s="139"/>
      <c r="U1057" s="139"/>
      <c r="V1057" s="139"/>
      <c r="W1057" s="139"/>
      <c r="X1057" s="146"/>
      <c r="Y1057" s="148"/>
      <c r="Z1057" s="145"/>
      <c r="AA1057" s="139"/>
      <c r="AB1057" s="149"/>
      <c r="AC1057" s="119"/>
      <c r="AD1057" s="139"/>
      <c r="AE1057" s="139"/>
      <c r="AF1057" s="139"/>
      <c r="AG1057" s="139"/>
      <c r="AH1057" s="139"/>
      <c r="AI1057" s="139"/>
      <c r="AJ1057" s="139"/>
      <c r="AK1057" s="139"/>
      <c r="AL1057" s="139"/>
      <c r="AM1057" s="139"/>
      <c r="AN1057" s="139"/>
      <c r="AO1057" s="139"/>
      <c r="AP1057" s="139"/>
      <c r="AQ1057" s="174"/>
      <c r="AR1057" s="222"/>
    </row>
    <row r="1058" spans="2:44" s="22" customFormat="1" ht="18" customHeight="1" x14ac:dyDescent="0.25">
      <c r="B1058" s="145"/>
      <c r="C1058" s="139"/>
      <c r="D1058" s="146"/>
      <c r="E1058" s="139"/>
      <c r="F1058" s="139"/>
      <c r="G1058" s="139"/>
      <c r="H1058" s="139"/>
      <c r="I1058" s="139"/>
      <c r="J1058" s="139"/>
      <c r="K1058" s="139"/>
      <c r="L1058" s="243"/>
      <c r="M1058" s="243"/>
      <c r="N1058" s="139"/>
      <c r="O1058" s="139"/>
      <c r="P1058" s="139"/>
      <c r="Q1058" s="147"/>
      <c r="R1058" s="139"/>
      <c r="S1058" s="139"/>
      <c r="T1058" s="139"/>
      <c r="U1058" s="139"/>
      <c r="V1058" s="139"/>
      <c r="W1058" s="139"/>
      <c r="X1058" s="146"/>
      <c r="Y1058" s="148"/>
      <c r="Z1058" s="145"/>
      <c r="AA1058" s="139"/>
      <c r="AB1058" s="149"/>
      <c r="AC1058" s="119"/>
      <c r="AD1058" s="139"/>
      <c r="AE1058" s="139"/>
      <c r="AF1058" s="139"/>
      <c r="AG1058" s="139"/>
      <c r="AH1058" s="139"/>
      <c r="AI1058" s="139"/>
      <c r="AJ1058" s="139"/>
      <c r="AK1058" s="139"/>
      <c r="AL1058" s="139"/>
      <c r="AM1058" s="139"/>
      <c r="AN1058" s="139"/>
      <c r="AO1058" s="139"/>
      <c r="AP1058" s="139"/>
      <c r="AQ1058" s="174"/>
      <c r="AR1058" s="222"/>
    </row>
    <row r="1059" spans="2:44" s="22" customFormat="1" ht="18" customHeight="1" x14ac:dyDescent="0.25">
      <c r="B1059" s="145"/>
      <c r="C1059" s="139"/>
      <c r="D1059" s="146"/>
      <c r="E1059" s="139"/>
      <c r="F1059" s="139"/>
      <c r="G1059" s="139"/>
      <c r="H1059" s="139"/>
      <c r="I1059" s="139"/>
      <c r="J1059" s="139"/>
      <c r="K1059" s="139"/>
      <c r="L1059" s="243"/>
      <c r="M1059" s="243"/>
      <c r="N1059" s="139"/>
      <c r="O1059" s="139"/>
      <c r="P1059" s="139"/>
      <c r="Q1059" s="147"/>
      <c r="R1059" s="139"/>
      <c r="S1059" s="139"/>
      <c r="T1059" s="139"/>
      <c r="U1059" s="139"/>
      <c r="V1059" s="139"/>
      <c r="W1059" s="139"/>
      <c r="X1059" s="146"/>
      <c r="Y1059" s="148"/>
      <c r="Z1059" s="145"/>
      <c r="AA1059" s="139"/>
      <c r="AB1059" s="149"/>
      <c r="AC1059" s="119"/>
      <c r="AD1059" s="139"/>
      <c r="AE1059" s="139"/>
      <c r="AF1059" s="139"/>
      <c r="AG1059" s="139"/>
      <c r="AH1059" s="139"/>
      <c r="AI1059" s="139"/>
      <c r="AJ1059" s="139"/>
      <c r="AK1059" s="139"/>
      <c r="AL1059" s="139"/>
      <c r="AM1059" s="139"/>
      <c r="AN1059" s="139"/>
      <c r="AO1059" s="139"/>
      <c r="AP1059" s="139"/>
      <c r="AQ1059" s="174"/>
      <c r="AR1059" s="222"/>
    </row>
    <row r="1060" spans="2:44" s="22" customFormat="1" ht="18" customHeight="1" x14ac:dyDescent="0.25">
      <c r="B1060" s="145"/>
      <c r="C1060" s="139"/>
      <c r="D1060" s="146"/>
      <c r="E1060" s="139"/>
      <c r="F1060" s="139"/>
      <c r="G1060" s="139"/>
      <c r="H1060" s="139"/>
      <c r="I1060" s="139"/>
      <c r="J1060" s="139"/>
      <c r="K1060" s="139"/>
      <c r="L1060" s="243"/>
      <c r="M1060" s="243"/>
      <c r="N1060" s="139"/>
      <c r="O1060" s="139"/>
      <c r="P1060" s="139"/>
      <c r="Q1060" s="147"/>
      <c r="R1060" s="139"/>
      <c r="S1060" s="139"/>
      <c r="T1060" s="139"/>
      <c r="U1060" s="139"/>
      <c r="V1060" s="139"/>
      <c r="W1060" s="139"/>
      <c r="X1060" s="146"/>
      <c r="Y1060" s="148"/>
      <c r="Z1060" s="145"/>
      <c r="AA1060" s="139"/>
      <c r="AB1060" s="149"/>
      <c r="AC1060" s="119"/>
      <c r="AD1060" s="139"/>
      <c r="AE1060" s="139"/>
      <c r="AF1060" s="139"/>
      <c r="AG1060" s="139"/>
      <c r="AH1060" s="139"/>
      <c r="AI1060" s="139"/>
      <c r="AJ1060" s="139"/>
      <c r="AK1060" s="139"/>
      <c r="AL1060" s="139"/>
      <c r="AM1060" s="139"/>
      <c r="AN1060" s="139"/>
      <c r="AO1060" s="139"/>
      <c r="AP1060" s="139"/>
      <c r="AQ1060" s="174"/>
      <c r="AR1060" s="222"/>
    </row>
    <row r="1061" spans="2:44" s="22" customFormat="1" ht="18" customHeight="1" x14ac:dyDescent="0.25">
      <c r="B1061" s="145"/>
      <c r="C1061" s="139"/>
      <c r="D1061" s="146"/>
      <c r="E1061" s="139"/>
      <c r="F1061" s="139"/>
      <c r="G1061" s="139"/>
      <c r="H1061" s="139"/>
      <c r="I1061" s="139"/>
      <c r="J1061" s="139"/>
      <c r="K1061" s="139"/>
      <c r="L1061" s="243"/>
      <c r="M1061" s="243"/>
      <c r="N1061" s="139"/>
      <c r="O1061" s="139"/>
      <c r="P1061" s="139"/>
      <c r="Q1061" s="147"/>
      <c r="R1061" s="139"/>
      <c r="S1061" s="139"/>
      <c r="T1061" s="139"/>
      <c r="U1061" s="139"/>
      <c r="V1061" s="139"/>
      <c r="W1061" s="139"/>
      <c r="X1061" s="146"/>
      <c r="Y1061" s="148"/>
      <c r="Z1061" s="145"/>
      <c r="AA1061" s="139"/>
      <c r="AB1061" s="149"/>
      <c r="AC1061" s="119"/>
      <c r="AD1061" s="139"/>
      <c r="AE1061" s="139"/>
      <c r="AF1061" s="139"/>
      <c r="AG1061" s="139"/>
      <c r="AH1061" s="139"/>
      <c r="AI1061" s="139"/>
      <c r="AJ1061" s="139"/>
      <c r="AK1061" s="139"/>
      <c r="AL1061" s="139"/>
      <c r="AM1061" s="139"/>
      <c r="AN1061" s="139"/>
      <c r="AO1061" s="139"/>
      <c r="AP1061" s="139"/>
      <c r="AQ1061" s="174"/>
      <c r="AR1061" s="222"/>
    </row>
    <row r="1062" spans="2:44" s="22" customFormat="1" ht="18" customHeight="1" x14ac:dyDescent="0.25">
      <c r="B1062" s="145"/>
      <c r="C1062" s="139"/>
      <c r="D1062" s="146"/>
      <c r="E1062" s="139"/>
      <c r="F1062" s="139"/>
      <c r="G1062" s="139"/>
      <c r="H1062" s="139"/>
      <c r="I1062" s="139"/>
      <c r="J1062" s="139"/>
      <c r="K1062" s="139"/>
      <c r="L1062" s="243"/>
      <c r="M1062" s="243"/>
      <c r="N1062" s="139"/>
      <c r="O1062" s="139"/>
      <c r="P1062" s="139"/>
      <c r="Q1062" s="147"/>
      <c r="R1062" s="139"/>
      <c r="S1062" s="139"/>
      <c r="T1062" s="139"/>
      <c r="U1062" s="139"/>
      <c r="V1062" s="139"/>
      <c r="W1062" s="139"/>
      <c r="X1062" s="146"/>
      <c r="Y1062" s="148"/>
      <c r="Z1062" s="145"/>
      <c r="AA1062" s="139"/>
      <c r="AB1062" s="149"/>
      <c r="AC1062" s="119"/>
      <c r="AD1062" s="139"/>
      <c r="AE1062" s="139"/>
      <c r="AF1062" s="139"/>
      <c r="AG1062" s="139"/>
      <c r="AH1062" s="139"/>
      <c r="AI1062" s="139"/>
      <c r="AJ1062" s="139"/>
      <c r="AK1062" s="139"/>
      <c r="AL1062" s="139"/>
      <c r="AM1062" s="139"/>
      <c r="AN1062" s="139"/>
      <c r="AO1062" s="139"/>
      <c r="AP1062" s="139"/>
      <c r="AQ1062" s="174"/>
      <c r="AR1062" s="222"/>
    </row>
    <row r="1063" spans="2:44" s="22" customFormat="1" ht="18" customHeight="1" x14ac:dyDescent="0.25">
      <c r="B1063" s="145"/>
      <c r="C1063" s="139"/>
      <c r="D1063" s="146"/>
      <c r="E1063" s="139"/>
      <c r="F1063" s="139"/>
      <c r="G1063" s="139"/>
      <c r="H1063" s="139"/>
      <c r="I1063" s="139"/>
      <c r="J1063" s="139"/>
      <c r="K1063" s="139"/>
      <c r="L1063" s="243"/>
      <c r="M1063" s="243"/>
      <c r="N1063" s="139"/>
      <c r="O1063" s="139"/>
      <c r="P1063" s="139"/>
      <c r="Q1063" s="147"/>
      <c r="R1063" s="139"/>
      <c r="S1063" s="139"/>
      <c r="T1063" s="139"/>
      <c r="U1063" s="139"/>
      <c r="V1063" s="139"/>
      <c r="W1063" s="139"/>
      <c r="X1063" s="146"/>
      <c r="Y1063" s="148"/>
      <c r="Z1063" s="145"/>
      <c r="AA1063" s="139"/>
      <c r="AB1063" s="149"/>
      <c r="AC1063" s="119"/>
      <c r="AD1063" s="139"/>
      <c r="AE1063" s="139"/>
      <c r="AF1063" s="139"/>
      <c r="AG1063" s="139"/>
      <c r="AH1063" s="139"/>
      <c r="AI1063" s="139"/>
      <c r="AJ1063" s="139"/>
      <c r="AK1063" s="139"/>
      <c r="AL1063" s="139"/>
      <c r="AM1063" s="139"/>
      <c r="AN1063" s="139"/>
      <c r="AO1063" s="139"/>
      <c r="AP1063" s="139"/>
      <c r="AQ1063" s="174"/>
      <c r="AR1063" s="222"/>
    </row>
    <row r="1064" spans="2:44" s="22" customFormat="1" ht="18" customHeight="1" x14ac:dyDescent="0.25">
      <c r="B1064" s="145"/>
      <c r="C1064" s="139"/>
      <c r="D1064" s="146"/>
      <c r="E1064" s="139"/>
      <c r="F1064" s="139"/>
      <c r="G1064" s="139"/>
      <c r="H1064" s="139"/>
      <c r="I1064" s="139"/>
      <c r="J1064" s="139"/>
      <c r="K1064" s="139"/>
      <c r="L1064" s="243"/>
      <c r="M1064" s="243"/>
      <c r="N1064" s="139"/>
      <c r="O1064" s="139"/>
      <c r="P1064" s="139"/>
      <c r="Q1064" s="147"/>
      <c r="R1064" s="139"/>
      <c r="S1064" s="139"/>
      <c r="T1064" s="139"/>
      <c r="U1064" s="139"/>
      <c r="V1064" s="139"/>
      <c r="W1064" s="139"/>
      <c r="X1064" s="146"/>
      <c r="Y1064" s="148"/>
      <c r="Z1064" s="145"/>
      <c r="AA1064" s="139"/>
      <c r="AB1064" s="149"/>
      <c r="AC1064" s="119"/>
      <c r="AD1064" s="139"/>
      <c r="AE1064" s="139"/>
      <c r="AF1064" s="139"/>
      <c r="AG1064" s="139"/>
      <c r="AH1064" s="139"/>
      <c r="AI1064" s="139"/>
      <c r="AJ1064" s="139"/>
      <c r="AK1064" s="139"/>
      <c r="AL1064" s="139"/>
      <c r="AM1064" s="139"/>
      <c r="AN1064" s="139"/>
      <c r="AO1064" s="139"/>
      <c r="AP1064" s="139"/>
      <c r="AQ1064" s="174"/>
      <c r="AR1064" s="222"/>
    </row>
    <row r="1065" spans="2:44" s="22" customFormat="1" ht="18" customHeight="1" x14ac:dyDescent="0.25">
      <c r="B1065" s="145"/>
      <c r="C1065" s="139"/>
      <c r="D1065" s="146"/>
      <c r="E1065" s="139"/>
      <c r="F1065" s="139"/>
      <c r="G1065" s="139"/>
      <c r="H1065" s="139"/>
      <c r="I1065" s="139"/>
      <c r="J1065" s="139"/>
      <c r="K1065" s="139"/>
      <c r="L1065" s="243"/>
      <c r="M1065" s="243"/>
      <c r="N1065" s="139"/>
      <c r="O1065" s="139"/>
      <c r="P1065" s="139"/>
      <c r="Q1065" s="147"/>
      <c r="R1065" s="139"/>
      <c r="S1065" s="139"/>
      <c r="T1065" s="139"/>
      <c r="U1065" s="139"/>
      <c r="V1065" s="139"/>
      <c r="W1065" s="139"/>
      <c r="X1065" s="146"/>
      <c r="Y1065" s="148"/>
      <c r="Z1065" s="145"/>
      <c r="AA1065" s="139"/>
      <c r="AB1065" s="149"/>
      <c r="AC1065" s="119"/>
      <c r="AD1065" s="139"/>
      <c r="AE1065" s="139"/>
      <c r="AF1065" s="139"/>
      <c r="AG1065" s="139"/>
      <c r="AH1065" s="139"/>
      <c r="AI1065" s="139"/>
      <c r="AJ1065" s="139"/>
      <c r="AK1065" s="139"/>
      <c r="AL1065" s="139"/>
      <c r="AM1065" s="139"/>
      <c r="AN1065" s="139"/>
      <c r="AO1065" s="139"/>
      <c r="AP1065" s="139"/>
      <c r="AQ1065" s="174"/>
      <c r="AR1065" s="222"/>
    </row>
    <row r="1066" spans="2:44" s="22" customFormat="1" ht="18" customHeight="1" x14ac:dyDescent="0.25">
      <c r="B1066" s="145"/>
      <c r="C1066" s="139"/>
      <c r="D1066" s="146"/>
      <c r="E1066" s="139"/>
      <c r="F1066" s="139"/>
      <c r="G1066" s="139"/>
      <c r="H1066" s="139"/>
      <c r="I1066" s="139"/>
      <c r="J1066" s="139"/>
      <c r="K1066" s="139"/>
      <c r="L1066" s="243"/>
      <c r="M1066" s="243"/>
      <c r="N1066" s="139"/>
      <c r="O1066" s="139"/>
      <c r="P1066" s="139"/>
      <c r="Q1066" s="147"/>
      <c r="R1066" s="139"/>
      <c r="S1066" s="139"/>
      <c r="T1066" s="139"/>
      <c r="U1066" s="139"/>
      <c r="V1066" s="139"/>
      <c r="W1066" s="139"/>
      <c r="X1066" s="146"/>
      <c r="Y1066" s="148"/>
      <c r="Z1066" s="145"/>
      <c r="AA1066" s="139"/>
      <c r="AB1066" s="149"/>
      <c r="AC1066" s="119"/>
      <c r="AD1066" s="139"/>
      <c r="AE1066" s="139"/>
      <c r="AF1066" s="139"/>
      <c r="AG1066" s="139"/>
      <c r="AH1066" s="139"/>
      <c r="AI1066" s="139"/>
      <c r="AJ1066" s="139"/>
      <c r="AK1066" s="139"/>
      <c r="AL1066" s="139"/>
      <c r="AM1066" s="139"/>
      <c r="AN1066" s="139"/>
      <c r="AO1066" s="139"/>
      <c r="AP1066" s="139"/>
      <c r="AQ1066" s="174"/>
      <c r="AR1066" s="222"/>
    </row>
    <row r="1067" spans="2:44" s="22" customFormat="1" ht="18" customHeight="1" x14ac:dyDescent="0.25">
      <c r="B1067" s="145"/>
      <c r="C1067" s="139"/>
      <c r="D1067" s="146"/>
      <c r="E1067" s="139"/>
      <c r="F1067" s="139"/>
      <c r="G1067" s="139"/>
      <c r="H1067" s="139"/>
      <c r="I1067" s="139"/>
      <c r="J1067" s="139"/>
      <c r="K1067" s="139"/>
      <c r="L1067" s="243"/>
      <c r="M1067" s="243"/>
      <c r="N1067" s="139"/>
      <c r="O1067" s="139"/>
      <c r="P1067" s="139"/>
      <c r="Q1067" s="147"/>
      <c r="R1067" s="139"/>
      <c r="S1067" s="139"/>
      <c r="T1067" s="139"/>
      <c r="U1067" s="139"/>
      <c r="V1067" s="139"/>
      <c r="W1067" s="139"/>
      <c r="X1067" s="146"/>
      <c r="Y1067" s="148"/>
      <c r="Z1067" s="145"/>
      <c r="AA1067" s="139"/>
      <c r="AB1067" s="149"/>
      <c r="AC1067" s="119"/>
      <c r="AD1067" s="139"/>
      <c r="AE1067" s="139"/>
      <c r="AF1067" s="139"/>
      <c r="AG1067" s="139"/>
      <c r="AH1067" s="139"/>
      <c r="AI1067" s="139"/>
      <c r="AJ1067" s="139"/>
      <c r="AK1067" s="139"/>
      <c r="AL1067" s="139"/>
      <c r="AM1067" s="139"/>
      <c r="AN1067" s="139"/>
      <c r="AO1067" s="139"/>
      <c r="AP1067" s="139"/>
      <c r="AQ1067" s="174"/>
      <c r="AR1067" s="222"/>
    </row>
    <row r="1068" spans="2:44" s="22" customFormat="1" ht="18" customHeight="1" x14ac:dyDescent="0.25">
      <c r="B1068" s="145"/>
      <c r="C1068" s="139"/>
      <c r="D1068" s="146"/>
      <c r="E1068" s="139"/>
      <c r="F1068" s="139"/>
      <c r="G1068" s="139"/>
      <c r="H1068" s="139"/>
      <c r="I1068" s="139"/>
      <c r="J1068" s="139"/>
      <c r="K1068" s="139"/>
      <c r="L1068" s="243"/>
      <c r="M1068" s="243"/>
      <c r="N1068" s="139"/>
      <c r="O1068" s="139"/>
      <c r="P1068" s="139"/>
      <c r="Q1068" s="147"/>
      <c r="R1068" s="139"/>
      <c r="S1068" s="139"/>
      <c r="T1068" s="139"/>
      <c r="U1068" s="139"/>
      <c r="V1068" s="139"/>
      <c r="W1068" s="139"/>
      <c r="X1068" s="146"/>
      <c r="Y1068" s="148"/>
      <c r="Z1068" s="145"/>
      <c r="AA1068" s="139"/>
      <c r="AB1068" s="149"/>
      <c r="AC1068" s="119"/>
      <c r="AD1068" s="139"/>
      <c r="AE1068" s="139"/>
      <c r="AF1068" s="139"/>
      <c r="AG1068" s="139"/>
      <c r="AH1068" s="139"/>
      <c r="AI1068" s="139"/>
      <c r="AJ1068" s="139"/>
      <c r="AK1068" s="139"/>
      <c r="AL1068" s="139"/>
      <c r="AM1068" s="139"/>
      <c r="AN1068" s="139"/>
      <c r="AO1068" s="139"/>
      <c r="AP1068" s="139"/>
      <c r="AQ1068" s="174"/>
      <c r="AR1068" s="222"/>
    </row>
    <row r="1069" spans="2:44" s="22" customFormat="1" ht="18" customHeight="1" x14ac:dyDescent="0.25">
      <c r="B1069" s="145"/>
      <c r="C1069" s="139"/>
      <c r="D1069" s="146"/>
      <c r="E1069" s="139"/>
      <c r="F1069" s="139"/>
      <c r="G1069" s="139"/>
      <c r="H1069" s="139"/>
      <c r="I1069" s="139"/>
      <c r="J1069" s="139"/>
      <c r="K1069" s="139"/>
      <c r="L1069" s="243"/>
      <c r="M1069" s="243"/>
      <c r="N1069" s="139"/>
      <c r="O1069" s="139"/>
      <c r="P1069" s="139"/>
      <c r="Q1069" s="147"/>
      <c r="R1069" s="139"/>
      <c r="S1069" s="139"/>
      <c r="T1069" s="139"/>
      <c r="U1069" s="139"/>
      <c r="V1069" s="139"/>
      <c r="W1069" s="139"/>
      <c r="X1069" s="146"/>
      <c r="Y1069" s="148"/>
      <c r="Z1069" s="145"/>
      <c r="AA1069" s="139"/>
      <c r="AB1069" s="149"/>
      <c r="AC1069" s="119"/>
      <c r="AD1069" s="139"/>
      <c r="AE1069" s="139"/>
      <c r="AF1069" s="139"/>
      <c r="AG1069" s="139"/>
      <c r="AH1069" s="139"/>
      <c r="AI1069" s="139"/>
      <c r="AJ1069" s="139"/>
      <c r="AK1069" s="139"/>
      <c r="AL1069" s="139"/>
      <c r="AM1069" s="139"/>
      <c r="AN1069" s="139"/>
      <c r="AO1069" s="139"/>
      <c r="AP1069" s="139"/>
      <c r="AQ1069" s="174"/>
      <c r="AR1069" s="222"/>
    </row>
    <row r="1070" spans="2:44" s="22" customFormat="1" ht="18" customHeight="1" x14ac:dyDescent="0.25">
      <c r="B1070" s="145"/>
      <c r="C1070" s="139"/>
      <c r="D1070" s="146"/>
      <c r="E1070" s="139"/>
      <c r="F1070" s="139"/>
      <c r="G1070" s="139"/>
      <c r="H1070" s="139"/>
      <c r="I1070" s="139"/>
      <c r="J1070" s="139"/>
      <c r="K1070" s="139"/>
      <c r="L1070" s="243"/>
      <c r="M1070" s="243"/>
      <c r="N1070" s="139"/>
      <c r="O1070" s="139"/>
      <c r="P1070" s="139"/>
      <c r="Q1070" s="147"/>
      <c r="R1070" s="139"/>
      <c r="S1070" s="139"/>
      <c r="T1070" s="139"/>
      <c r="U1070" s="139"/>
      <c r="V1070" s="139"/>
      <c r="W1070" s="139"/>
      <c r="X1070" s="146"/>
      <c r="Y1070" s="148"/>
      <c r="Z1070" s="145"/>
      <c r="AA1070" s="139"/>
      <c r="AB1070" s="149"/>
      <c r="AC1070" s="119"/>
      <c r="AD1070" s="139"/>
      <c r="AE1070" s="139"/>
      <c r="AF1070" s="139"/>
      <c r="AG1070" s="139"/>
      <c r="AH1070" s="139"/>
      <c r="AI1070" s="139"/>
      <c r="AJ1070" s="139"/>
      <c r="AK1070" s="139"/>
      <c r="AL1070" s="139"/>
      <c r="AM1070" s="139"/>
      <c r="AN1070" s="139"/>
      <c r="AO1070" s="139"/>
      <c r="AP1070" s="139"/>
      <c r="AQ1070" s="174"/>
      <c r="AR1070" s="222"/>
    </row>
    <row r="1071" spans="2:44" s="22" customFormat="1" ht="18" customHeight="1" x14ac:dyDescent="0.25">
      <c r="B1071" s="145"/>
      <c r="C1071" s="139"/>
      <c r="D1071" s="146"/>
      <c r="E1071" s="139"/>
      <c r="F1071" s="139"/>
      <c r="G1071" s="139"/>
      <c r="H1071" s="139"/>
      <c r="I1071" s="139"/>
      <c r="J1071" s="139"/>
      <c r="K1071" s="139"/>
      <c r="L1071" s="243"/>
      <c r="M1071" s="243"/>
      <c r="N1071" s="139"/>
      <c r="O1071" s="139"/>
      <c r="P1071" s="139"/>
      <c r="Q1071" s="147"/>
      <c r="R1071" s="139"/>
      <c r="S1071" s="139"/>
      <c r="T1071" s="139"/>
      <c r="U1071" s="139"/>
      <c r="V1071" s="139"/>
      <c r="W1071" s="139"/>
      <c r="X1071" s="146"/>
      <c r="Y1071" s="148"/>
      <c r="Z1071" s="145"/>
      <c r="AA1071" s="139"/>
      <c r="AB1071" s="149"/>
      <c r="AC1071" s="119"/>
      <c r="AD1071" s="139"/>
      <c r="AE1071" s="139"/>
      <c r="AF1071" s="139"/>
      <c r="AG1071" s="139"/>
      <c r="AH1071" s="139"/>
      <c r="AI1071" s="139"/>
      <c r="AJ1071" s="139"/>
      <c r="AK1071" s="139"/>
      <c r="AL1071" s="139"/>
      <c r="AM1071" s="139"/>
      <c r="AN1071" s="139"/>
      <c r="AO1071" s="139"/>
      <c r="AP1071" s="139"/>
      <c r="AQ1071" s="174"/>
      <c r="AR1071" s="222"/>
    </row>
    <row r="1072" spans="2:44" s="22" customFormat="1" ht="18" customHeight="1" x14ac:dyDescent="0.25">
      <c r="B1072" s="145"/>
      <c r="C1072" s="139"/>
      <c r="D1072" s="146"/>
      <c r="E1072" s="139"/>
      <c r="F1072" s="139"/>
      <c r="G1072" s="139"/>
      <c r="H1072" s="139"/>
      <c r="I1072" s="139"/>
      <c r="J1072" s="139"/>
      <c r="K1072" s="139"/>
      <c r="L1072" s="243"/>
      <c r="M1072" s="243"/>
      <c r="N1072" s="139"/>
      <c r="O1072" s="139"/>
      <c r="P1072" s="139"/>
      <c r="Q1072" s="147"/>
      <c r="R1072" s="139"/>
      <c r="S1072" s="139"/>
      <c r="T1072" s="139"/>
      <c r="U1072" s="139"/>
      <c r="V1072" s="139"/>
      <c r="W1072" s="139"/>
      <c r="X1072" s="146"/>
      <c r="Y1072" s="148"/>
      <c r="Z1072" s="145"/>
      <c r="AA1072" s="139"/>
      <c r="AB1072" s="149"/>
      <c r="AC1072" s="119"/>
      <c r="AD1072" s="139"/>
      <c r="AE1072" s="139"/>
      <c r="AF1072" s="139"/>
      <c r="AG1072" s="139"/>
      <c r="AH1072" s="139"/>
      <c r="AI1072" s="139"/>
      <c r="AJ1072" s="139"/>
      <c r="AK1072" s="139"/>
      <c r="AL1072" s="139"/>
      <c r="AM1072" s="139"/>
      <c r="AN1072" s="139"/>
      <c r="AO1072" s="139"/>
      <c r="AP1072" s="139"/>
      <c r="AQ1072" s="174"/>
      <c r="AR1072" s="222"/>
    </row>
    <row r="1073" spans="2:44" s="22" customFormat="1" ht="18" customHeight="1" x14ac:dyDescent="0.25">
      <c r="B1073" s="145"/>
      <c r="C1073" s="139"/>
      <c r="D1073" s="146"/>
      <c r="E1073" s="139"/>
      <c r="F1073" s="139"/>
      <c r="G1073" s="139"/>
      <c r="H1073" s="139"/>
      <c r="I1073" s="139"/>
      <c r="J1073" s="139"/>
      <c r="K1073" s="139"/>
      <c r="L1073" s="243"/>
      <c r="M1073" s="243"/>
      <c r="N1073" s="139"/>
      <c r="O1073" s="139"/>
      <c r="P1073" s="139"/>
      <c r="Q1073" s="147"/>
      <c r="R1073" s="139"/>
      <c r="S1073" s="139"/>
      <c r="T1073" s="139"/>
      <c r="U1073" s="139"/>
      <c r="V1073" s="139"/>
      <c r="W1073" s="139"/>
      <c r="X1073" s="146"/>
      <c r="Y1073" s="148"/>
      <c r="Z1073" s="145"/>
      <c r="AA1073" s="139"/>
      <c r="AB1073" s="149"/>
      <c r="AC1073" s="119"/>
      <c r="AD1073" s="139"/>
      <c r="AE1073" s="139"/>
      <c r="AF1073" s="139"/>
      <c r="AG1073" s="139"/>
      <c r="AH1073" s="139"/>
      <c r="AI1073" s="139"/>
      <c r="AJ1073" s="139"/>
      <c r="AK1073" s="139"/>
      <c r="AL1073" s="139"/>
      <c r="AM1073" s="139"/>
      <c r="AN1073" s="139"/>
      <c r="AO1073" s="139"/>
      <c r="AP1073" s="139"/>
      <c r="AQ1073" s="174"/>
      <c r="AR1073" s="222"/>
    </row>
    <row r="1074" spans="2:44" s="22" customFormat="1" ht="18" customHeight="1" x14ac:dyDescent="0.25">
      <c r="B1074" s="145"/>
      <c r="C1074" s="139"/>
      <c r="D1074" s="146"/>
      <c r="E1074" s="139"/>
      <c r="F1074" s="139"/>
      <c r="G1074" s="139"/>
      <c r="H1074" s="139"/>
      <c r="I1074" s="139"/>
      <c r="J1074" s="139"/>
      <c r="K1074" s="139"/>
      <c r="L1074" s="243"/>
      <c r="M1074" s="243"/>
      <c r="N1074" s="139"/>
      <c r="O1074" s="139"/>
      <c r="P1074" s="139"/>
      <c r="Q1074" s="147"/>
      <c r="R1074" s="139"/>
      <c r="S1074" s="139"/>
      <c r="T1074" s="139"/>
      <c r="U1074" s="139"/>
      <c r="V1074" s="139"/>
      <c r="W1074" s="139"/>
      <c r="X1074" s="146"/>
      <c r="Y1074" s="148"/>
      <c r="Z1074" s="145"/>
      <c r="AA1074" s="139"/>
      <c r="AB1074" s="149"/>
      <c r="AC1074" s="119"/>
      <c r="AD1074" s="139"/>
      <c r="AE1074" s="139"/>
      <c r="AF1074" s="139"/>
      <c r="AG1074" s="139"/>
      <c r="AH1074" s="139"/>
      <c r="AI1074" s="139"/>
      <c r="AJ1074" s="139"/>
      <c r="AK1074" s="139"/>
      <c r="AL1074" s="139"/>
      <c r="AM1074" s="139"/>
      <c r="AN1074" s="139"/>
      <c r="AO1074" s="139"/>
      <c r="AP1074" s="139"/>
      <c r="AQ1074" s="174"/>
      <c r="AR1074" s="222"/>
    </row>
    <row r="1075" spans="2:44" s="22" customFormat="1" ht="18" customHeight="1" x14ac:dyDescent="0.25">
      <c r="B1075" s="145"/>
      <c r="C1075" s="139"/>
      <c r="D1075" s="146"/>
      <c r="E1075" s="139"/>
      <c r="F1075" s="139"/>
      <c r="G1075" s="139"/>
      <c r="H1075" s="139"/>
      <c r="I1075" s="139"/>
      <c r="J1075" s="139"/>
      <c r="K1075" s="139"/>
      <c r="L1075" s="243"/>
      <c r="M1075" s="243"/>
      <c r="N1075" s="139"/>
      <c r="O1075" s="139"/>
      <c r="P1075" s="139"/>
      <c r="Q1075" s="147"/>
      <c r="R1075" s="139"/>
      <c r="S1075" s="139"/>
      <c r="T1075" s="139"/>
      <c r="U1075" s="139"/>
      <c r="V1075" s="139"/>
      <c r="W1075" s="139"/>
      <c r="X1075" s="146"/>
      <c r="Y1075" s="148"/>
      <c r="Z1075" s="145"/>
      <c r="AA1075" s="139"/>
      <c r="AB1075" s="149"/>
      <c r="AC1075" s="119"/>
      <c r="AD1075" s="139"/>
      <c r="AE1075" s="139"/>
      <c r="AF1075" s="139"/>
      <c r="AG1075" s="139"/>
      <c r="AH1075" s="139"/>
      <c r="AI1075" s="139"/>
      <c r="AJ1075" s="139"/>
      <c r="AK1075" s="139"/>
      <c r="AL1075" s="139"/>
      <c r="AM1075" s="139"/>
      <c r="AN1075" s="139"/>
      <c r="AO1075" s="139"/>
      <c r="AP1075" s="139"/>
      <c r="AQ1075" s="174"/>
      <c r="AR1075" s="222"/>
    </row>
    <row r="1076" spans="2:44" s="22" customFormat="1" ht="18" customHeight="1" x14ac:dyDescent="0.25">
      <c r="B1076" s="145"/>
      <c r="C1076" s="139"/>
      <c r="D1076" s="146"/>
      <c r="E1076" s="139"/>
      <c r="F1076" s="139"/>
      <c r="G1076" s="139"/>
      <c r="H1076" s="139"/>
      <c r="I1076" s="139"/>
      <c r="J1076" s="139"/>
      <c r="K1076" s="139"/>
      <c r="L1076" s="243"/>
      <c r="M1076" s="243"/>
      <c r="N1076" s="139"/>
      <c r="O1076" s="139"/>
      <c r="P1076" s="139"/>
      <c r="Q1076" s="147"/>
      <c r="R1076" s="139"/>
      <c r="S1076" s="139"/>
      <c r="T1076" s="139"/>
      <c r="U1076" s="139"/>
      <c r="V1076" s="139"/>
      <c r="W1076" s="139"/>
      <c r="X1076" s="146"/>
      <c r="Y1076" s="148"/>
      <c r="Z1076" s="145"/>
      <c r="AA1076" s="139"/>
      <c r="AB1076" s="149"/>
      <c r="AC1076" s="119"/>
      <c r="AD1076" s="139"/>
      <c r="AE1076" s="139"/>
      <c r="AF1076" s="139"/>
      <c r="AG1076" s="139"/>
      <c r="AH1076" s="139"/>
      <c r="AI1076" s="139"/>
      <c r="AJ1076" s="139"/>
      <c r="AK1076" s="139"/>
      <c r="AL1076" s="139"/>
      <c r="AM1076" s="139"/>
      <c r="AN1076" s="139"/>
      <c r="AO1076" s="139"/>
      <c r="AP1076" s="139"/>
      <c r="AQ1076" s="174"/>
      <c r="AR1076" s="222"/>
    </row>
    <row r="1077" spans="2:44" s="140" customFormat="1" ht="18" customHeight="1" x14ac:dyDescent="0.25">
      <c r="B1077" s="145"/>
      <c r="C1077" s="139"/>
      <c r="D1077" s="146"/>
      <c r="E1077" s="139"/>
      <c r="F1077" s="139"/>
      <c r="G1077" s="139"/>
      <c r="H1077" s="139"/>
      <c r="I1077" s="139"/>
      <c r="J1077" s="139"/>
      <c r="K1077" s="139"/>
      <c r="L1077" s="243"/>
      <c r="M1077" s="243"/>
      <c r="N1077" s="139"/>
      <c r="O1077" s="139"/>
      <c r="P1077" s="139"/>
      <c r="Q1077" s="147"/>
      <c r="R1077" s="139"/>
      <c r="S1077" s="139"/>
      <c r="T1077" s="139"/>
      <c r="U1077" s="139"/>
      <c r="V1077" s="139"/>
      <c r="W1077" s="139"/>
      <c r="X1077" s="146"/>
      <c r="Y1077" s="148"/>
      <c r="Z1077" s="145"/>
      <c r="AA1077" s="139"/>
      <c r="AB1077" s="149"/>
      <c r="AC1077" s="119"/>
      <c r="AD1077" s="139"/>
      <c r="AE1077" s="139"/>
      <c r="AF1077" s="139"/>
      <c r="AG1077" s="139"/>
      <c r="AH1077" s="139"/>
      <c r="AI1077" s="139"/>
      <c r="AJ1077" s="139"/>
      <c r="AK1077" s="139"/>
      <c r="AL1077" s="139"/>
      <c r="AM1077" s="139"/>
      <c r="AN1077" s="139"/>
      <c r="AO1077" s="139"/>
      <c r="AP1077" s="139"/>
      <c r="AQ1077" s="174"/>
      <c r="AR1077" s="222"/>
    </row>
    <row r="1078" spans="2:44" s="22" customFormat="1" ht="18" customHeight="1" x14ac:dyDescent="0.25">
      <c r="B1078" s="145"/>
      <c r="C1078" s="139"/>
      <c r="D1078" s="146"/>
      <c r="E1078" s="139"/>
      <c r="F1078" s="139"/>
      <c r="G1078" s="139"/>
      <c r="H1078" s="139"/>
      <c r="I1078" s="139"/>
      <c r="J1078" s="139"/>
      <c r="K1078" s="139"/>
      <c r="L1078" s="243"/>
      <c r="M1078" s="243"/>
      <c r="N1078" s="139"/>
      <c r="O1078" s="139"/>
      <c r="P1078" s="139"/>
      <c r="Q1078" s="147"/>
      <c r="R1078" s="139"/>
      <c r="S1078" s="139"/>
      <c r="T1078" s="139"/>
      <c r="U1078" s="139"/>
      <c r="V1078" s="139"/>
      <c r="W1078" s="139"/>
      <c r="X1078" s="146"/>
      <c r="Y1078" s="148"/>
      <c r="Z1078" s="145"/>
      <c r="AA1078" s="139"/>
      <c r="AB1078" s="149"/>
      <c r="AC1078" s="119"/>
      <c r="AD1078" s="139"/>
      <c r="AE1078" s="139"/>
      <c r="AF1078" s="139"/>
      <c r="AG1078" s="139"/>
      <c r="AH1078" s="139"/>
      <c r="AI1078" s="139"/>
      <c r="AJ1078" s="139"/>
      <c r="AK1078" s="139"/>
      <c r="AL1078" s="139"/>
      <c r="AM1078" s="139"/>
      <c r="AN1078" s="139"/>
      <c r="AO1078" s="139"/>
      <c r="AP1078" s="139"/>
      <c r="AQ1078" s="174"/>
      <c r="AR1078" s="222"/>
    </row>
    <row r="1079" spans="2:44" s="22" customFormat="1" ht="18" customHeight="1" x14ac:dyDescent="0.25">
      <c r="B1079" s="145"/>
      <c r="C1079" s="139"/>
      <c r="D1079" s="146"/>
      <c r="E1079" s="139"/>
      <c r="F1079" s="139"/>
      <c r="G1079" s="139"/>
      <c r="H1079" s="139"/>
      <c r="I1079" s="139"/>
      <c r="J1079" s="139"/>
      <c r="K1079" s="139"/>
      <c r="L1079" s="243"/>
      <c r="M1079" s="243"/>
      <c r="N1079" s="139"/>
      <c r="O1079" s="139"/>
      <c r="P1079" s="139"/>
      <c r="Q1079" s="147"/>
      <c r="R1079" s="139"/>
      <c r="S1079" s="139"/>
      <c r="T1079" s="139"/>
      <c r="U1079" s="139"/>
      <c r="V1079" s="139"/>
      <c r="W1079" s="139"/>
      <c r="X1079" s="146"/>
      <c r="Y1079" s="148"/>
      <c r="Z1079" s="145"/>
      <c r="AA1079" s="139"/>
      <c r="AB1079" s="149"/>
      <c r="AC1079" s="119"/>
      <c r="AD1079" s="139"/>
      <c r="AE1079" s="139"/>
      <c r="AF1079" s="139"/>
      <c r="AG1079" s="139"/>
      <c r="AH1079" s="139"/>
      <c r="AI1079" s="139"/>
      <c r="AJ1079" s="139"/>
      <c r="AK1079" s="139"/>
      <c r="AL1079" s="139"/>
      <c r="AM1079" s="139"/>
      <c r="AN1079" s="139"/>
      <c r="AO1079" s="139"/>
      <c r="AP1079" s="139"/>
      <c r="AQ1079" s="174"/>
      <c r="AR1079" s="222"/>
    </row>
    <row r="1080" spans="2:44" s="22" customFormat="1" ht="18" customHeight="1" x14ac:dyDescent="0.25">
      <c r="B1080" s="145"/>
      <c r="C1080" s="139"/>
      <c r="D1080" s="146"/>
      <c r="E1080" s="139"/>
      <c r="F1080" s="139"/>
      <c r="G1080" s="139"/>
      <c r="H1080" s="139"/>
      <c r="I1080" s="139"/>
      <c r="J1080" s="139"/>
      <c r="K1080" s="139"/>
      <c r="L1080" s="243"/>
      <c r="M1080" s="243"/>
      <c r="N1080" s="139"/>
      <c r="O1080" s="139"/>
      <c r="P1080" s="139"/>
      <c r="Q1080" s="147"/>
      <c r="R1080" s="139"/>
      <c r="S1080" s="139"/>
      <c r="T1080" s="139"/>
      <c r="U1080" s="139"/>
      <c r="V1080" s="139"/>
      <c r="W1080" s="139"/>
      <c r="X1080" s="146"/>
      <c r="Y1080" s="148"/>
      <c r="Z1080" s="145"/>
      <c r="AA1080" s="139"/>
      <c r="AB1080" s="149"/>
      <c r="AC1080" s="119"/>
      <c r="AD1080" s="139"/>
      <c r="AE1080" s="139"/>
      <c r="AF1080" s="139"/>
      <c r="AG1080" s="139"/>
      <c r="AH1080" s="139"/>
      <c r="AI1080" s="139"/>
      <c r="AJ1080" s="139"/>
      <c r="AK1080" s="139"/>
      <c r="AL1080" s="139"/>
      <c r="AM1080" s="139"/>
      <c r="AN1080" s="139"/>
      <c r="AO1080" s="139"/>
      <c r="AP1080" s="139"/>
      <c r="AQ1080" s="174"/>
      <c r="AR1080" s="222"/>
    </row>
    <row r="1081" spans="2:44" s="22" customFormat="1" ht="18" customHeight="1" x14ac:dyDescent="0.25">
      <c r="B1081" s="145"/>
      <c r="C1081" s="139"/>
      <c r="D1081" s="146"/>
      <c r="E1081" s="139"/>
      <c r="F1081" s="139"/>
      <c r="G1081" s="139"/>
      <c r="H1081" s="139"/>
      <c r="I1081" s="139"/>
      <c r="J1081" s="139"/>
      <c r="K1081" s="139"/>
      <c r="L1081" s="243"/>
      <c r="M1081" s="243"/>
      <c r="N1081" s="139"/>
      <c r="O1081" s="139"/>
      <c r="P1081" s="139"/>
      <c r="Q1081" s="147"/>
      <c r="R1081" s="139"/>
      <c r="S1081" s="139"/>
      <c r="T1081" s="139"/>
      <c r="U1081" s="139"/>
      <c r="V1081" s="139"/>
      <c r="W1081" s="139"/>
      <c r="X1081" s="146"/>
      <c r="Y1081" s="148"/>
      <c r="Z1081" s="145"/>
      <c r="AA1081" s="139"/>
      <c r="AB1081" s="149"/>
      <c r="AC1081" s="119"/>
      <c r="AD1081" s="139"/>
      <c r="AE1081" s="139"/>
      <c r="AF1081" s="139"/>
      <c r="AG1081" s="139"/>
      <c r="AH1081" s="139"/>
      <c r="AI1081" s="139"/>
      <c r="AJ1081" s="139"/>
      <c r="AK1081" s="139"/>
      <c r="AL1081" s="139"/>
      <c r="AM1081" s="139"/>
      <c r="AN1081" s="139"/>
      <c r="AO1081" s="139"/>
      <c r="AP1081" s="139"/>
      <c r="AQ1081" s="174"/>
      <c r="AR1081" s="222"/>
    </row>
    <row r="1082" spans="2:44" s="140" customFormat="1" ht="18" customHeight="1" x14ac:dyDescent="0.25">
      <c r="B1082" s="145"/>
      <c r="C1082" s="139"/>
      <c r="D1082" s="146"/>
      <c r="E1082" s="139"/>
      <c r="F1082" s="139"/>
      <c r="G1082" s="139"/>
      <c r="H1082" s="139"/>
      <c r="I1082" s="139"/>
      <c r="J1082" s="139"/>
      <c r="K1082" s="139"/>
      <c r="L1082" s="243"/>
      <c r="M1082" s="243"/>
      <c r="N1082" s="139"/>
      <c r="O1082" s="139"/>
      <c r="P1082" s="139"/>
      <c r="Q1082" s="147"/>
      <c r="R1082" s="139"/>
      <c r="S1082" s="139"/>
      <c r="T1082" s="139"/>
      <c r="U1082" s="139"/>
      <c r="V1082" s="139"/>
      <c r="W1082" s="139"/>
      <c r="X1082" s="146"/>
      <c r="Y1082" s="148"/>
      <c r="Z1082" s="145"/>
      <c r="AA1082" s="139"/>
      <c r="AB1082" s="149"/>
      <c r="AC1082" s="119"/>
      <c r="AD1082" s="139"/>
      <c r="AE1082" s="139"/>
      <c r="AF1082" s="139"/>
      <c r="AG1082" s="139"/>
      <c r="AH1082" s="139"/>
      <c r="AI1082" s="139"/>
      <c r="AJ1082" s="139"/>
      <c r="AK1082" s="139"/>
      <c r="AL1082" s="139"/>
      <c r="AM1082" s="139"/>
      <c r="AN1082" s="139"/>
      <c r="AO1082" s="139"/>
      <c r="AP1082" s="139"/>
      <c r="AQ1082" s="174"/>
      <c r="AR1082" s="222"/>
    </row>
    <row r="1083" spans="2:44" s="22" customFormat="1" ht="18" customHeight="1" x14ac:dyDescent="0.25">
      <c r="B1083" s="145"/>
      <c r="C1083" s="139"/>
      <c r="D1083" s="146"/>
      <c r="E1083" s="139"/>
      <c r="F1083" s="139"/>
      <c r="G1083" s="139"/>
      <c r="H1083" s="139"/>
      <c r="I1083" s="139"/>
      <c r="J1083" s="139"/>
      <c r="K1083" s="139"/>
      <c r="L1083" s="243"/>
      <c r="M1083" s="243"/>
      <c r="N1083" s="139"/>
      <c r="O1083" s="139"/>
      <c r="P1083" s="139"/>
      <c r="Q1083" s="147"/>
      <c r="R1083" s="139"/>
      <c r="S1083" s="139"/>
      <c r="T1083" s="139"/>
      <c r="U1083" s="139"/>
      <c r="V1083" s="139"/>
      <c r="W1083" s="139"/>
      <c r="X1083" s="146"/>
      <c r="Y1083" s="148"/>
      <c r="Z1083" s="145"/>
      <c r="AA1083" s="139"/>
      <c r="AB1083" s="149"/>
      <c r="AC1083" s="119"/>
      <c r="AD1083" s="139"/>
      <c r="AE1083" s="139"/>
      <c r="AF1083" s="139"/>
      <c r="AG1083" s="139"/>
      <c r="AH1083" s="139"/>
      <c r="AI1083" s="139"/>
      <c r="AJ1083" s="139"/>
      <c r="AK1083" s="139"/>
      <c r="AL1083" s="139"/>
      <c r="AM1083" s="139"/>
      <c r="AN1083" s="139"/>
      <c r="AO1083" s="139"/>
      <c r="AP1083" s="139"/>
      <c r="AQ1083" s="174"/>
      <c r="AR1083" s="222"/>
    </row>
    <row r="1084" spans="2:44" s="22" customFormat="1" ht="18" customHeight="1" x14ac:dyDescent="0.25">
      <c r="B1084" s="145"/>
      <c r="C1084" s="139"/>
      <c r="D1084" s="146"/>
      <c r="E1084" s="139"/>
      <c r="F1084" s="139"/>
      <c r="G1084" s="139"/>
      <c r="H1084" s="139"/>
      <c r="I1084" s="139"/>
      <c r="J1084" s="139"/>
      <c r="K1084" s="139"/>
      <c r="L1084" s="243"/>
      <c r="M1084" s="243"/>
      <c r="N1084" s="139"/>
      <c r="O1084" s="139"/>
      <c r="P1084" s="139"/>
      <c r="Q1084" s="147"/>
      <c r="R1084" s="139"/>
      <c r="S1084" s="139"/>
      <c r="T1084" s="139"/>
      <c r="U1084" s="139"/>
      <c r="V1084" s="139"/>
      <c r="W1084" s="139"/>
      <c r="X1084" s="146"/>
      <c r="Y1084" s="148"/>
      <c r="Z1084" s="145"/>
      <c r="AA1084" s="139"/>
      <c r="AB1084" s="149"/>
      <c r="AC1084" s="119"/>
      <c r="AD1084" s="139"/>
      <c r="AE1084" s="139"/>
      <c r="AF1084" s="139"/>
      <c r="AG1084" s="139"/>
      <c r="AH1084" s="139"/>
      <c r="AI1084" s="139"/>
      <c r="AJ1084" s="139"/>
      <c r="AK1084" s="139"/>
      <c r="AL1084" s="139"/>
      <c r="AM1084" s="139"/>
      <c r="AN1084" s="139"/>
      <c r="AO1084" s="139"/>
      <c r="AP1084" s="139"/>
      <c r="AQ1084" s="174"/>
      <c r="AR1084" s="222"/>
    </row>
    <row r="1085" spans="2:44" s="22" customFormat="1" ht="18" customHeight="1" x14ac:dyDescent="0.25">
      <c r="B1085" s="145"/>
      <c r="C1085" s="139"/>
      <c r="D1085" s="146"/>
      <c r="E1085" s="139"/>
      <c r="F1085" s="139"/>
      <c r="G1085" s="139"/>
      <c r="H1085" s="139"/>
      <c r="I1085" s="139"/>
      <c r="J1085" s="139"/>
      <c r="K1085" s="139"/>
      <c r="L1085" s="243"/>
      <c r="M1085" s="243"/>
      <c r="N1085" s="139"/>
      <c r="O1085" s="139"/>
      <c r="P1085" s="139"/>
      <c r="Q1085" s="147"/>
      <c r="R1085" s="139"/>
      <c r="S1085" s="139"/>
      <c r="T1085" s="139"/>
      <c r="U1085" s="139"/>
      <c r="V1085" s="139"/>
      <c r="W1085" s="139"/>
      <c r="X1085" s="146"/>
      <c r="Y1085" s="148"/>
      <c r="Z1085" s="145"/>
      <c r="AA1085" s="139"/>
      <c r="AB1085" s="149"/>
      <c r="AC1085" s="119"/>
      <c r="AD1085" s="139"/>
      <c r="AE1085" s="139"/>
      <c r="AF1085" s="139"/>
      <c r="AG1085" s="139"/>
      <c r="AH1085" s="139"/>
      <c r="AI1085" s="139"/>
      <c r="AJ1085" s="139"/>
      <c r="AK1085" s="139"/>
      <c r="AL1085" s="139"/>
      <c r="AM1085" s="139"/>
      <c r="AN1085" s="139"/>
      <c r="AO1085" s="139"/>
      <c r="AP1085" s="139"/>
      <c r="AQ1085" s="174"/>
      <c r="AR1085" s="222"/>
    </row>
    <row r="1086" spans="2:44" s="22" customFormat="1" ht="18" customHeight="1" x14ac:dyDescent="0.25">
      <c r="B1086" s="145"/>
      <c r="C1086" s="139"/>
      <c r="D1086" s="146"/>
      <c r="E1086" s="139"/>
      <c r="F1086" s="139"/>
      <c r="G1086" s="139"/>
      <c r="H1086" s="139"/>
      <c r="I1086" s="139"/>
      <c r="J1086" s="139"/>
      <c r="K1086" s="139"/>
      <c r="L1086" s="243"/>
      <c r="M1086" s="243"/>
      <c r="N1086" s="139"/>
      <c r="O1086" s="139"/>
      <c r="P1086" s="139"/>
      <c r="Q1086" s="147"/>
      <c r="R1086" s="139"/>
      <c r="S1086" s="139"/>
      <c r="T1086" s="139"/>
      <c r="U1086" s="139"/>
      <c r="V1086" s="139"/>
      <c r="W1086" s="139"/>
      <c r="X1086" s="146"/>
      <c r="Y1086" s="148"/>
      <c r="Z1086" s="145"/>
      <c r="AA1086" s="139"/>
      <c r="AB1086" s="149"/>
      <c r="AC1086" s="119"/>
      <c r="AD1086" s="139"/>
      <c r="AE1086" s="139"/>
      <c r="AF1086" s="139"/>
      <c r="AG1086" s="139"/>
      <c r="AH1086" s="139"/>
      <c r="AI1086" s="139"/>
      <c r="AJ1086" s="139"/>
      <c r="AK1086" s="139"/>
      <c r="AL1086" s="139"/>
      <c r="AM1086" s="139"/>
      <c r="AN1086" s="139"/>
      <c r="AO1086" s="139"/>
      <c r="AP1086" s="139"/>
      <c r="AQ1086" s="174"/>
      <c r="AR1086" s="222"/>
    </row>
    <row r="1087" spans="2:44" s="22" customFormat="1" ht="18" customHeight="1" x14ac:dyDescent="0.25">
      <c r="B1087" s="145"/>
      <c r="C1087" s="139"/>
      <c r="D1087" s="146"/>
      <c r="E1087" s="139"/>
      <c r="F1087" s="139"/>
      <c r="G1087" s="139"/>
      <c r="H1087" s="139"/>
      <c r="I1087" s="139"/>
      <c r="J1087" s="139"/>
      <c r="K1087" s="139"/>
      <c r="L1087" s="243"/>
      <c r="M1087" s="243"/>
      <c r="N1087" s="139"/>
      <c r="O1087" s="139"/>
      <c r="P1087" s="139"/>
      <c r="Q1087" s="147"/>
      <c r="R1087" s="139"/>
      <c r="S1087" s="139"/>
      <c r="T1087" s="139"/>
      <c r="U1087" s="139"/>
      <c r="V1087" s="139"/>
      <c r="W1087" s="139"/>
      <c r="X1087" s="146"/>
      <c r="Y1087" s="148"/>
      <c r="Z1087" s="145"/>
      <c r="AA1087" s="139"/>
      <c r="AB1087" s="149"/>
      <c r="AC1087" s="119"/>
      <c r="AD1087" s="139"/>
      <c r="AE1087" s="139"/>
      <c r="AF1087" s="139"/>
      <c r="AG1087" s="139"/>
      <c r="AH1087" s="139"/>
      <c r="AI1087" s="139"/>
      <c r="AJ1087" s="139"/>
      <c r="AK1087" s="139"/>
      <c r="AL1087" s="139"/>
      <c r="AM1087" s="139"/>
      <c r="AN1087" s="139"/>
      <c r="AO1087" s="139"/>
      <c r="AP1087" s="139"/>
      <c r="AQ1087" s="174"/>
      <c r="AR1087" s="222"/>
    </row>
    <row r="1088" spans="2:44" s="22" customFormat="1" ht="18" customHeight="1" x14ac:dyDescent="0.25">
      <c r="B1088" s="145"/>
      <c r="C1088" s="139"/>
      <c r="D1088" s="146"/>
      <c r="E1088" s="139"/>
      <c r="F1088" s="139"/>
      <c r="G1088" s="139"/>
      <c r="H1088" s="139"/>
      <c r="I1088" s="139"/>
      <c r="J1088" s="139"/>
      <c r="K1088" s="139"/>
      <c r="L1088" s="243"/>
      <c r="M1088" s="243"/>
      <c r="N1088" s="139"/>
      <c r="O1088" s="139"/>
      <c r="P1088" s="139"/>
      <c r="Q1088" s="147"/>
      <c r="R1088" s="139"/>
      <c r="S1088" s="139"/>
      <c r="T1088" s="139"/>
      <c r="U1088" s="139"/>
      <c r="V1088" s="139"/>
      <c r="W1088" s="139"/>
      <c r="X1088" s="146"/>
      <c r="Y1088" s="148"/>
      <c r="Z1088" s="145"/>
      <c r="AA1088" s="139"/>
      <c r="AB1088" s="149"/>
      <c r="AC1088" s="119"/>
      <c r="AD1088" s="139"/>
      <c r="AE1088" s="139"/>
      <c r="AF1088" s="139"/>
      <c r="AG1088" s="139"/>
      <c r="AH1088" s="139"/>
      <c r="AI1088" s="139"/>
      <c r="AJ1088" s="139"/>
      <c r="AK1088" s="139"/>
      <c r="AL1088" s="139"/>
      <c r="AM1088" s="139"/>
      <c r="AN1088" s="139"/>
      <c r="AO1088" s="139"/>
      <c r="AP1088" s="139"/>
      <c r="AQ1088" s="174"/>
      <c r="AR1088" s="222"/>
    </row>
    <row r="1089" spans="2:44" s="22" customFormat="1" ht="18" customHeight="1" x14ac:dyDescent="0.25">
      <c r="B1089" s="145"/>
      <c r="C1089" s="139"/>
      <c r="D1089" s="146"/>
      <c r="E1089" s="139"/>
      <c r="F1089" s="139"/>
      <c r="G1089" s="139"/>
      <c r="H1089" s="139"/>
      <c r="I1089" s="139"/>
      <c r="J1089" s="139"/>
      <c r="K1089" s="139"/>
      <c r="L1089" s="243"/>
      <c r="M1089" s="243"/>
      <c r="N1089" s="139"/>
      <c r="O1089" s="139"/>
      <c r="P1089" s="139"/>
      <c r="Q1089" s="147"/>
      <c r="R1089" s="139"/>
      <c r="S1089" s="139"/>
      <c r="T1089" s="139"/>
      <c r="U1089" s="139"/>
      <c r="V1089" s="139"/>
      <c r="W1089" s="139"/>
      <c r="X1089" s="146"/>
      <c r="Y1089" s="148"/>
      <c r="Z1089" s="145"/>
      <c r="AA1089" s="139"/>
      <c r="AB1089" s="149"/>
      <c r="AC1089" s="119"/>
      <c r="AD1089" s="139"/>
      <c r="AE1089" s="139"/>
      <c r="AF1089" s="139"/>
      <c r="AG1089" s="139"/>
      <c r="AH1089" s="139"/>
      <c r="AI1089" s="139"/>
      <c r="AJ1089" s="139"/>
      <c r="AK1089" s="139"/>
      <c r="AL1089" s="139"/>
      <c r="AM1089" s="139"/>
      <c r="AN1089" s="139"/>
      <c r="AO1089" s="139"/>
      <c r="AP1089" s="139"/>
      <c r="AQ1089" s="174"/>
      <c r="AR1089" s="222"/>
    </row>
    <row r="1090" spans="2:44" s="22" customFormat="1" ht="18" customHeight="1" x14ac:dyDescent="0.25">
      <c r="B1090" s="145"/>
      <c r="C1090" s="139"/>
      <c r="D1090" s="146"/>
      <c r="E1090" s="139"/>
      <c r="F1090" s="139"/>
      <c r="G1090" s="139"/>
      <c r="H1090" s="139"/>
      <c r="I1090" s="139"/>
      <c r="J1090" s="139"/>
      <c r="K1090" s="139"/>
      <c r="L1090" s="243"/>
      <c r="M1090" s="243"/>
      <c r="N1090" s="139"/>
      <c r="O1090" s="139"/>
      <c r="P1090" s="139"/>
      <c r="Q1090" s="147"/>
      <c r="R1090" s="139"/>
      <c r="S1090" s="139"/>
      <c r="T1090" s="139"/>
      <c r="U1090" s="139"/>
      <c r="V1090" s="139"/>
      <c r="W1090" s="139"/>
      <c r="X1090" s="146"/>
      <c r="Y1090" s="148"/>
      <c r="Z1090" s="145"/>
      <c r="AA1090" s="139"/>
      <c r="AB1090" s="149"/>
      <c r="AC1090" s="119"/>
      <c r="AD1090" s="139"/>
      <c r="AE1090" s="139"/>
      <c r="AF1090" s="139"/>
      <c r="AG1090" s="139"/>
      <c r="AH1090" s="139"/>
      <c r="AI1090" s="139"/>
      <c r="AJ1090" s="139"/>
      <c r="AK1090" s="139"/>
      <c r="AL1090" s="139"/>
      <c r="AM1090" s="139"/>
      <c r="AN1090" s="139"/>
      <c r="AO1090" s="139"/>
      <c r="AP1090" s="139"/>
      <c r="AQ1090" s="174"/>
      <c r="AR1090" s="222"/>
    </row>
    <row r="1091" spans="2:44" s="22" customFormat="1" ht="18" customHeight="1" x14ac:dyDescent="0.25">
      <c r="B1091" s="145"/>
      <c r="C1091" s="139"/>
      <c r="D1091" s="146"/>
      <c r="E1091" s="139"/>
      <c r="F1091" s="139"/>
      <c r="G1091" s="139"/>
      <c r="H1091" s="139"/>
      <c r="I1091" s="139"/>
      <c r="J1091" s="139"/>
      <c r="K1091" s="139"/>
      <c r="L1091" s="243"/>
      <c r="M1091" s="243"/>
      <c r="N1091" s="139"/>
      <c r="O1091" s="139"/>
      <c r="P1091" s="139"/>
      <c r="Q1091" s="147"/>
      <c r="R1091" s="139"/>
      <c r="S1091" s="139"/>
      <c r="T1091" s="139"/>
      <c r="U1091" s="139"/>
      <c r="V1091" s="139"/>
      <c r="W1091" s="139"/>
      <c r="X1091" s="146"/>
      <c r="Y1091" s="148"/>
      <c r="Z1091" s="145"/>
      <c r="AA1091" s="139"/>
      <c r="AB1091" s="149"/>
      <c r="AC1091" s="119"/>
      <c r="AD1091" s="139"/>
      <c r="AE1091" s="139"/>
      <c r="AF1091" s="139"/>
      <c r="AG1091" s="139"/>
      <c r="AH1091" s="139"/>
      <c r="AI1091" s="139"/>
      <c r="AJ1091" s="139"/>
      <c r="AK1091" s="139"/>
      <c r="AL1091" s="139"/>
      <c r="AM1091" s="139"/>
      <c r="AN1091" s="139"/>
      <c r="AO1091" s="139"/>
      <c r="AP1091" s="139"/>
      <c r="AQ1091" s="174"/>
      <c r="AR1091" s="222"/>
    </row>
    <row r="1092" spans="2:44" s="22" customFormat="1" ht="18" customHeight="1" x14ac:dyDescent="0.25">
      <c r="B1092" s="145"/>
      <c r="C1092" s="139"/>
      <c r="D1092" s="146"/>
      <c r="E1092" s="139"/>
      <c r="F1092" s="139"/>
      <c r="G1092" s="139"/>
      <c r="H1092" s="139"/>
      <c r="I1092" s="139"/>
      <c r="J1092" s="139"/>
      <c r="K1092" s="139"/>
      <c r="L1092" s="243"/>
      <c r="M1092" s="243"/>
      <c r="N1092" s="139"/>
      <c r="O1092" s="139"/>
      <c r="P1092" s="139"/>
      <c r="Q1092" s="147"/>
      <c r="R1092" s="139"/>
      <c r="S1092" s="139"/>
      <c r="T1092" s="139"/>
      <c r="U1092" s="139"/>
      <c r="V1092" s="139"/>
      <c r="W1092" s="139"/>
      <c r="X1092" s="146"/>
      <c r="Y1092" s="148"/>
      <c r="Z1092" s="145"/>
      <c r="AA1092" s="139"/>
      <c r="AB1092" s="149"/>
      <c r="AC1092" s="119"/>
      <c r="AD1092" s="139"/>
      <c r="AE1092" s="139"/>
      <c r="AF1092" s="139"/>
      <c r="AG1092" s="139"/>
      <c r="AH1092" s="139"/>
      <c r="AI1092" s="139"/>
      <c r="AJ1092" s="139"/>
      <c r="AK1092" s="139"/>
      <c r="AL1092" s="139"/>
      <c r="AM1092" s="139"/>
      <c r="AN1092" s="139"/>
      <c r="AO1092" s="139"/>
      <c r="AP1092" s="139"/>
      <c r="AQ1092" s="174"/>
      <c r="AR1092" s="222"/>
    </row>
    <row r="1093" spans="2:44" s="22" customFormat="1" ht="18" customHeight="1" x14ac:dyDescent="0.25">
      <c r="B1093" s="145"/>
      <c r="C1093" s="139"/>
      <c r="D1093" s="146"/>
      <c r="E1093" s="139"/>
      <c r="F1093" s="139"/>
      <c r="G1093" s="139"/>
      <c r="H1093" s="139"/>
      <c r="I1093" s="139"/>
      <c r="J1093" s="139"/>
      <c r="K1093" s="139"/>
      <c r="L1093" s="243"/>
      <c r="M1093" s="243"/>
      <c r="N1093" s="139"/>
      <c r="O1093" s="139"/>
      <c r="P1093" s="139"/>
      <c r="Q1093" s="147"/>
      <c r="R1093" s="139"/>
      <c r="S1093" s="139"/>
      <c r="T1093" s="139"/>
      <c r="U1093" s="139"/>
      <c r="V1093" s="139"/>
      <c r="W1093" s="139"/>
      <c r="X1093" s="146"/>
      <c r="Y1093" s="148"/>
      <c r="Z1093" s="145"/>
      <c r="AA1093" s="139"/>
      <c r="AB1093" s="149"/>
      <c r="AC1093" s="119"/>
      <c r="AD1093" s="139"/>
      <c r="AE1093" s="139"/>
      <c r="AF1093" s="139"/>
      <c r="AG1093" s="139"/>
      <c r="AH1093" s="139"/>
      <c r="AI1093" s="139"/>
      <c r="AJ1093" s="139"/>
      <c r="AK1093" s="139"/>
      <c r="AL1093" s="139"/>
      <c r="AM1093" s="139"/>
      <c r="AN1093" s="139"/>
      <c r="AO1093" s="139"/>
      <c r="AP1093" s="139"/>
      <c r="AQ1093" s="174"/>
      <c r="AR1093" s="222"/>
    </row>
    <row r="1094" spans="2:44" s="22" customFormat="1" ht="18" customHeight="1" x14ac:dyDescent="0.25">
      <c r="B1094" s="145"/>
      <c r="C1094" s="139"/>
      <c r="D1094" s="146"/>
      <c r="E1094" s="139"/>
      <c r="F1094" s="139"/>
      <c r="G1094" s="139"/>
      <c r="H1094" s="139"/>
      <c r="I1094" s="139"/>
      <c r="J1094" s="139"/>
      <c r="K1094" s="139"/>
      <c r="L1094" s="243"/>
      <c r="M1094" s="243"/>
      <c r="N1094" s="139"/>
      <c r="O1094" s="139"/>
      <c r="P1094" s="139"/>
      <c r="Q1094" s="147"/>
      <c r="R1094" s="139"/>
      <c r="S1094" s="139"/>
      <c r="T1094" s="139"/>
      <c r="U1094" s="139"/>
      <c r="V1094" s="139"/>
      <c r="W1094" s="139"/>
      <c r="X1094" s="146"/>
      <c r="Y1094" s="148"/>
      <c r="Z1094" s="145"/>
      <c r="AA1094" s="139"/>
      <c r="AB1094" s="149"/>
      <c r="AC1094" s="119"/>
      <c r="AD1094" s="139"/>
      <c r="AE1094" s="139"/>
      <c r="AF1094" s="139"/>
      <c r="AG1094" s="139"/>
      <c r="AH1094" s="139"/>
      <c r="AI1094" s="139"/>
      <c r="AJ1094" s="139"/>
      <c r="AK1094" s="139"/>
      <c r="AL1094" s="139"/>
      <c r="AM1094" s="139"/>
      <c r="AN1094" s="139"/>
      <c r="AO1094" s="139"/>
      <c r="AP1094" s="139"/>
      <c r="AQ1094" s="174"/>
      <c r="AR1094" s="222"/>
    </row>
    <row r="1095" spans="2:44" s="22" customFormat="1" ht="18" customHeight="1" x14ac:dyDescent="0.25">
      <c r="B1095" s="145"/>
      <c r="C1095" s="139"/>
      <c r="D1095" s="146"/>
      <c r="E1095" s="139"/>
      <c r="F1095" s="139"/>
      <c r="G1095" s="139"/>
      <c r="H1095" s="139"/>
      <c r="I1095" s="139"/>
      <c r="J1095" s="139"/>
      <c r="K1095" s="139"/>
      <c r="L1095" s="243"/>
      <c r="M1095" s="243"/>
      <c r="N1095" s="139"/>
      <c r="O1095" s="139"/>
      <c r="P1095" s="139"/>
      <c r="Q1095" s="147"/>
      <c r="R1095" s="139"/>
      <c r="S1095" s="139"/>
      <c r="T1095" s="139"/>
      <c r="U1095" s="139"/>
      <c r="V1095" s="139"/>
      <c r="W1095" s="139"/>
      <c r="X1095" s="146"/>
      <c r="Y1095" s="148"/>
      <c r="Z1095" s="145"/>
      <c r="AA1095" s="139"/>
      <c r="AB1095" s="149"/>
      <c r="AC1095" s="119"/>
      <c r="AD1095" s="139"/>
      <c r="AE1095" s="139"/>
      <c r="AF1095" s="139"/>
      <c r="AG1095" s="139"/>
      <c r="AH1095" s="139"/>
      <c r="AI1095" s="139"/>
      <c r="AJ1095" s="139"/>
      <c r="AK1095" s="139"/>
      <c r="AL1095" s="139"/>
      <c r="AM1095" s="139"/>
      <c r="AN1095" s="139"/>
      <c r="AO1095" s="139"/>
      <c r="AP1095" s="139"/>
      <c r="AQ1095" s="174"/>
      <c r="AR1095" s="222"/>
    </row>
    <row r="1096" spans="2:44" s="22" customFormat="1" ht="18" customHeight="1" x14ac:dyDescent="0.25">
      <c r="B1096" s="145"/>
      <c r="C1096" s="139"/>
      <c r="D1096" s="146"/>
      <c r="E1096" s="139"/>
      <c r="F1096" s="139"/>
      <c r="G1096" s="139"/>
      <c r="H1096" s="139"/>
      <c r="I1096" s="139"/>
      <c r="J1096" s="139"/>
      <c r="K1096" s="139"/>
      <c r="L1096" s="243"/>
      <c r="M1096" s="243"/>
      <c r="N1096" s="139"/>
      <c r="O1096" s="139"/>
      <c r="P1096" s="139"/>
      <c r="Q1096" s="147"/>
      <c r="R1096" s="139"/>
      <c r="S1096" s="139"/>
      <c r="T1096" s="139"/>
      <c r="U1096" s="139"/>
      <c r="V1096" s="139"/>
      <c r="W1096" s="139"/>
      <c r="X1096" s="146"/>
      <c r="Y1096" s="148"/>
      <c r="Z1096" s="145"/>
      <c r="AA1096" s="139"/>
      <c r="AB1096" s="149"/>
      <c r="AC1096" s="119"/>
      <c r="AD1096" s="139"/>
      <c r="AE1096" s="139"/>
      <c r="AF1096" s="139"/>
      <c r="AG1096" s="139"/>
      <c r="AH1096" s="139"/>
      <c r="AI1096" s="139"/>
      <c r="AJ1096" s="139"/>
      <c r="AK1096" s="139"/>
      <c r="AL1096" s="139"/>
      <c r="AM1096" s="139"/>
      <c r="AN1096" s="139"/>
      <c r="AO1096" s="139"/>
      <c r="AP1096" s="139"/>
      <c r="AQ1096" s="174"/>
      <c r="AR1096" s="222"/>
    </row>
    <row r="1097" spans="2:44" s="22" customFormat="1" ht="18" customHeight="1" x14ac:dyDescent="0.25">
      <c r="B1097" s="145"/>
      <c r="C1097" s="139"/>
      <c r="D1097" s="146"/>
      <c r="E1097" s="139"/>
      <c r="F1097" s="139"/>
      <c r="G1097" s="139"/>
      <c r="H1097" s="139"/>
      <c r="I1097" s="139"/>
      <c r="J1097" s="139"/>
      <c r="K1097" s="139"/>
      <c r="L1097" s="243"/>
      <c r="M1097" s="243"/>
      <c r="N1097" s="139"/>
      <c r="O1097" s="139"/>
      <c r="P1097" s="139"/>
      <c r="Q1097" s="147"/>
      <c r="R1097" s="139"/>
      <c r="S1097" s="139"/>
      <c r="T1097" s="139"/>
      <c r="U1097" s="139"/>
      <c r="V1097" s="139"/>
      <c r="W1097" s="139"/>
      <c r="X1097" s="146"/>
      <c r="Y1097" s="148"/>
      <c r="Z1097" s="145"/>
      <c r="AA1097" s="139"/>
      <c r="AB1097" s="149"/>
      <c r="AC1097" s="119"/>
      <c r="AD1097" s="139"/>
      <c r="AE1097" s="139"/>
      <c r="AF1097" s="139"/>
      <c r="AG1097" s="139"/>
      <c r="AH1097" s="139"/>
      <c r="AI1097" s="139"/>
      <c r="AJ1097" s="139"/>
      <c r="AK1097" s="139"/>
      <c r="AL1097" s="139"/>
      <c r="AM1097" s="139"/>
      <c r="AN1097" s="139"/>
      <c r="AO1097" s="139"/>
      <c r="AP1097" s="139"/>
      <c r="AQ1097" s="174"/>
      <c r="AR1097" s="222"/>
    </row>
    <row r="1098" spans="2:44" s="140" customFormat="1" ht="18" customHeight="1" x14ac:dyDescent="0.25">
      <c r="B1098" s="145"/>
      <c r="C1098" s="139"/>
      <c r="D1098" s="146"/>
      <c r="E1098" s="139"/>
      <c r="F1098" s="139"/>
      <c r="G1098" s="139"/>
      <c r="H1098" s="139"/>
      <c r="I1098" s="139"/>
      <c r="J1098" s="139"/>
      <c r="K1098" s="139"/>
      <c r="L1098" s="243"/>
      <c r="M1098" s="243"/>
      <c r="N1098" s="139"/>
      <c r="O1098" s="139"/>
      <c r="P1098" s="139"/>
      <c r="Q1098" s="147"/>
      <c r="R1098" s="139"/>
      <c r="S1098" s="139"/>
      <c r="T1098" s="139"/>
      <c r="U1098" s="139"/>
      <c r="V1098" s="139"/>
      <c r="W1098" s="139"/>
      <c r="X1098" s="146"/>
      <c r="Y1098" s="148"/>
      <c r="Z1098" s="145"/>
      <c r="AA1098" s="139"/>
      <c r="AB1098" s="149"/>
      <c r="AC1098" s="119"/>
      <c r="AD1098" s="139"/>
      <c r="AE1098" s="139"/>
      <c r="AF1098" s="139"/>
      <c r="AG1098" s="139"/>
      <c r="AH1098" s="139"/>
      <c r="AI1098" s="139"/>
      <c r="AJ1098" s="139"/>
      <c r="AK1098" s="139"/>
      <c r="AL1098" s="139"/>
      <c r="AM1098" s="139"/>
      <c r="AN1098" s="139"/>
      <c r="AO1098" s="139"/>
      <c r="AP1098" s="139"/>
      <c r="AQ1098" s="174"/>
      <c r="AR1098" s="222"/>
    </row>
    <row r="1099" spans="2:44" s="22" customFormat="1" ht="18" customHeight="1" x14ac:dyDescent="0.25">
      <c r="B1099" s="145"/>
      <c r="C1099" s="139"/>
      <c r="D1099" s="146"/>
      <c r="E1099" s="139"/>
      <c r="F1099" s="139"/>
      <c r="G1099" s="139"/>
      <c r="H1099" s="139"/>
      <c r="I1099" s="139"/>
      <c r="J1099" s="139"/>
      <c r="K1099" s="139"/>
      <c r="L1099" s="243"/>
      <c r="M1099" s="243"/>
      <c r="N1099" s="139"/>
      <c r="O1099" s="139"/>
      <c r="P1099" s="139"/>
      <c r="Q1099" s="147"/>
      <c r="R1099" s="139"/>
      <c r="S1099" s="139"/>
      <c r="T1099" s="139"/>
      <c r="U1099" s="139"/>
      <c r="V1099" s="139"/>
      <c r="W1099" s="139"/>
      <c r="X1099" s="146"/>
      <c r="Y1099" s="148"/>
      <c r="Z1099" s="145"/>
      <c r="AA1099" s="139"/>
      <c r="AB1099" s="149"/>
      <c r="AC1099" s="119"/>
      <c r="AD1099" s="139"/>
      <c r="AE1099" s="139"/>
      <c r="AF1099" s="139"/>
      <c r="AG1099" s="139"/>
      <c r="AH1099" s="139"/>
      <c r="AI1099" s="139"/>
      <c r="AJ1099" s="139"/>
      <c r="AK1099" s="139"/>
      <c r="AL1099" s="139"/>
      <c r="AM1099" s="139"/>
      <c r="AN1099" s="139"/>
      <c r="AO1099" s="139"/>
      <c r="AP1099" s="139"/>
      <c r="AQ1099" s="174"/>
      <c r="AR1099" s="222"/>
    </row>
    <row r="1100" spans="2:44" s="22" customFormat="1" ht="18" customHeight="1" x14ac:dyDescent="0.25">
      <c r="B1100" s="145"/>
      <c r="C1100" s="139"/>
      <c r="D1100" s="146"/>
      <c r="E1100" s="139"/>
      <c r="F1100" s="139"/>
      <c r="G1100" s="139"/>
      <c r="H1100" s="139"/>
      <c r="I1100" s="139"/>
      <c r="J1100" s="139"/>
      <c r="K1100" s="139"/>
      <c r="L1100" s="243"/>
      <c r="M1100" s="243"/>
      <c r="N1100" s="139"/>
      <c r="O1100" s="139"/>
      <c r="P1100" s="139"/>
      <c r="Q1100" s="147"/>
      <c r="R1100" s="139"/>
      <c r="S1100" s="139"/>
      <c r="T1100" s="139"/>
      <c r="U1100" s="139"/>
      <c r="V1100" s="139"/>
      <c r="W1100" s="139"/>
      <c r="X1100" s="146"/>
      <c r="Y1100" s="148"/>
      <c r="Z1100" s="145"/>
      <c r="AA1100" s="139"/>
      <c r="AB1100" s="149"/>
      <c r="AC1100" s="119"/>
      <c r="AD1100" s="139"/>
      <c r="AE1100" s="139"/>
      <c r="AF1100" s="139"/>
      <c r="AG1100" s="139"/>
      <c r="AH1100" s="139"/>
      <c r="AI1100" s="139"/>
      <c r="AJ1100" s="139"/>
      <c r="AK1100" s="139"/>
      <c r="AL1100" s="139"/>
      <c r="AM1100" s="139"/>
      <c r="AN1100" s="139"/>
      <c r="AO1100" s="139"/>
      <c r="AP1100" s="139"/>
      <c r="AQ1100" s="174"/>
      <c r="AR1100" s="222"/>
    </row>
    <row r="1101" spans="2:44" s="22" customFormat="1" ht="18" customHeight="1" x14ac:dyDescent="0.25">
      <c r="B1101" s="145"/>
      <c r="C1101" s="139"/>
      <c r="D1101" s="146"/>
      <c r="E1101" s="139"/>
      <c r="F1101" s="139"/>
      <c r="G1101" s="139"/>
      <c r="H1101" s="139"/>
      <c r="I1101" s="139"/>
      <c r="J1101" s="139"/>
      <c r="K1101" s="139"/>
      <c r="L1101" s="243"/>
      <c r="M1101" s="243"/>
      <c r="N1101" s="139"/>
      <c r="O1101" s="139"/>
      <c r="P1101" s="139"/>
      <c r="Q1101" s="147"/>
      <c r="R1101" s="139"/>
      <c r="S1101" s="139"/>
      <c r="T1101" s="139"/>
      <c r="U1101" s="139"/>
      <c r="V1101" s="139"/>
      <c r="W1101" s="139"/>
      <c r="X1101" s="146"/>
      <c r="Y1101" s="148"/>
      <c r="Z1101" s="145"/>
      <c r="AA1101" s="139"/>
      <c r="AB1101" s="149"/>
      <c r="AC1101" s="119"/>
      <c r="AD1101" s="139"/>
      <c r="AE1101" s="139"/>
      <c r="AF1101" s="139"/>
      <c r="AG1101" s="139"/>
      <c r="AH1101" s="139"/>
      <c r="AI1101" s="139"/>
      <c r="AJ1101" s="139"/>
      <c r="AK1101" s="139"/>
      <c r="AL1101" s="139"/>
      <c r="AM1101" s="139"/>
      <c r="AN1101" s="139"/>
      <c r="AO1101" s="139"/>
      <c r="AP1101" s="139"/>
      <c r="AQ1101" s="174"/>
      <c r="AR1101" s="222"/>
    </row>
    <row r="1102" spans="2:44" s="22" customFormat="1" ht="18" customHeight="1" x14ac:dyDescent="0.25">
      <c r="B1102" s="145"/>
      <c r="C1102" s="139"/>
      <c r="D1102" s="146"/>
      <c r="E1102" s="139"/>
      <c r="F1102" s="139"/>
      <c r="G1102" s="139"/>
      <c r="H1102" s="139"/>
      <c r="I1102" s="139"/>
      <c r="J1102" s="139"/>
      <c r="K1102" s="139"/>
      <c r="L1102" s="243"/>
      <c r="M1102" s="243"/>
      <c r="N1102" s="139"/>
      <c r="O1102" s="139"/>
      <c r="P1102" s="139"/>
      <c r="Q1102" s="147"/>
      <c r="R1102" s="139"/>
      <c r="S1102" s="139"/>
      <c r="T1102" s="139"/>
      <c r="U1102" s="139"/>
      <c r="V1102" s="139"/>
      <c r="W1102" s="139"/>
      <c r="X1102" s="146"/>
      <c r="Y1102" s="148"/>
      <c r="Z1102" s="145"/>
      <c r="AA1102" s="139"/>
      <c r="AB1102" s="149"/>
      <c r="AC1102" s="119"/>
      <c r="AD1102" s="139"/>
      <c r="AE1102" s="139"/>
      <c r="AF1102" s="139"/>
      <c r="AG1102" s="139"/>
      <c r="AH1102" s="139"/>
      <c r="AI1102" s="139"/>
      <c r="AJ1102" s="139"/>
      <c r="AK1102" s="139"/>
      <c r="AL1102" s="139"/>
      <c r="AM1102" s="139"/>
      <c r="AN1102" s="139"/>
      <c r="AO1102" s="139"/>
      <c r="AP1102" s="139"/>
      <c r="AQ1102" s="174"/>
      <c r="AR1102" s="222"/>
    </row>
    <row r="1103" spans="2:44" s="140" customFormat="1" ht="18" customHeight="1" x14ac:dyDescent="0.25">
      <c r="B1103" s="145"/>
      <c r="C1103" s="139"/>
      <c r="D1103" s="146"/>
      <c r="E1103" s="139"/>
      <c r="F1103" s="139"/>
      <c r="G1103" s="139"/>
      <c r="H1103" s="139"/>
      <c r="I1103" s="139"/>
      <c r="J1103" s="139"/>
      <c r="K1103" s="139"/>
      <c r="L1103" s="243"/>
      <c r="M1103" s="243"/>
      <c r="N1103" s="139"/>
      <c r="O1103" s="139"/>
      <c r="P1103" s="139"/>
      <c r="Q1103" s="147"/>
      <c r="R1103" s="139"/>
      <c r="S1103" s="139"/>
      <c r="T1103" s="139"/>
      <c r="U1103" s="139"/>
      <c r="V1103" s="139"/>
      <c r="W1103" s="139"/>
      <c r="X1103" s="146"/>
      <c r="Y1103" s="148"/>
      <c r="Z1103" s="145"/>
      <c r="AA1103" s="139"/>
      <c r="AB1103" s="149"/>
      <c r="AC1103" s="119"/>
      <c r="AD1103" s="139"/>
      <c r="AE1103" s="139"/>
      <c r="AF1103" s="139"/>
      <c r="AG1103" s="139"/>
      <c r="AH1103" s="139"/>
      <c r="AI1103" s="139"/>
      <c r="AJ1103" s="139"/>
      <c r="AK1103" s="139"/>
      <c r="AL1103" s="139"/>
      <c r="AM1103" s="139"/>
      <c r="AN1103" s="139"/>
      <c r="AO1103" s="139"/>
      <c r="AP1103" s="139"/>
      <c r="AQ1103" s="174"/>
      <c r="AR1103" s="222"/>
    </row>
    <row r="1104" spans="2:44" s="22" customFormat="1" ht="18" customHeight="1" x14ac:dyDescent="0.25">
      <c r="B1104" s="145"/>
      <c r="C1104" s="139"/>
      <c r="D1104" s="146"/>
      <c r="E1104" s="139"/>
      <c r="F1104" s="139"/>
      <c r="G1104" s="139"/>
      <c r="H1104" s="139"/>
      <c r="I1104" s="139"/>
      <c r="J1104" s="139"/>
      <c r="K1104" s="139"/>
      <c r="L1104" s="243"/>
      <c r="M1104" s="243"/>
      <c r="N1104" s="139"/>
      <c r="O1104" s="139"/>
      <c r="P1104" s="139"/>
      <c r="Q1104" s="147"/>
      <c r="R1104" s="139"/>
      <c r="S1104" s="139"/>
      <c r="T1104" s="139"/>
      <c r="U1104" s="139"/>
      <c r="V1104" s="139"/>
      <c r="W1104" s="139"/>
      <c r="X1104" s="146"/>
      <c r="Y1104" s="148"/>
      <c r="Z1104" s="145"/>
      <c r="AA1104" s="139"/>
      <c r="AB1104" s="149"/>
      <c r="AC1104" s="119"/>
      <c r="AD1104" s="139"/>
      <c r="AE1104" s="139"/>
      <c r="AF1104" s="139"/>
      <c r="AG1104" s="139"/>
      <c r="AH1104" s="139"/>
      <c r="AI1104" s="139"/>
      <c r="AJ1104" s="139"/>
      <c r="AK1104" s="139"/>
      <c r="AL1104" s="139"/>
      <c r="AM1104" s="139"/>
      <c r="AN1104" s="139"/>
      <c r="AO1104" s="139"/>
      <c r="AP1104" s="139"/>
      <c r="AQ1104" s="174"/>
      <c r="AR1104" s="222"/>
    </row>
    <row r="1105" spans="2:44" s="22" customFormat="1" ht="18" customHeight="1" x14ac:dyDescent="0.25">
      <c r="B1105" s="145"/>
      <c r="C1105" s="139"/>
      <c r="D1105" s="146"/>
      <c r="E1105" s="139"/>
      <c r="F1105" s="139"/>
      <c r="G1105" s="139"/>
      <c r="H1105" s="139"/>
      <c r="I1105" s="139"/>
      <c r="J1105" s="139"/>
      <c r="K1105" s="139"/>
      <c r="L1105" s="243"/>
      <c r="M1105" s="243"/>
      <c r="N1105" s="139"/>
      <c r="O1105" s="139"/>
      <c r="P1105" s="139"/>
      <c r="Q1105" s="147"/>
      <c r="R1105" s="139"/>
      <c r="S1105" s="139"/>
      <c r="T1105" s="139"/>
      <c r="U1105" s="139"/>
      <c r="V1105" s="139"/>
      <c r="W1105" s="139"/>
      <c r="X1105" s="146"/>
      <c r="Y1105" s="148"/>
      <c r="Z1105" s="145"/>
      <c r="AA1105" s="139"/>
      <c r="AB1105" s="149"/>
      <c r="AC1105" s="119"/>
      <c r="AD1105" s="139"/>
      <c r="AE1105" s="139"/>
      <c r="AF1105" s="139"/>
      <c r="AG1105" s="139"/>
      <c r="AH1105" s="139"/>
      <c r="AI1105" s="139"/>
      <c r="AJ1105" s="139"/>
      <c r="AK1105" s="139"/>
      <c r="AL1105" s="139"/>
      <c r="AM1105" s="139"/>
      <c r="AN1105" s="139"/>
      <c r="AO1105" s="139"/>
      <c r="AP1105" s="139"/>
      <c r="AQ1105" s="174"/>
      <c r="AR1105" s="222"/>
    </row>
    <row r="1106" spans="2:44" s="22" customFormat="1" ht="18" customHeight="1" x14ac:dyDescent="0.25">
      <c r="B1106" s="145"/>
      <c r="C1106" s="139"/>
      <c r="D1106" s="146"/>
      <c r="E1106" s="139"/>
      <c r="F1106" s="139"/>
      <c r="G1106" s="139"/>
      <c r="H1106" s="139"/>
      <c r="I1106" s="139"/>
      <c r="J1106" s="139"/>
      <c r="K1106" s="139"/>
      <c r="L1106" s="243"/>
      <c r="M1106" s="243"/>
      <c r="N1106" s="139"/>
      <c r="O1106" s="139"/>
      <c r="P1106" s="139"/>
      <c r="Q1106" s="147"/>
      <c r="R1106" s="139"/>
      <c r="S1106" s="139"/>
      <c r="T1106" s="139"/>
      <c r="U1106" s="139"/>
      <c r="V1106" s="139"/>
      <c r="W1106" s="139"/>
      <c r="X1106" s="146"/>
      <c r="Y1106" s="148"/>
      <c r="Z1106" s="145"/>
      <c r="AA1106" s="139"/>
      <c r="AB1106" s="149"/>
      <c r="AC1106" s="119"/>
      <c r="AD1106" s="139"/>
      <c r="AE1106" s="139"/>
      <c r="AF1106" s="139"/>
      <c r="AG1106" s="139"/>
      <c r="AH1106" s="139"/>
      <c r="AI1106" s="139"/>
      <c r="AJ1106" s="139"/>
      <c r="AK1106" s="139"/>
      <c r="AL1106" s="139"/>
      <c r="AM1106" s="139"/>
      <c r="AN1106" s="139"/>
      <c r="AO1106" s="139"/>
      <c r="AP1106" s="139"/>
      <c r="AQ1106" s="174"/>
      <c r="AR1106" s="222"/>
    </row>
    <row r="1107" spans="2:44" s="22" customFormat="1" ht="18" customHeight="1" x14ac:dyDescent="0.25">
      <c r="B1107" s="145"/>
      <c r="C1107" s="139"/>
      <c r="D1107" s="146"/>
      <c r="E1107" s="139"/>
      <c r="F1107" s="139"/>
      <c r="G1107" s="139"/>
      <c r="H1107" s="139"/>
      <c r="I1107" s="139"/>
      <c r="J1107" s="139"/>
      <c r="K1107" s="139"/>
      <c r="L1107" s="243"/>
      <c r="M1107" s="243"/>
      <c r="N1107" s="139"/>
      <c r="O1107" s="139"/>
      <c r="P1107" s="139"/>
      <c r="Q1107" s="147"/>
      <c r="R1107" s="139"/>
      <c r="S1107" s="139"/>
      <c r="T1107" s="139"/>
      <c r="U1107" s="139"/>
      <c r="V1107" s="139"/>
      <c r="W1107" s="139"/>
      <c r="X1107" s="146"/>
      <c r="Y1107" s="148"/>
      <c r="Z1107" s="145"/>
      <c r="AA1107" s="139"/>
      <c r="AB1107" s="149"/>
      <c r="AC1107" s="119"/>
      <c r="AD1107" s="139"/>
      <c r="AE1107" s="139"/>
      <c r="AF1107" s="139"/>
      <c r="AG1107" s="139"/>
      <c r="AH1107" s="139"/>
      <c r="AI1107" s="139"/>
      <c r="AJ1107" s="139"/>
      <c r="AK1107" s="139"/>
      <c r="AL1107" s="139"/>
      <c r="AM1107" s="139"/>
      <c r="AN1107" s="139"/>
      <c r="AO1107" s="139"/>
      <c r="AP1107" s="139"/>
      <c r="AQ1107" s="174"/>
      <c r="AR1107" s="222"/>
    </row>
    <row r="1108" spans="2:44" s="22" customFormat="1" ht="18" customHeight="1" x14ac:dyDescent="0.25">
      <c r="B1108" s="145"/>
      <c r="C1108" s="139"/>
      <c r="D1108" s="146"/>
      <c r="E1108" s="139"/>
      <c r="F1108" s="139"/>
      <c r="G1108" s="139"/>
      <c r="H1108" s="139"/>
      <c r="I1108" s="139"/>
      <c r="J1108" s="139"/>
      <c r="K1108" s="139"/>
      <c r="L1108" s="243"/>
      <c r="M1108" s="243"/>
      <c r="N1108" s="139"/>
      <c r="O1108" s="139"/>
      <c r="P1108" s="139"/>
      <c r="Q1108" s="147"/>
      <c r="R1108" s="139"/>
      <c r="S1108" s="139"/>
      <c r="T1108" s="139"/>
      <c r="U1108" s="139"/>
      <c r="V1108" s="139"/>
      <c r="W1108" s="139"/>
      <c r="X1108" s="146"/>
      <c r="Y1108" s="148"/>
      <c r="Z1108" s="145"/>
      <c r="AA1108" s="139"/>
      <c r="AB1108" s="149"/>
      <c r="AC1108" s="119"/>
      <c r="AD1108" s="139"/>
      <c r="AE1108" s="139"/>
      <c r="AF1108" s="139"/>
      <c r="AG1108" s="139"/>
      <c r="AH1108" s="139"/>
      <c r="AI1108" s="139"/>
      <c r="AJ1108" s="139"/>
      <c r="AK1108" s="139"/>
      <c r="AL1108" s="139"/>
      <c r="AM1108" s="139"/>
      <c r="AN1108" s="139"/>
      <c r="AO1108" s="139"/>
      <c r="AP1108" s="139"/>
      <c r="AQ1108" s="174"/>
      <c r="AR1108" s="222"/>
    </row>
    <row r="1109" spans="2:44" s="22" customFormat="1" ht="18" customHeight="1" x14ac:dyDescent="0.25">
      <c r="B1109" s="145"/>
      <c r="C1109" s="139"/>
      <c r="D1109" s="146"/>
      <c r="E1109" s="139"/>
      <c r="F1109" s="139"/>
      <c r="G1109" s="139"/>
      <c r="H1109" s="139"/>
      <c r="I1109" s="139"/>
      <c r="J1109" s="139"/>
      <c r="K1109" s="139"/>
      <c r="L1109" s="243"/>
      <c r="M1109" s="243"/>
      <c r="N1109" s="139"/>
      <c r="O1109" s="139"/>
      <c r="P1109" s="139"/>
      <c r="Q1109" s="147"/>
      <c r="R1109" s="139"/>
      <c r="S1109" s="139"/>
      <c r="T1109" s="139"/>
      <c r="U1109" s="139"/>
      <c r="V1109" s="139"/>
      <c r="W1109" s="139"/>
      <c r="X1109" s="146"/>
      <c r="Y1109" s="148"/>
      <c r="Z1109" s="145"/>
      <c r="AA1109" s="139"/>
      <c r="AB1109" s="149"/>
      <c r="AC1109" s="119"/>
      <c r="AD1109" s="139"/>
      <c r="AE1109" s="139"/>
      <c r="AF1109" s="139"/>
      <c r="AG1109" s="139"/>
      <c r="AH1109" s="139"/>
      <c r="AI1109" s="139"/>
      <c r="AJ1109" s="139"/>
      <c r="AK1109" s="139"/>
      <c r="AL1109" s="139"/>
      <c r="AM1109" s="139"/>
      <c r="AN1109" s="139"/>
      <c r="AO1109" s="139"/>
      <c r="AP1109" s="139"/>
      <c r="AQ1109" s="174"/>
      <c r="AR1109" s="222"/>
    </row>
    <row r="1110" spans="2:44" s="22" customFormat="1" ht="18" customHeight="1" x14ac:dyDescent="0.25">
      <c r="B1110" s="145"/>
      <c r="C1110" s="139"/>
      <c r="D1110" s="146"/>
      <c r="E1110" s="139"/>
      <c r="F1110" s="139"/>
      <c r="G1110" s="139"/>
      <c r="H1110" s="139"/>
      <c r="I1110" s="139"/>
      <c r="J1110" s="139"/>
      <c r="K1110" s="139"/>
      <c r="L1110" s="243"/>
      <c r="M1110" s="243"/>
      <c r="N1110" s="139"/>
      <c r="O1110" s="139"/>
      <c r="P1110" s="139"/>
      <c r="Q1110" s="147"/>
      <c r="R1110" s="139"/>
      <c r="S1110" s="139"/>
      <c r="T1110" s="139"/>
      <c r="U1110" s="139"/>
      <c r="V1110" s="139"/>
      <c r="W1110" s="139"/>
      <c r="X1110" s="146"/>
      <c r="Y1110" s="148"/>
      <c r="Z1110" s="145"/>
      <c r="AA1110" s="139"/>
      <c r="AB1110" s="149"/>
      <c r="AC1110" s="119"/>
      <c r="AD1110" s="139"/>
      <c r="AE1110" s="139"/>
      <c r="AF1110" s="139"/>
      <c r="AG1110" s="139"/>
      <c r="AH1110" s="139"/>
      <c r="AI1110" s="139"/>
      <c r="AJ1110" s="139"/>
      <c r="AK1110" s="139"/>
      <c r="AL1110" s="139"/>
      <c r="AM1110" s="139"/>
      <c r="AN1110" s="139"/>
      <c r="AO1110" s="139"/>
      <c r="AP1110" s="139"/>
      <c r="AQ1110" s="174"/>
      <c r="AR1110" s="222"/>
    </row>
    <row r="1111" spans="2:44" s="22" customFormat="1" ht="18" customHeight="1" x14ac:dyDescent="0.25">
      <c r="B1111" s="145"/>
      <c r="C1111" s="139"/>
      <c r="D1111" s="146"/>
      <c r="E1111" s="139"/>
      <c r="F1111" s="139"/>
      <c r="G1111" s="139"/>
      <c r="H1111" s="139"/>
      <c r="I1111" s="139"/>
      <c r="J1111" s="139"/>
      <c r="K1111" s="139"/>
      <c r="L1111" s="243"/>
      <c r="M1111" s="243"/>
      <c r="N1111" s="139"/>
      <c r="O1111" s="139"/>
      <c r="P1111" s="139"/>
      <c r="Q1111" s="147"/>
      <c r="R1111" s="139"/>
      <c r="S1111" s="139"/>
      <c r="T1111" s="139"/>
      <c r="U1111" s="139"/>
      <c r="V1111" s="139"/>
      <c r="W1111" s="139"/>
      <c r="X1111" s="146"/>
      <c r="Y1111" s="148"/>
      <c r="Z1111" s="145"/>
      <c r="AA1111" s="139"/>
      <c r="AB1111" s="149"/>
      <c r="AC1111" s="119"/>
      <c r="AD1111" s="139"/>
      <c r="AE1111" s="139"/>
      <c r="AF1111" s="139"/>
      <c r="AG1111" s="139"/>
      <c r="AH1111" s="139"/>
      <c r="AI1111" s="139"/>
      <c r="AJ1111" s="139"/>
      <c r="AK1111" s="139"/>
      <c r="AL1111" s="139"/>
      <c r="AM1111" s="139"/>
      <c r="AN1111" s="139"/>
      <c r="AO1111" s="139"/>
      <c r="AP1111" s="139"/>
      <c r="AQ1111" s="174"/>
      <c r="AR1111" s="222"/>
    </row>
    <row r="1112" spans="2:44" s="22" customFormat="1" ht="18" customHeight="1" x14ac:dyDescent="0.25">
      <c r="B1112" s="145"/>
      <c r="C1112" s="139"/>
      <c r="D1112" s="146"/>
      <c r="E1112" s="139"/>
      <c r="F1112" s="139"/>
      <c r="G1112" s="139"/>
      <c r="H1112" s="139"/>
      <c r="I1112" s="139"/>
      <c r="J1112" s="139"/>
      <c r="K1112" s="139"/>
      <c r="L1112" s="243"/>
      <c r="M1112" s="243"/>
      <c r="N1112" s="139"/>
      <c r="O1112" s="139"/>
      <c r="P1112" s="139"/>
      <c r="Q1112" s="147"/>
      <c r="R1112" s="139"/>
      <c r="S1112" s="139"/>
      <c r="T1112" s="139"/>
      <c r="U1112" s="139"/>
      <c r="V1112" s="139"/>
      <c r="W1112" s="139"/>
      <c r="X1112" s="146"/>
      <c r="Y1112" s="148"/>
      <c r="Z1112" s="145"/>
      <c r="AA1112" s="139"/>
      <c r="AB1112" s="149"/>
      <c r="AC1112" s="119"/>
      <c r="AD1112" s="139"/>
      <c r="AE1112" s="139"/>
      <c r="AF1112" s="139"/>
      <c r="AG1112" s="139"/>
      <c r="AH1112" s="139"/>
      <c r="AI1112" s="139"/>
      <c r="AJ1112" s="139"/>
      <c r="AK1112" s="139"/>
      <c r="AL1112" s="139"/>
      <c r="AM1112" s="139"/>
      <c r="AN1112" s="139"/>
      <c r="AO1112" s="139"/>
      <c r="AP1112" s="139"/>
      <c r="AQ1112" s="174"/>
      <c r="AR1112" s="222"/>
    </row>
    <row r="1113" spans="2:44" s="22" customFormat="1" ht="18" customHeight="1" x14ac:dyDescent="0.25">
      <c r="B1113" s="145"/>
      <c r="C1113" s="139"/>
      <c r="D1113" s="146"/>
      <c r="E1113" s="139"/>
      <c r="F1113" s="139"/>
      <c r="G1113" s="139"/>
      <c r="H1113" s="139"/>
      <c r="I1113" s="139"/>
      <c r="J1113" s="139"/>
      <c r="K1113" s="139"/>
      <c r="L1113" s="243"/>
      <c r="M1113" s="243"/>
      <c r="N1113" s="139"/>
      <c r="O1113" s="139"/>
      <c r="P1113" s="139"/>
      <c r="Q1113" s="147"/>
      <c r="R1113" s="139"/>
      <c r="S1113" s="139"/>
      <c r="T1113" s="139"/>
      <c r="U1113" s="139"/>
      <c r="V1113" s="139"/>
      <c r="W1113" s="139"/>
      <c r="X1113" s="146"/>
      <c r="Y1113" s="148"/>
      <c r="Z1113" s="145"/>
      <c r="AA1113" s="139"/>
      <c r="AB1113" s="149"/>
      <c r="AC1113" s="119"/>
      <c r="AD1113" s="139"/>
      <c r="AE1113" s="139"/>
      <c r="AF1113" s="139"/>
      <c r="AG1113" s="139"/>
      <c r="AH1113" s="139"/>
      <c r="AI1113" s="139"/>
      <c r="AJ1113" s="139"/>
      <c r="AK1113" s="139"/>
      <c r="AL1113" s="139"/>
      <c r="AM1113" s="139"/>
      <c r="AN1113" s="139"/>
      <c r="AO1113" s="139"/>
      <c r="AP1113" s="139"/>
      <c r="AQ1113" s="174"/>
      <c r="AR1113" s="222"/>
    </row>
    <row r="1114" spans="2:44" s="22" customFormat="1" ht="18" customHeight="1" x14ac:dyDescent="0.25">
      <c r="B1114" s="145"/>
      <c r="C1114" s="139"/>
      <c r="D1114" s="146"/>
      <c r="E1114" s="139"/>
      <c r="F1114" s="139"/>
      <c r="G1114" s="139"/>
      <c r="H1114" s="139"/>
      <c r="I1114" s="139"/>
      <c r="J1114" s="139"/>
      <c r="K1114" s="139"/>
      <c r="L1114" s="243"/>
      <c r="M1114" s="243"/>
      <c r="N1114" s="139"/>
      <c r="O1114" s="139"/>
      <c r="P1114" s="139"/>
      <c r="Q1114" s="147"/>
      <c r="R1114" s="139"/>
      <c r="S1114" s="139"/>
      <c r="T1114" s="139"/>
      <c r="U1114" s="139"/>
      <c r="V1114" s="139"/>
      <c r="W1114" s="139"/>
      <c r="X1114" s="146"/>
      <c r="Y1114" s="148"/>
      <c r="Z1114" s="145"/>
      <c r="AA1114" s="139"/>
      <c r="AB1114" s="149"/>
      <c r="AC1114" s="119"/>
      <c r="AD1114" s="139"/>
      <c r="AE1114" s="139"/>
      <c r="AF1114" s="139"/>
      <c r="AG1114" s="139"/>
      <c r="AH1114" s="139"/>
      <c r="AI1114" s="139"/>
      <c r="AJ1114" s="139"/>
      <c r="AK1114" s="139"/>
      <c r="AL1114" s="139"/>
      <c r="AM1114" s="139"/>
      <c r="AN1114" s="139"/>
      <c r="AO1114" s="139"/>
      <c r="AP1114" s="139"/>
      <c r="AQ1114" s="174"/>
      <c r="AR1114" s="222"/>
    </row>
    <row r="1115" spans="2:44" s="22" customFormat="1" ht="18" customHeight="1" x14ac:dyDescent="0.25">
      <c r="B1115" s="145"/>
      <c r="C1115" s="139"/>
      <c r="D1115" s="146"/>
      <c r="E1115" s="139"/>
      <c r="F1115" s="139"/>
      <c r="G1115" s="139"/>
      <c r="H1115" s="139"/>
      <c r="I1115" s="139"/>
      <c r="J1115" s="139"/>
      <c r="K1115" s="139"/>
      <c r="L1115" s="243"/>
      <c r="M1115" s="243"/>
      <c r="N1115" s="139"/>
      <c r="O1115" s="139"/>
      <c r="P1115" s="139"/>
      <c r="Q1115" s="147"/>
      <c r="R1115" s="139"/>
      <c r="S1115" s="139"/>
      <c r="T1115" s="139"/>
      <c r="U1115" s="139"/>
      <c r="V1115" s="139"/>
      <c r="W1115" s="139"/>
      <c r="X1115" s="146"/>
      <c r="Y1115" s="148"/>
      <c r="Z1115" s="145"/>
      <c r="AA1115" s="139"/>
      <c r="AB1115" s="149"/>
      <c r="AC1115" s="119"/>
      <c r="AD1115" s="139"/>
      <c r="AE1115" s="139"/>
      <c r="AF1115" s="139"/>
      <c r="AG1115" s="139"/>
      <c r="AH1115" s="139"/>
      <c r="AI1115" s="139"/>
      <c r="AJ1115" s="139"/>
      <c r="AK1115" s="139"/>
      <c r="AL1115" s="139"/>
      <c r="AM1115" s="139"/>
      <c r="AN1115" s="139"/>
      <c r="AO1115" s="139"/>
      <c r="AP1115" s="139"/>
      <c r="AQ1115" s="174"/>
      <c r="AR1115" s="222"/>
    </row>
    <row r="1116" spans="2:44" s="22" customFormat="1" ht="18" customHeight="1" x14ac:dyDescent="0.25">
      <c r="B1116" s="145"/>
      <c r="C1116" s="139"/>
      <c r="D1116" s="146"/>
      <c r="E1116" s="139"/>
      <c r="F1116" s="139"/>
      <c r="G1116" s="139"/>
      <c r="H1116" s="139"/>
      <c r="I1116" s="139"/>
      <c r="J1116" s="139"/>
      <c r="K1116" s="139"/>
      <c r="L1116" s="243"/>
      <c r="M1116" s="243"/>
      <c r="N1116" s="139"/>
      <c r="O1116" s="139"/>
      <c r="P1116" s="139"/>
      <c r="Q1116" s="147"/>
      <c r="R1116" s="139"/>
      <c r="S1116" s="139"/>
      <c r="T1116" s="139"/>
      <c r="U1116" s="139"/>
      <c r="V1116" s="139"/>
      <c r="W1116" s="139"/>
      <c r="X1116" s="146"/>
      <c r="Y1116" s="148"/>
      <c r="Z1116" s="145"/>
      <c r="AA1116" s="139"/>
      <c r="AB1116" s="149"/>
      <c r="AC1116" s="119"/>
      <c r="AD1116" s="139"/>
      <c r="AE1116" s="139"/>
      <c r="AF1116" s="139"/>
      <c r="AG1116" s="139"/>
      <c r="AH1116" s="139"/>
      <c r="AI1116" s="139"/>
      <c r="AJ1116" s="139"/>
      <c r="AK1116" s="139"/>
      <c r="AL1116" s="139"/>
      <c r="AM1116" s="139"/>
      <c r="AN1116" s="139"/>
      <c r="AO1116" s="139"/>
      <c r="AP1116" s="139"/>
      <c r="AQ1116" s="174"/>
      <c r="AR1116" s="222"/>
    </row>
    <row r="1117" spans="2:44" s="22" customFormat="1" ht="18" customHeight="1" x14ac:dyDescent="0.25">
      <c r="B1117" s="145"/>
      <c r="C1117" s="139"/>
      <c r="D1117" s="146"/>
      <c r="E1117" s="139"/>
      <c r="F1117" s="139"/>
      <c r="G1117" s="139"/>
      <c r="H1117" s="139"/>
      <c r="I1117" s="139"/>
      <c r="J1117" s="139"/>
      <c r="K1117" s="139"/>
      <c r="L1117" s="243"/>
      <c r="M1117" s="243"/>
      <c r="N1117" s="139"/>
      <c r="O1117" s="139"/>
      <c r="P1117" s="139"/>
      <c r="Q1117" s="147"/>
      <c r="R1117" s="139"/>
      <c r="S1117" s="139"/>
      <c r="T1117" s="139"/>
      <c r="U1117" s="139"/>
      <c r="V1117" s="139"/>
      <c r="W1117" s="139"/>
      <c r="X1117" s="146"/>
      <c r="Y1117" s="148"/>
      <c r="Z1117" s="145"/>
      <c r="AA1117" s="139"/>
      <c r="AB1117" s="149"/>
      <c r="AC1117" s="119"/>
      <c r="AD1117" s="139"/>
      <c r="AE1117" s="139"/>
      <c r="AF1117" s="139"/>
      <c r="AG1117" s="139"/>
      <c r="AH1117" s="139"/>
      <c r="AI1117" s="139"/>
      <c r="AJ1117" s="139"/>
      <c r="AK1117" s="139"/>
      <c r="AL1117" s="139"/>
      <c r="AM1117" s="139"/>
      <c r="AN1117" s="139"/>
      <c r="AO1117" s="139"/>
      <c r="AP1117" s="139"/>
      <c r="AQ1117" s="174"/>
      <c r="AR1117" s="222"/>
    </row>
    <row r="1118" spans="2:44" s="22" customFormat="1" ht="18" customHeight="1" x14ac:dyDescent="0.25">
      <c r="B1118" s="145"/>
      <c r="C1118" s="139"/>
      <c r="D1118" s="146"/>
      <c r="E1118" s="139"/>
      <c r="F1118" s="139"/>
      <c r="G1118" s="139"/>
      <c r="H1118" s="139"/>
      <c r="I1118" s="139"/>
      <c r="J1118" s="139"/>
      <c r="K1118" s="139"/>
      <c r="L1118" s="243"/>
      <c r="M1118" s="243"/>
      <c r="N1118" s="139"/>
      <c r="O1118" s="139"/>
      <c r="P1118" s="139"/>
      <c r="Q1118" s="147"/>
      <c r="R1118" s="139"/>
      <c r="S1118" s="139"/>
      <c r="T1118" s="139"/>
      <c r="U1118" s="139"/>
      <c r="V1118" s="139"/>
      <c r="W1118" s="139"/>
      <c r="X1118" s="146"/>
      <c r="Y1118" s="148"/>
      <c r="Z1118" s="145"/>
      <c r="AA1118" s="139"/>
      <c r="AB1118" s="149"/>
      <c r="AC1118" s="119"/>
      <c r="AD1118" s="139"/>
      <c r="AE1118" s="139"/>
      <c r="AF1118" s="139"/>
      <c r="AG1118" s="139"/>
      <c r="AH1118" s="139"/>
      <c r="AI1118" s="139"/>
      <c r="AJ1118" s="139"/>
      <c r="AK1118" s="139"/>
      <c r="AL1118" s="139"/>
      <c r="AM1118" s="139"/>
      <c r="AN1118" s="139"/>
      <c r="AO1118" s="139"/>
      <c r="AP1118" s="139"/>
      <c r="AQ1118" s="174"/>
      <c r="AR1118" s="222"/>
    </row>
    <row r="1119" spans="2:44" s="22" customFormat="1" ht="18" customHeight="1" x14ac:dyDescent="0.25">
      <c r="B1119" s="145"/>
      <c r="C1119" s="139"/>
      <c r="D1119" s="146"/>
      <c r="E1119" s="139"/>
      <c r="F1119" s="139"/>
      <c r="G1119" s="139"/>
      <c r="H1119" s="139"/>
      <c r="I1119" s="139"/>
      <c r="J1119" s="139"/>
      <c r="K1119" s="139"/>
      <c r="L1119" s="243"/>
      <c r="M1119" s="243"/>
      <c r="N1119" s="139"/>
      <c r="O1119" s="139"/>
      <c r="P1119" s="139"/>
      <c r="Q1119" s="147"/>
      <c r="R1119" s="139"/>
      <c r="S1119" s="139"/>
      <c r="T1119" s="139"/>
      <c r="U1119" s="139"/>
      <c r="V1119" s="139"/>
      <c r="W1119" s="139"/>
      <c r="X1119" s="146"/>
      <c r="Y1119" s="148"/>
      <c r="Z1119" s="145"/>
      <c r="AA1119" s="139"/>
      <c r="AB1119" s="149"/>
      <c r="AC1119" s="119"/>
      <c r="AD1119" s="139"/>
      <c r="AE1119" s="139"/>
      <c r="AF1119" s="139"/>
      <c r="AG1119" s="139"/>
      <c r="AH1119" s="139"/>
      <c r="AI1119" s="139"/>
      <c r="AJ1119" s="139"/>
      <c r="AK1119" s="139"/>
      <c r="AL1119" s="139"/>
      <c r="AM1119" s="139"/>
      <c r="AN1119" s="139"/>
      <c r="AO1119" s="139"/>
      <c r="AP1119" s="139"/>
      <c r="AQ1119" s="174"/>
      <c r="AR1119" s="222"/>
    </row>
    <row r="1120" spans="2:44" s="22" customFormat="1" ht="18" customHeight="1" x14ac:dyDescent="0.25">
      <c r="B1120" s="145"/>
      <c r="C1120" s="139"/>
      <c r="D1120" s="146"/>
      <c r="E1120" s="139"/>
      <c r="F1120" s="139"/>
      <c r="G1120" s="139"/>
      <c r="H1120" s="139"/>
      <c r="I1120" s="139"/>
      <c r="J1120" s="139"/>
      <c r="K1120" s="139"/>
      <c r="L1120" s="243"/>
      <c r="M1120" s="243"/>
      <c r="N1120" s="139"/>
      <c r="O1120" s="139"/>
      <c r="P1120" s="139"/>
      <c r="Q1120" s="147"/>
      <c r="R1120" s="139"/>
      <c r="S1120" s="139"/>
      <c r="T1120" s="139"/>
      <c r="U1120" s="139"/>
      <c r="V1120" s="139"/>
      <c r="W1120" s="139"/>
      <c r="X1120" s="146"/>
      <c r="Y1120" s="148"/>
      <c r="Z1120" s="145"/>
      <c r="AA1120" s="139"/>
      <c r="AB1120" s="149"/>
      <c r="AC1120" s="119"/>
      <c r="AD1120" s="139"/>
      <c r="AE1120" s="139"/>
      <c r="AF1120" s="139"/>
      <c r="AG1120" s="139"/>
      <c r="AH1120" s="139"/>
      <c r="AI1120" s="139"/>
      <c r="AJ1120" s="139"/>
      <c r="AK1120" s="139"/>
      <c r="AL1120" s="139"/>
      <c r="AM1120" s="139"/>
      <c r="AN1120" s="139"/>
      <c r="AO1120" s="139"/>
      <c r="AP1120" s="139"/>
      <c r="AQ1120" s="174"/>
      <c r="AR1120" s="222"/>
    </row>
    <row r="1121" spans="2:44" s="22" customFormat="1" ht="18" customHeight="1" x14ac:dyDescent="0.25">
      <c r="B1121" s="145"/>
      <c r="C1121" s="139"/>
      <c r="D1121" s="146"/>
      <c r="E1121" s="139"/>
      <c r="F1121" s="139"/>
      <c r="G1121" s="139"/>
      <c r="H1121" s="139"/>
      <c r="I1121" s="139"/>
      <c r="J1121" s="139"/>
      <c r="K1121" s="139"/>
      <c r="L1121" s="243"/>
      <c r="M1121" s="243"/>
      <c r="N1121" s="139"/>
      <c r="O1121" s="139"/>
      <c r="P1121" s="139"/>
      <c r="Q1121" s="147"/>
      <c r="R1121" s="139"/>
      <c r="S1121" s="139"/>
      <c r="T1121" s="139"/>
      <c r="U1121" s="139"/>
      <c r="V1121" s="139"/>
      <c r="W1121" s="139"/>
      <c r="X1121" s="146"/>
      <c r="Y1121" s="148"/>
      <c r="Z1121" s="145"/>
      <c r="AA1121" s="139"/>
      <c r="AB1121" s="149"/>
      <c r="AC1121" s="119"/>
      <c r="AD1121" s="139"/>
      <c r="AE1121" s="139"/>
      <c r="AF1121" s="139"/>
      <c r="AG1121" s="139"/>
      <c r="AH1121" s="139"/>
      <c r="AI1121" s="139"/>
      <c r="AJ1121" s="139"/>
      <c r="AK1121" s="139"/>
      <c r="AL1121" s="139"/>
      <c r="AM1121" s="139"/>
      <c r="AN1121" s="139"/>
      <c r="AO1121" s="139"/>
      <c r="AP1121" s="139"/>
      <c r="AQ1121" s="174"/>
      <c r="AR1121" s="222"/>
    </row>
    <row r="1122" spans="2:44" s="22" customFormat="1" ht="18" customHeight="1" x14ac:dyDescent="0.25">
      <c r="B1122" s="145"/>
      <c r="C1122" s="139"/>
      <c r="D1122" s="146"/>
      <c r="E1122" s="139"/>
      <c r="F1122" s="139"/>
      <c r="G1122" s="139"/>
      <c r="H1122" s="139"/>
      <c r="I1122" s="139"/>
      <c r="J1122" s="139"/>
      <c r="K1122" s="139"/>
      <c r="L1122" s="243"/>
      <c r="M1122" s="243"/>
      <c r="N1122" s="139"/>
      <c r="O1122" s="139"/>
      <c r="P1122" s="139"/>
      <c r="Q1122" s="147"/>
      <c r="R1122" s="139"/>
      <c r="S1122" s="139"/>
      <c r="T1122" s="139"/>
      <c r="U1122" s="139"/>
      <c r="V1122" s="139"/>
      <c r="W1122" s="139"/>
      <c r="X1122" s="146"/>
      <c r="Y1122" s="148"/>
      <c r="Z1122" s="145"/>
      <c r="AA1122" s="139"/>
      <c r="AB1122" s="149"/>
      <c r="AC1122" s="119"/>
      <c r="AD1122" s="139"/>
      <c r="AE1122" s="139"/>
      <c r="AF1122" s="139"/>
      <c r="AG1122" s="139"/>
      <c r="AH1122" s="139"/>
      <c r="AI1122" s="139"/>
      <c r="AJ1122" s="139"/>
      <c r="AK1122" s="139"/>
      <c r="AL1122" s="139"/>
      <c r="AM1122" s="139"/>
      <c r="AN1122" s="139"/>
      <c r="AO1122" s="139"/>
      <c r="AP1122" s="139"/>
      <c r="AQ1122" s="174"/>
      <c r="AR1122" s="222"/>
    </row>
    <row r="1123" spans="2:44" s="22" customFormat="1" ht="18" customHeight="1" x14ac:dyDescent="0.25">
      <c r="B1123" s="145"/>
      <c r="C1123" s="139"/>
      <c r="D1123" s="146"/>
      <c r="E1123" s="139"/>
      <c r="F1123" s="139"/>
      <c r="G1123" s="139"/>
      <c r="H1123" s="139"/>
      <c r="I1123" s="139"/>
      <c r="J1123" s="139"/>
      <c r="K1123" s="139"/>
      <c r="L1123" s="243"/>
      <c r="M1123" s="243"/>
      <c r="N1123" s="139"/>
      <c r="O1123" s="139"/>
      <c r="P1123" s="139"/>
      <c r="Q1123" s="147"/>
      <c r="R1123" s="139"/>
      <c r="S1123" s="139"/>
      <c r="T1123" s="139"/>
      <c r="U1123" s="139"/>
      <c r="V1123" s="139"/>
      <c r="W1123" s="139"/>
      <c r="X1123" s="146"/>
      <c r="Y1123" s="148"/>
      <c r="Z1123" s="145"/>
      <c r="AA1123" s="139"/>
      <c r="AB1123" s="149"/>
      <c r="AC1123" s="119"/>
      <c r="AD1123" s="139"/>
      <c r="AE1123" s="139"/>
      <c r="AF1123" s="139"/>
      <c r="AG1123" s="139"/>
      <c r="AH1123" s="139"/>
      <c r="AI1123" s="139"/>
      <c r="AJ1123" s="139"/>
      <c r="AK1123" s="139"/>
      <c r="AL1123" s="139"/>
      <c r="AM1123" s="139"/>
      <c r="AN1123" s="139"/>
      <c r="AO1123" s="139"/>
      <c r="AP1123" s="139"/>
      <c r="AQ1123" s="174"/>
      <c r="AR1123" s="222"/>
    </row>
    <row r="1124" spans="2:44" s="141" customFormat="1" ht="18" customHeight="1" x14ac:dyDescent="0.25">
      <c r="B1124" s="145"/>
      <c r="C1124" s="139"/>
      <c r="D1124" s="146"/>
      <c r="E1124" s="139"/>
      <c r="F1124" s="139"/>
      <c r="G1124" s="139"/>
      <c r="H1124" s="139"/>
      <c r="I1124" s="139"/>
      <c r="J1124" s="139"/>
      <c r="K1124" s="139"/>
      <c r="L1124" s="243"/>
      <c r="M1124" s="243"/>
      <c r="N1124" s="139"/>
      <c r="O1124" s="139"/>
      <c r="P1124" s="139"/>
      <c r="Q1124" s="147"/>
      <c r="R1124" s="139"/>
      <c r="S1124" s="139"/>
      <c r="T1124" s="139"/>
      <c r="U1124" s="139"/>
      <c r="V1124" s="139"/>
      <c r="W1124" s="139"/>
      <c r="X1124" s="146"/>
      <c r="Y1124" s="148"/>
      <c r="Z1124" s="145"/>
      <c r="AA1124" s="139"/>
      <c r="AB1124" s="149"/>
      <c r="AC1124" s="119"/>
      <c r="AD1124" s="139"/>
      <c r="AE1124" s="139"/>
      <c r="AF1124" s="139"/>
      <c r="AG1124" s="139"/>
      <c r="AH1124" s="139"/>
      <c r="AI1124" s="139"/>
      <c r="AJ1124" s="139"/>
      <c r="AK1124" s="139"/>
      <c r="AL1124" s="139"/>
      <c r="AM1124" s="139"/>
      <c r="AN1124" s="139"/>
      <c r="AO1124" s="139"/>
      <c r="AP1124" s="139"/>
      <c r="AQ1124" s="174"/>
      <c r="AR1124" s="222"/>
    </row>
    <row r="1125" spans="2:44" s="141" customFormat="1" ht="18" customHeight="1" x14ac:dyDescent="0.25">
      <c r="B1125" s="145"/>
      <c r="C1125" s="139"/>
      <c r="D1125" s="146"/>
      <c r="E1125" s="139"/>
      <c r="F1125" s="139"/>
      <c r="G1125" s="139"/>
      <c r="H1125" s="139"/>
      <c r="I1125" s="139"/>
      <c r="J1125" s="139"/>
      <c r="K1125" s="139"/>
      <c r="L1125" s="243"/>
      <c r="M1125" s="243"/>
      <c r="N1125" s="139"/>
      <c r="O1125" s="139"/>
      <c r="P1125" s="139"/>
      <c r="Q1125" s="147"/>
      <c r="R1125" s="139"/>
      <c r="S1125" s="139"/>
      <c r="T1125" s="139"/>
      <c r="U1125" s="139"/>
      <c r="V1125" s="139"/>
      <c r="W1125" s="139"/>
      <c r="X1125" s="146"/>
      <c r="Y1125" s="148"/>
      <c r="Z1125" s="145"/>
      <c r="AA1125" s="139"/>
      <c r="AB1125" s="149"/>
      <c r="AC1125" s="119"/>
      <c r="AD1125" s="139"/>
      <c r="AE1125" s="139"/>
      <c r="AF1125" s="139"/>
      <c r="AG1125" s="139"/>
      <c r="AH1125" s="139"/>
      <c r="AI1125" s="139"/>
      <c r="AJ1125" s="139"/>
      <c r="AK1125" s="139"/>
      <c r="AL1125" s="139"/>
      <c r="AM1125" s="139"/>
      <c r="AN1125" s="139"/>
      <c r="AO1125" s="139"/>
      <c r="AP1125" s="139"/>
      <c r="AQ1125" s="174"/>
      <c r="AR1125" s="222"/>
    </row>
    <row r="1126" spans="2:44" s="141" customFormat="1" ht="18" customHeight="1" x14ac:dyDescent="0.25">
      <c r="B1126" s="145"/>
      <c r="C1126" s="139"/>
      <c r="D1126" s="146"/>
      <c r="E1126" s="139"/>
      <c r="F1126" s="139"/>
      <c r="G1126" s="139"/>
      <c r="H1126" s="139"/>
      <c r="I1126" s="139"/>
      <c r="J1126" s="139"/>
      <c r="K1126" s="139"/>
      <c r="L1126" s="243"/>
      <c r="M1126" s="243"/>
      <c r="N1126" s="139"/>
      <c r="O1126" s="139"/>
      <c r="P1126" s="139"/>
      <c r="Q1126" s="147"/>
      <c r="R1126" s="139"/>
      <c r="S1126" s="139"/>
      <c r="T1126" s="139"/>
      <c r="U1126" s="139"/>
      <c r="V1126" s="139"/>
      <c r="W1126" s="139"/>
      <c r="X1126" s="146"/>
      <c r="Y1126" s="148"/>
      <c r="Z1126" s="145"/>
      <c r="AA1126" s="139"/>
      <c r="AB1126" s="149"/>
      <c r="AC1126" s="119"/>
      <c r="AD1126" s="139"/>
      <c r="AE1126" s="139"/>
      <c r="AF1126" s="139"/>
      <c r="AG1126" s="139"/>
      <c r="AH1126" s="139"/>
      <c r="AI1126" s="139"/>
      <c r="AJ1126" s="139"/>
      <c r="AK1126" s="139"/>
      <c r="AL1126" s="139"/>
      <c r="AM1126" s="139"/>
      <c r="AN1126" s="139"/>
      <c r="AO1126" s="139"/>
      <c r="AP1126" s="139"/>
      <c r="AQ1126" s="174"/>
      <c r="AR1126" s="222"/>
    </row>
    <row r="1127" spans="2:44" s="141" customFormat="1" ht="18" customHeight="1" x14ac:dyDescent="0.25">
      <c r="B1127" s="145"/>
      <c r="C1127" s="139"/>
      <c r="D1127" s="146"/>
      <c r="E1127" s="139"/>
      <c r="F1127" s="139"/>
      <c r="G1127" s="139"/>
      <c r="H1127" s="139"/>
      <c r="I1127" s="139"/>
      <c r="J1127" s="139"/>
      <c r="K1127" s="139"/>
      <c r="L1127" s="243"/>
      <c r="M1127" s="243"/>
      <c r="N1127" s="139"/>
      <c r="O1127" s="139"/>
      <c r="P1127" s="139"/>
      <c r="Q1127" s="147"/>
      <c r="R1127" s="139"/>
      <c r="S1127" s="139"/>
      <c r="T1127" s="139"/>
      <c r="U1127" s="139"/>
      <c r="V1127" s="139"/>
      <c r="W1127" s="139"/>
      <c r="X1127" s="146"/>
      <c r="Y1127" s="148"/>
      <c r="Z1127" s="145"/>
      <c r="AA1127" s="139"/>
      <c r="AB1127" s="149"/>
      <c r="AC1127" s="119"/>
      <c r="AD1127" s="139"/>
      <c r="AE1127" s="139"/>
      <c r="AF1127" s="139"/>
      <c r="AG1127" s="139"/>
      <c r="AH1127" s="139"/>
      <c r="AI1127" s="139"/>
      <c r="AJ1127" s="139"/>
      <c r="AK1127" s="139"/>
      <c r="AL1127" s="139"/>
      <c r="AM1127" s="139"/>
      <c r="AN1127" s="139"/>
      <c r="AO1127" s="139"/>
      <c r="AP1127" s="139"/>
      <c r="AQ1127" s="174"/>
      <c r="AR1127" s="222"/>
    </row>
    <row r="1128" spans="2:44" s="141" customFormat="1" ht="18" customHeight="1" x14ac:dyDescent="0.25">
      <c r="B1128" s="145"/>
      <c r="C1128" s="139"/>
      <c r="D1128" s="146"/>
      <c r="E1128" s="139"/>
      <c r="F1128" s="139"/>
      <c r="G1128" s="139"/>
      <c r="H1128" s="139"/>
      <c r="I1128" s="139"/>
      <c r="J1128" s="139"/>
      <c r="K1128" s="139"/>
      <c r="L1128" s="243"/>
      <c r="M1128" s="243"/>
      <c r="N1128" s="139"/>
      <c r="O1128" s="139"/>
      <c r="P1128" s="139"/>
      <c r="Q1128" s="147"/>
      <c r="R1128" s="139"/>
      <c r="S1128" s="139"/>
      <c r="T1128" s="139"/>
      <c r="U1128" s="139"/>
      <c r="V1128" s="139"/>
      <c r="W1128" s="139"/>
      <c r="X1128" s="146"/>
      <c r="Y1128" s="148"/>
      <c r="Z1128" s="145"/>
      <c r="AA1128" s="139"/>
      <c r="AB1128" s="149"/>
      <c r="AC1128" s="119"/>
      <c r="AD1128" s="139"/>
      <c r="AE1128" s="139"/>
      <c r="AF1128" s="139"/>
      <c r="AG1128" s="139"/>
      <c r="AH1128" s="139"/>
      <c r="AI1128" s="139"/>
      <c r="AJ1128" s="139"/>
      <c r="AK1128" s="139"/>
      <c r="AL1128" s="139"/>
      <c r="AM1128" s="139"/>
      <c r="AN1128" s="139"/>
      <c r="AO1128" s="139"/>
      <c r="AP1128" s="139"/>
      <c r="AQ1128" s="174"/>
      <c r="AR1128" s="222"/>
    </row>
    <row r="1129" spans="2:44" s="141" customFormat="1" ht="18" customHeight="1" x14ac:dyDescent="0.25">
      <c r="B1129" s="145"/>
      <c r="C1129" s="139"/>
      <c r="D1129" s="146"/>
      <c r="E1129" s="139"/>
      <c r="F1129" s="139"/>
      <c r="G1129" s="139"/>
      <c r="H1129" s="139"/>
      <c r="I1129" s="139"/>
      <c r="J1129" s="139"/>
      <c r="K1129" s="139"/>
      <c r="L1129" s="243"/>
      <c r="M1129" s="243"/>
      <c r="N1129" s="139"/>
      <c r="O1129" s="139"/>
      <c r="P1129" s="139"/>
      <c r="Q1129" s="147"/>
      <c r="R1129" s="139"/>
      <c r="S1129" s="139"/>
      <c r="T1129" s="139"/>
      <c r="U1129" s="139"/>
      <c r="V1129" s="139"/>
      <c r="W1129" s="139"/>
      <c r="X1129" s="146"/>
      <c r="Y1129" s="148"/>
      <c r="Z1129" s="145"/>
      <c r="AA1129" s="139"/>
      <c r="AB1129" s="149"/>
      <c r="AC1129" s="119"/>
      <c r="AD1129" s="139"/>
      <c r="AE1129" s="139"/>
      <c r="AF1129" s="139"/>
      <c r="AG1129" s="139"/>
      <c r="AH1129" s="139"/>
      <c r="AI1129" s="139"/>
      <c r="AJ1129" s="139"/>
      <c r="AK1129" s="139"/>
      <c r="AL1129" s="139"/>
      <c r="AM1129" s="139"/>
      <c r="AN1129" s="139"/>
      <c r="AO1129" s="139"/>
      <c r="AP1129" s="139"/>
      <c r="AQ1129" s="174"/>
      <c r="AR1129" s="222"/>
    </row>
    <row r="1130" spans="2:44" s="22" customFormat="1" ht="18" customHeight="1" x14ac:dyDescent="0.25">
      <c r="B1130" s="145"/>
      <c r="C1130" s="139"/>
      <c r="D1130" s="146"/>
      <c r="E1130" s="139"/>
      <c r="F1130" s="139"/>
      <c r="G1130" s="139"/>
      <c r="H1130" s="139"/>
      <c r="I1130" s="139"/>
      <c r="J1130" s="139"/>
      <c r="K1130" s="139"/>
      <c r="L1130" s="243"/>
      <c r="M1130" s="243"/>
      <c r="N1130" s="139"/>
      <c r="O1130" s="139"/>
      <c r="P1130" s="139"/>
      <c r="Q1130" s="147"/>
      <c r="R1130" s="139"/>
      <c r="S1130" s="139"/>
      <c r="T1130" s="139"/>
      <c r="U1130" s="139"/>
      <c r="V1130" s="139"/>
      <c r="W1130" s="139"/>
      <c r="X1130" s="146"/>
      <c r="Y1130" s="148"/>
      <c r="Z1130" s="145"/>
      <c r="AA1130" s="139"/>
      <c r="AB1130" s="149"/>
      <c r="AC1130" s="119"/>
      <c r="AD1130" s="139"/>
      <c r="AE1130" s="139"/>
      <c r="AF1130" s="139"/>
      <c r="AG1130" s="139"/>
      <c r="AH1130" s="139"/>
      <c r="AI1130" s="139"/>
      <c r="AJ1130" s="139"/>
      <c r="AK1130" s="139"/>
      <c r="AL1130" s="139"/>
      <c r="AM1130" s="139"/>
      <c r="AN1130" s="139"/>
      <c r="AO1130" s="139"/>
      <c r="AP1130" s="139"/>
      <c r="AQ1130" s="174"/>
      <c r="AR1130" s="222"/>
    </row>
    <row r="1131" spans="2:44" s="22" customFormat="1" ht="18" customHeight="1" x14ac:dyDescent="0.25">
      <c r="B1131" s="145"/>
      <c r="C1131" s="139"/>
      <c r="D1131" s="146"/>
      <c r="E1131" s="139"/>
      <c r="F1131" s="139"/>
      <c r="G1131" s="139"/>
      <c r="H1131" s="139"/>
      <c r="I1131" s="139"/>
      <c r="J1131" s="139"/>
      <c r="K1131" s="139"/>
      <c r="L1131" s="243"/>
      <c r="M1131" s="243"/>
      <c r="N1131" s="139"/>
      <c r="O1131" s="139"/>
      <c r="P1131" s="139"/>
      <c r="Q1131" s="147"/>
      <c r="R1131" s="139"/>
      <c r="S1131" s="139"/>
      <c r="T1131" s="139"/>
      <c r="U1131" s="139"/>
      <c r="V1131" s="139"/>
      <c r="W1131" s="139"/>
      <c r="X1131" s="146"/>
      <c r="Y1131" s="148"/>
      <c r="Z1131" s="145"/>
      <c r="AA1131" s="139"/>
      <c r="AB1131" s="149"/>
      <c r="AC1131" s="119"/>
      <c r="AD1131" s="139"/>
      <c r="AE1131" s="139"/>
      <c r="AF1131" s="139"/>
      <c r="AG1131" s="139"/>
      <c r="AH1131" s="139"/>
      <c r="AI1131" s="139"/>
      <c r="AJ1131" s="139"/>
      <c r="AK1131" s="139"/>
      <c r="AL1131" s="139"/>
      <c r="AM1131" s="139"/>
      <c r="AN1131" s="139"/>
      <c r="AO1131" s="139"/>
      <c r="AP1131" s="139"/>
      <c r="AQ1131" s="174"/>
      <c r="AR1131" s="222"/>
    </row>
    <row r="1132" spans="2:44" s="22" customFormat="1" ht="18" customHeight="1" x14ac:dyDescent="0.25">
      <c r="B1132" s="145"/>
      <c r="C1132" s="139"/>
      <c r="D1132" s="146"/>
      <c r="E1132" s="139"/>
      <c r="F1132" s="139"/>
      <c r="G1132" s="139"/>
      <c r="H1132" s="139"/>
      <c r="I1132" s="139"/>
      <c r="J1132" s="139"/>
      <c r="K1132" s="139"/>
      <c r="L1132" s="243"/>
      <c r="M1132" s="243"/>
      <c r="N1132" s="139"/>
      <c r="O1132" s="139"/>
      <c r="P1132" s="139"/>
      <c r="Q1132" s="147"/>
      <c r="R1132" s="139"/>
      <c r="S1132" s="139"/>
      <c r="T1132" s="139"/>
      <c r="U1132" s="139"/>
      <c r="V1132" s="139"/>
      <c r="W1132" s="139"/>
      <c r="X1132" s="146"/>
      <c r="Y1132" s="148"/>
      <c r="Z1132" s="145"/>
      <c r="AA1132" s="139"/>
      <c r="AB1132" s="149"/>
      <c r="AC1132" s="119"/>
      <c r="AD1132" s="139"/>
      <c r="AE1132" s="139"/>
      <c r="AF1132" s="139"/>
      <c r="AG1132" s="139"/>
      <c r="AH1132" s="139"/>
      <c r="AI1132" s="139"/>
      <c r="AJ1132" s="139"/>
      <c r="AK1132" s="139"/>
      <c r="AL1132" s="139"/>
      <c r="AM1132" s="139"/>
      <c r="AN1132" s="139"/>
      <c r="AO1132" s="139"/>
      <c r="AP1132" s="139"/>
      <c r="AQ1132" s="174"/>
      <c r="AR1132" s="222"/>
    </row>
    <row r="1133" spans="2:44" s="22" customFormat="1" ht="18" customHeight="1" x14ac:dyDescent="0.25">
      <c r="B1133" s="145"/>
      <c r="C1133" s="139"/>
      <c r="D1133" s="146"/>
      <c r="E1133" s="139"/>
      <c r="F1133" s="139"/>
      <c r="G1133" s="139"/>
      <c r="H1133" s="139"/>
      <c r="I1133" s="139"/>
      <c r="J1133" s="139"/>
      <c r="K1133" s="139"/>
      <c r="L1133" s="243"/>
      <c r="M1133" s="243"/>
      <c r="N1133" s="139"/>
      <c r="O1133" s="139"/>
      <c r="P1133" s="139"/>
      <c r="Q1133" s="147"/>
      <c r="R1133" s="139"/>
      <c r="S1133" s="139"/>
      <c r="T1133" s="139"/>
      <c r="U1133" s="139"/>
      <c r="V1133" s="139"/>
      <c r="W1133" s="139"/>
      <c r="X1133" s="146"/>
      <c r="Y1133" s="148"/>
      <c r="Z1133" s="145"/>
      <c r="AA1133" s="139"/>
      <c r="AB1133" s="149"/>
      <c r="AC1133" s="119"/>
      <c r="AD1133" s="139"/>
      <c r="AE1133" s="139"/>
      <c r="AF1133" s="139"/>
      <c r="AG1133" s="139"/>
      <c r="AH1133" s="139"/>
      <c r="AI1133" s="139"/>
      <c r="AJ1133" s="139"/>
      <c r="AK1133" s="139"/>
      <c r="AL1133" s="139"/>
      <c r="AM1133" s="139"/>
      <c r="AN1133" s="139"/>
      <c r="AO1133" s="139"/>
      <c r="AP1133" s="139"/>
      <c r="AQ1133" s="174"/>
      <c r="AR1133" s="222"/>
    </row>
    <row r="1134" spans="2:44" s="22" customFormat="1" ht="18" customHeight="1" x14ac:dyDescent="0.25">
      <c r="B1134" s="145"/>
      <c r="C1134" s="139"/>
      <c r="D1134" s="146"/>
      <c r="E1134" s="139"/>
      <c r="F1134" s="139"/>
      <c r="G1134" s="139"/>
      <c r="H1134" s="139"/>
      <c r="I1134" s="139"/>
      <c r="J1134" s="139"/>
      <c r="K1134" s="139"/>
      <c r="L1134" s="243"/>
      <c r="M1134" s="243"/>
      <c r="N1134" s="139"/>
      <c r="O1134" s="139"/>
      <c r="P1134" s="139"/>
      <c r="Q1134" s="147"/>
      <c r="R1134" s="139"/>
      <c r="S1134" s="139"/>
      <c r="T1134" s="139"/>
      <c r="U1134" s="139"/>
      <c r="V1134" s="139"/>
      <c r="W1134" s="139"/>
      <c r="X1134" s="146"/>
      <c r="Y1134" s="148"/>
      <c r="Z1134" s="145"/>
      <c r="AA1134" s="139"/>
      <c r="AB1134" s="149"/>
      <c r="AC1134" s="119"/>
      <c r="AD1134" s="139"/>
      <c r="AE1134" s="139"/>
      <c r="AF1134" s="139"/>
      <c r="AG1134" s="139"/>
      <c r="AH1134" s="139"/>
      <c r="AI1134" s="139"/>
      <c r="AJ1134" s="139"/>
      <c r="AK1134" s="139"/>
      <c r="AL1134" s="139"/>
      <c r="AM1134" s="139"/>
      <c r="AN1134" s="139"/>
      <c r="AO1134" s="139"/>
      <c r="AP1134" s="139"/>
      <c r="AQ1134" s="174"/>
      <c r="AR1134" s="222"/>
    </row>
    <row r="1135" spans="2:44" s="22" customFormat="1" ht="18" customHeight="1" x14ac:dyDescent="0.25">
      <c r="B1135" s="145"/>
      <c r="C1135" s="139"/>
      <c r="D1135" s="146"/>
      <c r="E1135" s="139"/>
      <c r="F1135" s="139"/>
      <c r="G1135" s="139"/>
      <c r="H1135" s="139"/>
      <c r="I1135" s="139"/>
      <c r="J1135" s="139"/>
      <c r="K1135" s="139"/>
      <c r="L1135" s="243"/>
      <c r="M1135" s="243"/>
      <c r="N1135" s="139"/>
      <c r="O1135" s="139"/>
      <c r="P1135" s="139"/>
      <c r="Q1135" s="147"/>
      <c r="R1135" s="139"/>
      <c r="S1135" s="139"/>
      <c r="T1135" s="139"/>
      <c r="U1135" s="139"/>
      <c r="V1135" s="139"/>
      <c r="W1135" s="139"/>
      <c r="X1135" s="146"/>
      <c r="Y1135" s="148"/>
      <c r="Z1135" s="145"/>
      <c r="AA1135" s="139"/>
      <c r="AB1135" s="149"/>
      <c r="AC1135" s="119"/>
      <c r="AD1135" s="139"/>
      <c r="AE1135" s="139"/>
      <c r="AF1135" s="139"/>
      <c r="AG1135" s="139"/>
      <c r="AH1135" s="139"/>
      <c r="AI1135" s="139"/>
      <c r="AJ1135" s="139"/>
      <c r="AK1135" s="139"/>
      <c r="AL1135" s="139"/>
      <c r="AM1135" s="139"/>
      <c r="AN1135" s="139"/>
      <c r="AO1135" s="139"/>
      <c r="AP1135" s="139"/>
      <c r="AQ1135" s="174"/>
      <c r="AR1135" s="222"/>
    </row>
    <row r="1136" spans="2:44" s="22" customFormat="1" ht="18" customHeight="1" x14ac:dyDescent="0.25">
      <c r="B1136" s="145"/>
      <c r="C1136" s="139"/>
      <c r="D1136" s="146"/>
      <c r="E1136" s="139"/>
      <c r="F1136" s="139"/>
      <c r="G1136" s="139"/>
      <c r="H1136" s="139"/>
      <c r="I1136" s="139"/>
      <c r="J1136" s="139"/>
      <c r="K1136" s="139"/>
      <c r="L1136" s="243"/>
      <c r="M1136" s="243"/>
      <c r="N1136" s="139"/>
      <c r="O1136" s="139"/>
      <c r="P1136" s="139"/>
      <c r="Q1136" s="147"/>
      <c r="R1136" s="139"/>
      <c r="S1136" s="139"/>
      <c r="T1136" s="139"/>
      <c r="U1136" s="139"/>
      <c r="V1136" s="139"/>
      <c r="W1136" s="139"/>
      <c r="X1136" s="146"/>
      <c r="Y1136" s="148"/>
      <c r="Z1136" s="145"/>
      <c r="AA1136" s="139"/>
      <c r="AB1136" s="149"/>
      <c r="AC1136" s="119"/>
      <c r="AD1136" s="139"/>
      <c r="AE1136" s="139"/>
      <c r="AF1136" s="139"/>
      <c r="AG1136" s="139"/>
      <c r="AH1136" s="139"/>
      <c r="AI1136" s="139"/>
      <c r="AJ1136" s="139"/>
      <c r="AK1136" s="139"/>
      <c r="AL1136" s="139"/>
      <c r="AM1136" s="139"/>
      <c r="AN1136" s="139"/>
      <c r="AO1136" s="139"/>
      <c r="AP1136" s="139"/>
      <c r="AQ1136" s="174"/>
      <c r="AR1136" s="222"/>
    </row>
    <row r="1137" spans="2:44" s="22" customFormat="1" ht="18" customHeight="1" x14ac:dyDescent="0.25">
      <c r="B1137" s="145"/>
      <c r="C1137" s="139"/>
      <c r="D1137" s="146"/>
      <c r="E1137" s="139"/>
      <c r="F1137" s="139"/>
      <c r="G1137" s="139"/>
      <c r="H1137" s="139"/>
      <c r="I1137" s="139"/>
      <c r="J1137" s="139"/>
      <c r="K1137" s="139"/>
      <c r="L1137" s="243"/>
      <c r="M1137" s="243"/>
      <c r="N1137" s="139"/>
      <c r="O1137" s="139"/>
      <c r="P1137" s="139"/>
      <c r="Q1137" s="147"/>
      <c r="R1137" s="139"/>
      <c r="S1137" s="139"/>
      <c r="T1137" s="139"/>
      <c r="U1137" s="139"/>
      <c r="V1137" s="139"/>
      <c r="W1137" s="139"/>
      <c r="X1137" s="146"/>
      <c r="Y1137" s="148"/>
      <c r="Z1137" s="145"/>
      <c r="AA1137" s="139"/>
      <c r="AB1137" s="149"/>
      <c r="AC1137" s="119"/>
      <c r="AD1137" s="139"/>
      <c r="AE1137" s="139"/>
      <c r="AF1137" s="139"/>
      <c r="AG1137" s="139"/>
      <c r="AH1137" s="139"/>
      <c r="AI1137" s="139"/>
      <c r="AJ1137" s="139"/>
      <c r="AK1137" s="139"/>
      <c r="AL1137" s="139"/>
      <c r="AM1137" s="139"/>
      <c r="AN1137" s="139"/>
      <c r="AO1137" s="139"/>
      <c r="AP1137" s="139"/>
      <c r="AQ1137" s="174"/>
      <c r="AR1137" s="222"/>
    </row>
    <row r="1138" spans="2:44" s="22" customFormat="1" ht="18" customHeight="1" x14ac:dyDescent="0.25">
      <c r="B1138" s="145"/>
      <c r="C1138" s="139"/>
      <c r="D1138" s="146"/>
      <c r="E1138" s="139"/>
      <c r="F1138" s="139"/>
      <c r="G1138" s="139"/>
      <c r="H1138" s="139"/>
      <c r="I1138" s="139"/>
      <c r="J1138" s="139"/>
      <c r="K1138" s="139"/>
      <c r="L1138" s="243"/>
      <c r="M1138" s="243"/>
      <c r="N1138" s="139"/>
      <c r="O1138" s="139"/>
      <c r="P1138" s="139"/>
      <c r="Q1138" s="147"/>
      <c r="R1138" s="139"/>
      <c r="S1138" s="139"/>
      <c r="T1138" s="139"/>
      <c r="U1138" s="139"/>
      <c r="V1138" s="139"/>
      <c r="W1138" s="139"/>
      <c r="X1138" s="146"/>
      <c r="Y1138" s="148"/>
      <c r="Z1138" s="145"/>
      <c r="AA1138" s="139"/>
      <c r="AB1138" s="149"/>
      <c r="AC1138" s="119"/>
      <c r="AD1138" s="139"/>
      <c r="AE1138" s="139"/>
      <c r="AF1138" s="139"/>
      <c r="AG1138" s="139"/>
      <c r="AH1138" s="139"/>
      <c r="AI1138" s="139"/>
      <c r="AJ1138" s="139"/>
      <c r="AK1138" s="139"/>
      <c r="AL1138" s="139"/>
      <c r="AM1138" s="139"/>
      <c r="AN1138" s="139"/>
      <c r="AO1138" s="139"/>
      <c r="AP1138" s="139"/>
      <c r="AQ1138" s="174"/>
      <c r="AR1138" s="222"/>
    </row>
    <row r="1139" spans="2:44" s="141" customFormat="1" ht="18" customHeight="1" x14ac:dyDescent="0.25">
      <c r="B1139" s="145"/>
      <c r="C1139" s="139"/>
      <c r="D1139" s="146"/>
      <c r="E1139" s="139"/>
      <c r="F1139" s="139"/>
      <c r="G1139" s="139"/>
      <c r="H1139" s="139"/>
      <c r="I1139" s="139"/>
      <c r="J1139" s="139"/>
      <c r="K1139" s="139"/>
      <c r="L1139" s="243"/>
      <c r="M1139" s="243"/>
      <c r="N1139" s="139"/>
      <c r="O1139" s="139"/>
      <c r="P1139" s="139"/>
      <c r="Q1139" s="147"/>
      <c r="R1139" s="139"/>
      <c r="S1139" s="139"/>
      <c r="T1139" s="139"/>
      <c r="U1139" s="139"/>
      <c r="V1139" s="139"/>
      <c r="W1139" s="139"/>
      <c r="X1139" s="146"/>
      <c r="Y1139" s="148"/>
      <c r="Z1139" s="145"/>
      <c r="AA1139" s="139"/>
      <c r="AB1139" s="149"/>
      <c r="AC1139" s="119"/>
      <c r="AD1139" s="139"/>
      <c r="AE1139" s="139"/>
      <c r="AF1139" s="139"/>
      <c r="AG1139" s="139"/>
      <c r="AH1139" s="139"/>
      <c r="AI1139" s="139"/>
      <c r="AJ1139" s="139"/>
      <c r="AK1139" s="139"/>
      <c r="AL1139" s="139"/>
      <c r="AM1139" s="139"/>
      <c r="AN1139" s="139"/>
      <c r="AO1139" s="139"/>
      <c r="AP1139" s="139"/>
      <c r="AQ1139" s="174"/>
      <c r="AR1139" s="222"/>
    </row>
    <row r="1140" spans="2:44" s="22" customFormat="1" ht="18" customHeight="1" x14ac:dyDescent="0.25">
      <c r="B1140" s="145"/>
      <c r="C1140" s="139"/>
      <c r="D1140" s="146"/>
      <c r="E1140" s="139"/>
      <c r="F1140" s="139"/>
      <c r="G1140" s="139"/>
      <c r="H1140" s="139"/>
      <c r="I1140" s="139"/>
      <c r="J1140" s="139"/>
      <c r="K1140" s="139"/>
      <c r="L1140" s="243"/>
      <c r="M1140" s="243"/>
      <c r="N1140" s="139"/>
      <c r="O1140" s="139"/>
      <c r="P1140" s="139"/>
      <c r="Q1140" s="147"/>
      <c r="R1140" s="139"/>
      <c r="S1140" s="139"/>
      <c r="T1140" s="139"/>
      <c r="U1140" s="139"/>
      <c r="V1140" s="139"/>
      <c r="W1140" s="139"/>
      <c r="X1140" s="146"/>
      <c r="Y1140" s="148"/>
      <c r="Z1140" s="145"/>
      <c r="AA1140" s="139"/>
      <c r="AB1140" s="149"/>
      <c r="AC1140" s="119"/>
      <c r="AD1140" s="139"/>
      <c r="AE1140" s="139"/>
      <c r="AF1140" s="139"/>
      <c r="AG1140" s="139"/>
      <c r="AH1140" s="139"/>
      <c r="AI1140" s="139"/>
      <c r="AJ1140" s="139"/>
      <c r="AK1140" s="139"/>
      <c r="AL1140" s="139"/>
      <c r="AM1140" s="139"/>
      <c r="AN1140" s="139"/>
      <c r="AO1140" s="139"/>
      <c r="AP1140" s="139"/>
      <c r="AQ1140" s="174"/>
      <c r="AR1140" s="222"/>
    </row>
    <row r="1141" spans="2:44" s="22" customFormat="1" ht="18" customHeight="1" x14ac:dyDescent="0.25">
      <c r="B1141" s="145"/>
      <c r="C1141" s="139"/>
      <c r="D1141" s="146"/>
      <c r="E1141" s="139"/>
      <c r="F1141" s="139"/>
      <c r="G1141" s="139"/>
      <c r="H1141" s="139"/>
      <c r="I1141" s="139"/>
      <c r="J1141" s="139"/>
      <c r="K1141" s="139"/>
      <c r="L1141" s="243"/>
      <c r="M1141" s="243"/>
      <c r="N1141" s="139"/>
      <c r="O1141" s="139"/>
      <c r="P1141" s="139"/>
      <c r="Q1141" s="147"/>
      <c r="R1141" s="139"/>
      <c r="S1141" s="139"/>
      <c r="T1141" s="139"/>
      <c r="U1141" s="139"/>
      <c r="V1141" s="139"/>
      <c r="W1141" s="139"/>
      <c r="X1141" s="146"/>
      <c r="Y1141" s="148"/>
      <c r="Z1141" s="145"/>
      <c r="AA1141" s="139"/>
      <c r="AB1141" s="149"/>
      <c r="AC1141" s="119"/>
      <c r="AD1141" s="139"/>
      <c r="AE1141" s="139"/>
      <c r="AF1141" s="139"/>
      <c r="AG1141" s="139"/>
      <c r="AH1141" s="139"/>
      <c r="AI1141" s="139"/>
      <c r="AJ1141" s="139"/>
      <c r="AK1141" s="139"/>
      <c r="AL1141" s="139"/>
      <c r="AM1141" s="139"/>
      <c r="AN1141" s="139"/>
      <c r="AO1141" s="139"/>
      <c r="AP1141" s="139"/>
      <c r="AQ1141" s="174"/>
      <c r="AR1141" s="222"/>
    </row>
    <row r="1142" spans="2:44" s="22" customFormat="1" ht="18" customHeight="1" x14ac:dyDescent="0.25">
      <c r="B1142" s="145"/>
      <c r="C1142" s="139"/>
      <c r="D1142" s="146"/>
      <c r="E1142" s="139"/>
      <c r="F1142" s="139"/>
      <c r="G1142" s="139"/>
      <c r="H1142" s="139"/>
      <c r="I1142" s="139"/>
      <c r="J1142" s="139"/>
      <c r="K1142" s="139"/>
      <c r="L1142" s="243"/>
      <c r="M1142" s="243"/>
      <c r="N1142" s="139"/>
      <c r="O1142" s="139"/>
      <c r="P1142" s="139"/>
      <c r="Q1142" s="147"/>
      <c r="R1142" s="139"/>
      <c r="S1142" s="139"/>
      <c r="T1142" s="139"/>
      <c r="U1142" s="139"/>
      <c r="V1142" s="139"/>
      <c r="W1142" s="139"/>
      <c r="X1142" s="146"/>
      <c r="Y1142" s="148"/>
      <c r="Z1142" s="145"/>
      <c r="AA1142" s="139"/>
      <c r="AB1142" s="149"/>
      <c r="AC1142" s="119"/>
      <c r="AD1142" s="139"/>
      <c r="AE1142" s="139"/>
      <c r="AF1142" s="139"/>
      <c r="AG1142" s="139"/>
      <c r="AH1142" s="139"/>
      <c r="AI1142" s="139"/>
      <c r="AJ1142" s="139"/>
      <c r="AK1142" s="139"/>
      <c r="AL1142" s="139"/>
      <c r="AM1142" s="139"/>
      <c r="AN1142" s="139"/>
      <c r="AO1142" s="139"/>
      <c r="AP1142" s="139"/>
      <c r="AQ1142" s="174"/>
      <c r="AR1142" s="222"/>
    </row>
    <row r="1143" spans="2:44" s="22" customFormat="1" ht="18" customHeight="1" x14ac:dyDescent="0.25">
      <c r="B1143" s="145"/>
      <c r="C1143" s="139"/>
      <c r="D1143" s="146"/>
      <c r="E1143" s="139"/>
      <c r="F1143" s="139"/>
      <c r="G1143" s="139"/>
      <c r="H1143" s="139"/>
      <c r="I1143" s="139"/>
      <c r="J1143" s="139"/>
      <c r="K1143" s="139"/>
      <c r="L1143" s="243"/>
      <c r="M1143" s="243"/>
      <c r="N1143" s="139"/>
      <c r="O1143" s="139"/>
      <c r="P1143" s="139"/>
      <c r="Q1143" s="147"/>
      <c r="R1143" s="139"/>
      <c r="S1143" s="139"/>
      <c r="T1143" s="139"/>
      <c r="U1143" s="139"/>
      <c r="V1143" s="139"/>
      <c r="W1143" s="139"/>
      <c r="X1143" s="146"/>
      <c r="Y1143" s="148"/>
      <c r="Z1143" s="145"/>
      <c r="AA1143" s="139"/>
      <c r="AB1143" s="149"/>
      <c r="AC1143" s="119"/>
      <c r="AD1143" s="139"/>
      <c r="AE1143" s="139"/>
      <c r="AF1143" s="139"/>
      <c r="AG1143" s="139"/>
      <c r="AH1143" s="139"/>
      <c r="AI1143" s="139"/>
      <c r="AJ1143" s="139"/>
      <c r="AK1143" s="139"/>
      <c r="AL1143" s="139"/>
      <c r="AM1143" s="139"/>
      <c r="AN1143" s="139"/>
      <c r="AO1143" s="139"/>
      <c r="AP1143" s="139"/>
      <c r="AQ1143" s="174"/>
      <c r="AR1143" s="222"/>
    </row>
    <row r="1144" spans="2:44" s="22" customFormat="1" ht="18" customHeight="1" x14ac:dyDescent="0.25">
      <c r="B1144" s="145"/>
      <c r="C1144" s="139"/>
      <c r="D1144" s="146"/>
      <c r="E1144" s="139"/>
      <c r="F1144" s="139"/>
      <c r="G1144" s="139"/>
      <c r="H1144" s="139"/>
      <c r="I1144" s="139"/>
      <c r="J1144" s="139"/>
      <c r="K1144" s="139"/>
      <c r="L1144" s="243"/>
      <c r="M1144" s="243"/>
      <c r="N1144" s="139"/>
      <c r="O1144" s="139"/>
      <c r="P1144" s="139"/>
      <c r="Q1144" s="147"/>
      <c r="R1144" s="139"/>
      <c r="S1144" s="139"/>
      <c r="T1144" s="139"/>
      <c r="U1144" s="139"/>
      <c r="V1144" s="139"/>
      <c r="W1144" s="139"/>
      <c r="X1144" s="146"/>
      <c r="Y1144" s="148"/>
      <c r="Z1144" s="145"/>
      <c r="AA1144" s="139"/>
      <c r="AB1144" s="149"/>
      <c r="AC1144" s="119"/>
      <c r="AD1144" s="139"/>
      <c r="AE1144" s="139"/>
      <c r="AF1144" s="139"/>
      <c r="AG1144" s="139"/>
      <c r="AH1144" s="139"/>
      <c r="AI1144" s="139"/>
      <c r="AJ1144" s="139"/>
      <c r="AK1144" s="139"/>
      <c r="AL1144" s="139"/>
      <c r="AM1144" s="139"/>
      <c r="AN1144" s="139"/>
      <c r="AO1144" s="139"/>
      <c r="AP1144" s="139"/>
      <c r="AQ1144" s="174"/>
      <c r="AR1144" s="222"/>
    </row>
    <row r="1145" spans="2:44" s="22" customFormat="1" ht="18" customHeight="1" x14ac:dyDescent="0.25">
      <c r="B1145" s="145"/>
      <c r="C1145" s="139"/>
      <c r="D1145" s="146"/>
      <c r="E1145" s="139"/>
      <c r="F1145" s="139"/>
      <c r="G1145" s="139"/>
      <c r="H1145" s="139"/>
      <c r="I1145" s="139"/>
      <c r="J1145" s="139"/>
      <c r="K1145" s="139"/>
      <c r="L1145" s="243"/>
      <c r="M1145" s="243"/>
      <c r="N1145" s="139"/>
      <c r="O1145" s="139"/>
      <c r="P1145" s="139"/>
      <c r="Q1145" s="147"/>
      <c r="R1145" s="139"/>
      <c r="S1145" s="139"/>
      <c r="T1145" s="139"/>
      <c r="U1145" s="139"/>
      <c r="V1145" s="139"/>
      <c r="W1145" s="139"/>
      <c r="X1145" s="146"/>
      <c r="Y1145" s="148"/>
      <c r="Z1145" s="145"/>
      <c r="AA1145" s="139"/>
      <c r="AB1145" s="149"/>
      <c r="AC1145" s="119"/>
      <c r="AD1145" s="139"/>
      <c r="AE1145" s="139"/>
      <c r="AF1145" s="139"/>
      <c r="AG1145" s="139"/>
      <c r="AH1145" s="139"/>
      <c r="AI1145" s="139"/>
      <c r="AJ1145" s="139"/>
      <c r="AK1145" s="139"/>
      <c r="AL1145" s="139"/>
      <c r="AM1145" s="139"/>
      <c r="AN1145" s="139"/>
      <c r="AO1145" s="139"/>
      <c r="AP1145" s="139"/>
      <c r="AQ1145" s="174"/>
      <c r="AR1145" s="222"/>
    </row>
    <row r="1146" spans="2:44" s="22" customFormat="1" ht="18" customHeight="1" x14ac:dyDescent="0.25">
      <c r="B1146" s="145"/>
      <c r="C1146" s="139"/>
      <c r="D1146" s="146"/>
      <c r="E1146" s="139"/>
      <c r="F1146" s="139"/>
      <c r="G1146" s="139"/>
      <c r="H1146" s="139"/>
      <c r="I1146" s="139"/>
      <c r="J1146" s="139"/>
      <c r="K1146" s="139"/>
      <c r="L1146" s="243"/>
      <c r="M1146" s="243"/>
      <c r="N1146" s="139"/>
      <c r="O1146" s="139"/>
      <c r="P1146" s="139"/>
      <c r="Q1146" s="147"/>
      <c r="R1146" s="139"/>
      <c r="S1146" s="139"/>
      <c r="T1146" s="139"/>
      <c r="U1146" s="139"/>
      <c r="V1146" s="139"/>
      <c r="W1146" s="139"/>
      <c r="X1146" s="146"/>
      <c r="Y1146" s="148"/>
      <c r="Z1146" s="145"/>
      <c r="AA1146" s="139"/>
      <c r="AB1146" s="149"/>
      <c r="AC1146" s="119"/>
      <c r="AD1146" s="139"/>
      <c r="AE1146" s="139"/>
      <c r="AF1146" s="139"/>
      <c r="AG1146" s="139"/>
      <c r="AH1146" s="139"/>
      <c r="AI1146" s="139"/>
      <c r="AJ1146" s="139"/>
      <c r="AK1146" s="139"/>
      <c r="AL1146" s="139"/>
      <c r="AM1146" s="139"/>
      <c r="AN1146" s="139"/>
      <c r="AO1146" s="139"/>
      <c r="AP1146" s="139"/>
      <c r="AQ1146" s="174"/>
      <c r="AR1146" s="222"/>
    </row>
    <row r="1147" spans="2:44" s="22" customFormat="1" ht="18" customHeight="1" x14ac:dyDescent="0.25">
      <c r="B1147" s="145"/>
      <c r="C1147" s="139"/>
      <c r="D1147" s="146"/>
      <c r="E1147" s="139"/>
      <c r="F1147" s="139"/>
      <c r="G1147" s="139"/>
      <c r="H1147" s="139"/>
      <c r="I1147" s="139"/>
      <c r="J1147" s="139"/>
      <c r="K1147" s="139"/>
      <c r="L1147" s="243"/>
      <c r="M1147" s="243"/>
      <c r="N1147" s="139"/>
      <c r="O1147" s="139"/>
      <c r="P1147" s="139"/>
      <c r="Q1147" s="147"/>
      <c r="R1147" s="139"/>
      <c r="S1147" s="139"/>
      <c r="T1147" s="139"/>
      <c r="U1147" s="139"/>
      <c r="V1147" s="139"/>
      <c r="W1147" s="139"/>
      <c r="X1147" s="146"/>
      <c r="Y1147" s="148"/>
      <c r="Z1147" s="145"/>
      <c r="AA1147" s="139"/>
      <c r="AB1147" s="149"/>
      <c r="AC1147" s="119"/>
      <c r="AD1147" s="139"/>
      <c r="AE1147" s="139"/>
      <c r="AF1147" s="139"/>
      <c r="AG1147" s="139"/>
      <c r="AH1147" s="139"/>
      <c r="AI1147" s="139"/>
      <c r="AJ1147" s="139"/>
      <c r="AK1147" s="139"/>
      <c r="AL1147" s="139"/>
      <c r="AM1147" s="139"/>
      <c r="AN1147" s="139"/>
      <c r="AO1147" s="139"/>
      <c r="AP1147" s="139"/>
      <c r="AQ1147" s="174"/>
      <c r="AR1147" s="222"/>
    </row>
    <row r="1148" spans="2:44" s="140" customFormat="1" ht="18" customHeight="1" x14ac:dyDescent="0.25">
      <c r="B1148" s="145"/>
      <c r="C1148" s="139"/>
      <c r="D1148" s="146"/>
      <c r="E1148" s="139"/>
      <c r="F1148" s="139"/>
      <c r="G1148" s="139"/>
      <c r="H1148" s="139"/>
      <c r="I1148" s="139"/>
      <c r="J1148" s="139"/>
      <c r="K1148" s="139"/>
      <c r="L1148" s="243"/>
      <c r="M1148" s="243"/>
      <c r="N1148" s="139"/>
      <c r="O1148" s="139"/>
      <c r="P1148" s="139"/>
      <c r="Q1148" s="147"/>
      <c r="R1148" s="139"/>
      <c r="S1148" s="139"/>
      <c r="T1148" s="139"/>
      <c r="U1148" s="139"/>
      <c r="V1148" s="139"/>
      <c r="W1148" s="139"/>
      <c r="X1148" s="146"/>
      <c r="Y1148" s="148"/>
      <c r="Z1148" s="145"/>
      <c r="AA1148" s="139"/>
      <c r="AB1148" s="149"/>
      <c r="AC1148" s="119"/>
      <c r="AD1148" s="139"/>
      <c r="AE1148" s="139"/>
      <c r="AF1148" s="139"/>
      <c r="AG1148" s="139"/>
      <c r="AH1148" s="139"/>
      <c r="AI1148" s="139"/>
      <c r="AJ1148" s="139"/>
      <c r="AK1148" s="139"/>
      <c r="AL1148" s="139"/>
      <c r="AM1148" s="139"/>
      <c r="AN1148" s="139"/>
      <c r="AO1148" s="139"/>
      <c r="AP1148" s="139"/>
      <c r="AQ1148" s="174"/>
      <c r="AR1148" s="222"/>
    </row>
    <row r="1149" spans="2:44" s="22" customFormat="1" ht="18" customHeight="1" x14ac:dyDescent="0.25">
      <c r="B1149" s="145"/>
      <c r="C1149" s="139"/>
      <c r="D1149" s="146"/>
      <c r="E1149" s="139"/>
      <c r="F1149" s="139"/>
      <c r="G1149" s="139"/>
      <c r="H1149" s="139"/>
      <c r="I1149" s="139"/>
      <c r="J1149" s="139"/>
      <c r="K1149" s="139"/>
      <c r="L1149" s="243"/>
      <c r="M1149" s="243"/>
      <c r="N1149" s="139"/>
      <c r="O1149" s="139"/>
      <c r="P1149" s="139"/>
      <c r="Q1149" s="147"/>
      <c r="R1149" s="139"/>
      <c r="S1149" s="139"/>
      <c r="T1149" s="139"/>
      <c r="U1149" s="139"/>
      <c r="V1149" s="139"/>
      <c r="W1149" s="139"/>
      <c r="X1149" s="146"/>
      <c r="Y1149" s="148"/>
      <c r="Z1149" s="145"/>
      <c r="AA1149" s="139"/>
      <c r="AB1149" s="149"/>
      <c r="AC1149" s="119"/>
      <c r="AD1149" s="139"/>
      <c r="AE1149" s="139"/>
      <c r="AF1149" s="139"/>
      <c r="AG1149" s="139"/>
      <c r="AH1149" s="139"/>
      <c r="AI1149" s="139"/>
      <c r="AJ1149" s="139"/>
      <c r="AK1149" s="139"/>
      <c r="AL1149" s="139"/>
      <c r="AM1149" s="139"/>
      <c r="AN1149" s="139"/>
      <c r="AO1149" s="139"/>
      <c r="AP1149" s="139"/>
      <c r="AQ1149" s="174"/>
      <c r="AR1149" s="222"/>
    </row>
    <row r="1150" spans="2:44" s="22" customFormat="1" ht="18" customHeight="1" x14ac:dyDescent="0.25">
      <c r="B1150" s="145"/>
      <c r="C1150" s="139"/>
      <c r="D1150" s="146"/>
      <c r="E1150" s="139"/>
      <c r="F1150" s="139"/>
      <c r="G1150" s="139"/>
      <c r="H1150" s="139"/>
      <c r="I1150" s="139"/>
      <c r="J1150" s="139"/>
      <c r="K1150" s="139"/>
      <c r="L1150" s="243"/>
      <c r="M1150" s="243"/>
      <c r="N1150" s="139"/>
      <c r="O1150" s="139"/>
      <c r="P1150" s="139"/>
      <c r="Q1150" s="147"/>
      <c r="R1150" s="139"/>
      <c r="S1150" s="139"/>
      <c r="T1150" s="139"/>
      <c r="U1150" s="139"/>
      <c r="V1150" s="139"/>
      <c r="W1150" s="139"/>
      <c r="X1150" s="146"/>
      <c r="Y1150" s="148"/>
      <c r="Z1150" s="145"/>
      <c r="AA1150" s="139"/>
      <c r="AB1150" s="149"/>
      <c r="AC1150" s="119"/>
      <c r="AD1150" s="139"/>
      <c r="AE1150" s="139"/>
      <c r="AF1150" s="139"/>
      <c r="AG1150" s="139"/>
      <c r="AH1150" s="139"/>
      <c r="AI1150" s="139"/>
      <c r="AJ1150" s="139"/>
      <c r="AK1150" s="139"/>
      <c r="AL1150" s="139"/>
      <c r="AM1150" s="139"/>
      <c r="AN1150" s="139"/>
      <c r="AO1150" s="139"/>
      <c r="AP1150" s="139"/>
      <c r="AQ1150" s="174"/>
      <c r="AR1150" s="222"/>
    </row>
    <row r="1151" spans="2:44" s="22" customFormat="1" ht="18" customHeight="1" x14ac:dyDescent="0.25">
      <c r="B1151" s="145"/>
      <c r="C1151" s="139"/>
      <c r="D1151" s="146"/>
      <c r="E1151" s="139"/>
      <c r="F1151" s="139"/>
      <c r="G1151" s="139"/>
      <c r="H1151" s="139"/>
      <c r="I1151" s="139"/>
      <c r="J1151" s="139"/>
      <c r="K1151" s="139"/>
      <c r="L1151" s="243"/>
      <c r="M1151" s="243"/>
      <c r="N1151" s="139"/>
      <c r="O1151" s="139"/>
      <c r="P1151" s="139"/>
      <c r="Q1151" s="147"/>
      <c r="R1151" s="139"/>
      <c r="S1151" s="139"/>
      <c r="T1151" s="139"/>
      <c r="U1151" s="139"/>
      <c r="V1151" s="139"/>
      <c r="W1151" s="139"/>
      <c r="X1151" s="146"/>
      <c r="Y1151" s="148"/>
      <c r="Z1151" s="145"/>
      <c r="AA1151" s="139"/>
      <c r="AB1151" s="149"/>
      <c r="AC1151" s="119"/>
      <c r="AD1151" s="139"/>
      <c r="AE1151" s="139"/>
      <c r="AF1151" s="139"/>
      <c r="AG1151" s="139"/>
      <c r="AH1151" s="139"/>
      <c r="AI1151" s="139"/>
      <c r="AJ1151" s="139"/>
      <c r="AK1151" s="139"/>
      <c r="AL1151" s="139"/>
      <c r="AM1151" s="139"/>
      <c r="AN1151" s="139"/>
      <c r="AO1151" s="139"/>
      <c r="AP1151" s="139"/>
      <c r="AQ1151" s="174"/>
      <c r="AR1151" s="222"/>
    </row>
    <row r="1152" spans="2:44" s="141" customFormat="1" ht="18" customHeight="1" x14ac:dyDescent="0.25">
      <c r="B1152" s="145"/>
      <c r="C1152" s="139"/>
      <c r="D1152" s="146"/>
      <c r="E1152" s="139"/>
      <c r="F1152" s="139"/>
      <c r="G1152" s="139"/>
      <c r="H1152" s="139"/>
      <c r="I1152" s="139"/>
      <c r="J1152" s="139"/>
      <c r="K1152" s="139"/>
      <c r="L1152" s="243"/>
      <c r="M1152" s="243"/>
      <c r="N1152" s="139"/>
      <c r="O1152" s="139"/>
      <c r="P1152" s="139"/>
      <c r="Q1152" s="147"/>
      <c r="R1152" s="139"/>
      <c r="S1152" s="139"/>
      <c r="T1152" s="139"/>
      <c r="U1152" s="139"/>
      <c r="V1152" s="139"/>
      <c r="W1152" s="139"/>
      <c r="X1152" s="146"/>
      <c r="Y1152" s="148"/>
      <c r="Z1152" s="145"/>
      <c r="AA1152" s="139"/>
      <c r="AB1152" s="149"/>
      <c r="AC1152" s="119"/>
      <c r="AD1152" s="139"/>
      <c r="AE1152" s="139"/>
      <c r="AF1152" s="139"/>
      <c r="AG1152" s="139"/>
      <c r="AH1152" s="139"/>
      <c r="AI1152" s="139"/>
      <c r="AJ1152" s="139"/>
      <c r="AK1152" s="139"/>
      <c r="AL1152" s="139"/>
      <c r="AM1152" s="139"/>
      <c r="AN1152" s="139"/>
      <c r="AO1152" s="139"/>
      <c r="AP1152" s="139"/>
      <c r="AQ1152" s="174"/>
      <c r="AR1152" s="222"/>
    </row>
    <row r="1153" spans="2:44" s="22" customFormat="1" ht="18" customHeight="1" x14ac:dyDescent="0.25">
      <c r="B1153" s="145"/>
      <c r="C1153" s="139"/>
      <c r="D1153" s="146"/>
      <c r="E1153" s="139"/>
      <c r="F1153" s="139"/>
      <c r="G1153" s="139"/>
      <c r="H1153" s="139"/>
      <c r="I1153" s="139"/>
      <c r="J1153" s="139"/>
      <c r="K1153" s="139"/>
      <c r="L1153" s="243"/>
      <c r="M1153" s="243"/>
      <c r="N1153" s="139"/>
      <c r="O1153" s="139"/>
      <c r="P1153" s="139"/>
      <c r="Q1153" s="147"/>
      <c r="R1153" s="139"/>
      <c r="S1153" s="139"/>
      <c r="T1153" s="139"/>
      <c r="U1153" s="139"/>
      <c r="V1153" s="139"/>
      <c r="W1153" s="139"/>
      <c r="X1153" s="146"/>
      <c r="Y1153" s="148"/>
      <c r="Z1153" s="145"/>
      <c r="AA1153" s="139"/>
      <c r="AB1153" s="149"/>
      <c r="AC1153" s="119"/>
      <c r="AD1153" s="139"/>
      <c r="AE1153" s="139"/>
      <c r="AF1153" s="139"/>
      <c r="AG1153" s="139"/>
      <c r="AH1153" s="139"/>
      <c r="AI1153" s="139"/>
      <c r="AJ1153" s="139"/>
      <c r="AK1153" s="139"/>
      <c r="AL1153" s="139"/>
      <c r="AM1153" s="139"/>
      <c r="AN1153" s="139"/>
      <c r="AO1153" s="139"/>
      <c r="AP1153" s="139"/>
      <c r="AQ1153" s="174"/>
      <c r="AR1153" s="222"/>
    </row>
    <row r="1154" spans="2:44" s="22" customFormat="1" ht="18" customHeight="1" x14ac:dyDescent="0.25">
      <c r="B1154" s="145"/>
      <c r="C1154" s="139"/>
      <c r="D1154" s="146"/>
      <c r="E1154" s="139"/>
      <c r="F1154" s="139"/>
      <c r="G1154" s="139"/>
      <c r="H1154" s="139"/>
      <c r="I1154" s="139"/>
      <c r="J1154" s="139"/>
      <c r="K1154" s="139"/>
      <c r="L1154" s="243"/>
      <c r="M1154" s="243"/>
      <c r="N1154" s="139"/>
      <c r="O1154" s="139"/>
      <c r="P1154" s="139"/>
      <c r="Q1154" s="147"/>
      <c r="R1154" s="139"/>
      <c r="S1154" s="139"/>
      <c r="T1154" s="139"/>
      <c r="U1154" s="139"/>
      <c r="V1154" s="139"/>
      <c r="W1154" s="139"/>
      <c r="X1154" s="146"/>
      <c r="Y1154" s="148"/>
      <c r="Z1154" s="145"/>
      <c r="AA1154" s="139"/>
      <c r="AB1154" s="149"/>
      <c r="AC1154" s="119"/>
      <c r="AD1154" s="139"/>
      <c r="AE1154" s="139"/>
      <c r="AF1154" s="139"/>
      <c r="AG1154" s="139"/>
      <c r="AH1154" s="139"/>
      <c r="AI1154" s="139"/>
      <c r="AJ1154" s="139"/>
      <c r="AK1154" s="139"/>
      <c r="AL1154" s="139"/>
      <c r="AM1154" s="139"/>
      <c r="AN1154" s="139"/>
      <c r="AO1154" s="139"/>
      <c r="AP1154" s="139"/>
      <c r="AQ1154" s="174"/>
      <c r="AR1154" s="222"/>
    </row>
    <row r="1155" spans="2:44" s="22" customFormat="1" ht="18" customHeight="1" x14ac:dyDescent="0.25">
      <c r="B1155" s="145"/>
      <c r="C1155" s="139"/>
      <c r="D1155" s="146"/>
      <c r="E1155" s="139"/>
      <c r="F1155" s="139"/>
      <c r="G1155" s="139"/>
      <c r="H1155" s="139"/>
      <c r="I1155" s="139"/>
      <c r="J1155" s="139"/>
      <c r="K1155" s="139"/>
      <c r="L1155" s="243"/>
      <c r="M1155" s="243"/>
      <c r="N1155" s="139"/>
      <c r="O1155" s="139"/>
      <c r="P1155" s="139"/>
      <c r="Q1155" s="147"/>
      <c r="R1155" s="139"/>
      <c r="S1155" s="139"/>
      <c r="T1155" s="139"/>
      <c r="U1155" s="139"/>
      <c r="V1155" s="139"/>
      <c r="W1155" s="139"/>
      <c r="X1155" s="146"/>
      <c r="Y1155" s="148"/>
      <c r="Z1155" s="145"/>
      <c r="AA1155" s="139"/>
      <c r="AB1155" s="149"/>
      <c r="AC1155" s="119"/>
      <c r="AD1155" s="139"/>
      <c r="AE1155" s="139"/>
      <c r="AF1155" s="139"/>
      <c r="AG1155" s="139"/>
      <c r="AH1155" s="139"/>
      <c r="AI1155" s="139"/>
      <c r="AJ1155" s="139"/>
      <c r="AK1155" s="139"/>
      <c r="AL1155" s="139"/>
      <c r="AM1155" s="139"/>
      <c r="AN1155" s="139"/>
      <c r="AO1155" s="139"/>
      <c r="AP1155" s="139"/>
      <c r="AQ1155" s="174"/>
      <c r="AR1155" s="222"/>
    </row>
    <row r="1156" spans="2:44" s="22" customFormat="1" ht="18" customHeight="1" x14ac:dyDescent="0.25">
      <c r="B1156" s="145"/>
      <c r="C1156" s="139"/>
      <c r="D1156" s="146"/>
      <c r="E1156" s="139"/>
      <c r="F1156" s="139"/>
      <c r="G1156" s="139"/>
      <c r="H1156" s="139"/>
      <c r="I1156" s="139"/>
      <c r="J1156" s="139"/>
      <c r="K1156" s="139"/>
      <c r="L1156" s="243"/>
      <c r="M1156" s="243"/>
      <c r="N1156" s="139"/>
      <c r="O1156" s="139"/>
      <c r="P1156" s="139"/>
      <c r="Q1156" s="147"/>
      <c r="R1156" s="139"/>
      <c r="S1156" s="139"/>
      <c r="T1156" s="139"/>
      <c r="U1156" s="139"/>
      <c r="V1156" s="139"/>
      <c r="W1156" s="139"/>
      <c r="X1156" s="146"/>
      <c r="Y1156" s="148"/>
      <c r="Z1156" s="145"/>
      <c r="AA1156" s="139"/>
      <c r="AB1156" s="149"/>
      <c r="AC1156" s="119"/>
      <c r="AD1156" s="139"/>
      <c r="AE1156" s="139"/>
      <c r="AF1156" s="139"/>
      <c r="AG1156" s="139"/>
      <c r="AH1156" s="139"/>
      <c r="AI1156" s="139"/>
      <c r="AJ1156" s="139"/>
      <c r="AK1156" s="139"/>
      <c r="AL1156" s="139"/>
      <c r="AM1156" s="139"/>
      <c r="AN1156" s="139"/>
      <c r="AO1156" s="139"/>
      <c r="AP1156" s="139"/>
      <c r="AQ1156" s="174"/>
      <c r="AR1156" s="222"/>
    </row>
    <row r="1157" spans="2:44" s="22" customFormat="1" ht="18" customHeight="1" x14ac:dyDescent="0.25">
      <c r="B1157" s="145"/>
      <c r="C1157" s="139"/>
      <c r="D1157" s="146"/>
      <c r="E1157" s="139"/>
      <c r="F1157" s="139"/>
      <c r="G1157" s="139"/>
      <c r="H1157" s="139"/>
      <c r="I1157" s="139"/>
      <c r="J1157" s="139"/>
      <c r="K1157" s="139"/>
      <c r="L1157" s="243"/>
      <c r="M1157" s="243"/>
      <c r="N1157" s="139"/>
      <c r="O1157" s="139"/>
      <c r="P1157" s="139"/>
      <c r="Q1157" s="147"/>
      <c r="R1157" s="139"/>
      <c r="S1157" s="139"/>
      <c r="T1157" s="139"/>
      <c r="U1157" s="139"/>
      <c r="V1157" s="139"/>
      <c r="W1157" s="139"/>
      <c r="X1157" s="146"/>
      <c r="Y1157" s="148"/>
      <c r="Z1157" s="145"/>
      <c r="AA1157" s="139"/>
      <c r="AB1157" s="149"/>
      <c r="AC1157" s="119"/>
      <c r="AD1157" s="139"/>
      <c r="AE1157" s="139"/>
      <c r="AF1157" s="139"/>
      <c r="AG1157" s="139"/>
      <c r="AH1157" s="139"/>
      <c r="AI1157" s="139"/>
      <c r="AJ1157" s="139"/>
      <c r="AK1157" s="139"/>
      <c r="AL1157" s="139"/>
      <c r="AM1157" s="139"/>
      <c r="AN1157" s="139"/>
      <c r="AO1157" s="139"/>
      <c r="AP1157" s="139"/>
      <c r="AQ1157" s="174"/>
      <c r="AR1157" s="222"/>
    </row>
    <row r="1158" spans="2:44" s="22" customFormat="1" ht="18" customHeight="1" x14ac:dyDescent="0.25">
      <c r="B1158" s="145"/>
      <c r="C1158" s="139"/>
      <c r="D1158" s="146"/>
      <c r="E1158" s="139"/>
      <c r="F1158" s="139"/>
      <c r="G1158" s="139"/>
      <c r="H1158" s="139"/>
      <c r="I1158" s="139"/>
      <c r="J1158" s="139"/>
      <c r="K1158" s="139"/>
      <c r="L1158" s="243"/>
      <c r="M1158" s="243"/>
      <c r="N1158" s="139"/>
      <c r="O1158" s="139"/>
      <c r="P1158" s="139"/>
      <c r="Q1158" s="147"/>
      <c r="R1158" s="139"/>
      <c r="S1158" s="139"/>
      <c r="T1158" s="139"/>
      <c r="U1158" s="139"/>
      <c r="V1158" s="139"/>
      <c r="W1158" s="139"/>
      <c r="X1158" s="146"/>
      <c r="Y1158" s="148"/>
      <c r="Z1158" s="145"/>
      <c r="AA1158" s="139"/>
      <c r="AB1158" s="149"/>
      <c r="AC1158" s="119"/>
      <c r="AD1158" s="139"/>
      <c r="AE1158" s="139"/>
      <c r="AF1158" s="139"/>
      <c r="AG1158" s="139"/>
      <c r="AH1158" s="139"/>
      <c r="AI1158" s="139"/>
      <c r="AJ1158" s="139"/>
      <c r="AK1158" s="139"/>
      <c r="AL1158" s="139"/>
      <c r="AM1158" s="139"/>
      <c r="AN1158" s="139"/>
      <c r="AO1158" s="139"/>
      <c r="AP1158" s="139"/>
      <c r="AQ1158" s="174"/>
      <c r="AR1158" s="222"/>
    </row>
    <row r="1159" spans="2:44" s="22" customFormat="1" ht="18" customHeight="1" x14ac:dyDescent="0.25">
      <c r="B1159" s="145"/>
      <c r="C1159" s="139"/>
      <c r="D1159" s="146"/>
      <c r="E1159" s="139"/>
      <c r="F1159" s="139"/>
      <c r="G1159" s="139"/>
      <c r="H1159" s="139"/>
      <c r="I1159" s="139"/>
      <c r="J1159" s="139"/>
      <c r="K1159" s="139"/>
      <c r="L1159" s="243"/>
      <c r="M1159" s="243"/>
      <c r="N1159" s="139"/>
      <c r="O1159" s="139"/>
      <c r="P1159" s="139"/>
      <c r="Q1159" s="147"/>
      <c r="R1159" s="139"/>
      <c r="S1159" s="139"/>
      <c r="T1159" s="139"/>
      <c r="U1159" s="139"/>
      <c r="V1159" s="139"/>
      <c r="W1159" s="139"/>
      <c r="X1159" s="146"/>
      <c r="Y1159" s="148"/>
      <c r="Z1159" s="145"/>
      <c r="AA1159" s="139"/>
      <c r="AB1159" s="149"/>
      <c r="AC1159" s="119"/>
      <c r="AD1159" s="139"/>
      <c r="AE1159" s="139"/>
      <c r="AF1159" s="139"/>
      <c r="AG1159" s="139"/>
      <c r="AH1159" s="139"/>
      <c r="AI1159" s="139"/>
      <c r="AJ1159" s="139"/>
      <c r="AK1159" s="139"/>
      <c r="AL1159" s="139"/>
      <c r="AM1159" s="139"/>
      <c r="AN1159" s="139"/>
      <c r="AO1159" s="139"/>
      <c r="AP1159" s="139"/>
      <c r="AQ1159" s="174"/>
      <c r="AR1159" s="222"/>
    </row>
    <row r="1160" spans="2:44" s="22" customFormat="1" ht="18" customHeight="1" x14ac:dyDescent="0.25">
      <c r="B1160" s="145"/>
      <c r="C1160" s="139"/>
      <c r="D1160" s="146"/>
      <c r="E1160" s="139"/>
      <c r="F1160" s="139"/>
      <c r="G1160" s="139"/>
      <c r="H1160" s="139"/>
      <c r="I1160" s="139"/>
      <c r="J1160" s="139"/>
      <c r="K1160" s="139"/>
      <c r="L1160" s="243"/>
      <c r="M1160" s="243"/>
      <c r="N1160" s="139"/>
      <c r="O1160" s="139"/>
      <c r="P1160" s="139"/>
      <c r="Q1160" s="147"/>
      <c r="R1160" s="139"/>
      <c r="S1160" s="139"/>
      <c r="T1160" s="139"/>
      <c r="U1160" s="139"/>
      <c r="V1160" s="139"/>
      <c r="W1160" s="139"/>
      <c r="X1160" s="146"/>
      <c r="Y1160" s="148"/>
      <c r="Z1160" s="145"/>
      <c r="AA1160" s="139"/>
      <c r="AB1160" s="149"/>
      <c r="AC1160" s="119"/>
      <c r="AD1160" s="139"/>
      <c r="AE1160" s="139"/>
      <c r="AF1160" s="139"/>
      <c r="AG1160" s="139"/>
      <c r="AH1160" s="139"/>
      <c r="AI1160" s="139"/>
      <c r="AJ1160" s="139"/>
      <c r="AK1160" s="139"/>
      <c r="AL1160" s="139"/>
      <c r="AM1160" s="139"/>
      <c r="AN1160" s="139"/>
      <c r="AO1160" s="139"/>
      <c r="AP1160" s="139"/>
      <c r="AQ1160" s="174"/>
      <c r="AR1160" s="222"/>
    </row>
    <row r="1161" spans="2:44" s="22" customFormat="1" ht="18" customHeight="1" x14ac:dyDescent="0.25">
      <c r="B1161" s="145"/>
      <c r="C1161" s="139"/>
      <c r="D1161" s="146"/>
      <c r="E1161" s="139"/>
      <c r="F1161" s="139"/>
      <c r="G1161" s="139"/>
      <c r="H1161" s="139"/>
      <c r="I1161" s="139"/>
      <c r="J1161" s="139"/>
      <c r="K1161" s="139"/>
      <c r="L1161" s="243"/>
      <c r="M1161" s="243"/>
      <c r="N1161" s="139"/>
      <c r="O1161" s="139"/>
      <c r="P1161" s="139"/>
      <c r="Q1161" s="147"/>
      <c r="R1161" s="139"/>
      <c r="S1161" s="139"/>
      <c r="T1161" s="139"/>
      <c r="U1161" s="139"/>
      <c r="V1161" s="139"/>
      <c r="W1161" s="139"/>
      <c r="X1161" s="146"/>
      <c r="Y1161" s="148"/>
      <c r="Z1161" s="145"/>
      <c r="AA1161" s="139"/>
      <c r="AB1161" s="149"/>
      <c r="AC1161" s="119"/>
      <c r="AD1161" s="139"/>
      <c r="AE1161" s="139"/>
      <c r="AF1161" s="139"/>
      <c r="AG1161" s="139"/>
      <c r="AH1161" s="139"/>
      <c r="AI1161" s="139"/>
      <c r="AJ1161" s="139"/>
      <c r="AK1161" s="139"/>
      <c r="AL1161" s="139"/>
      <c r="AM1161" s="139"/>
      <c r="AN1161" s="139"/>
      <c r="AO1161" s="139"/>
      <c r="AP1161" s="139"/>
      <c r="AQ1161" s="174"/>
      <c r="AR1161" s="222"/>
    </row>
    <row r="1162" spans="2:44" s="22" customFormat="1" ht="18" customHeight="1" x14ac:dyDescent="0.25">
      <c r="B1162" s="145"/>
      <c r="C1162" s="139"/>
      <c r="D1162" s="146"/>
      <c r="E1162" s="139"/>
      <c r="F1162" s="139"/>
      <c r="G1162" s="139"/>
      <c r="H1162" s="139"/>
      <c r="I1162" s="139"/>
      <c r="J1162" s="139"/>
      <c r="K1162" s="139"/>
      <c r="L1162" s="243"/>
      <c r="M1162" s="243"/>
      <c r="N1162" s="139"/>
      <c r="O1162" s="139"/>
      <c r="P1162" s="139"/>
      <c r="Q1162" s="147"/>
      <c r="R1162" s="139"/>
      <c r="S1162" s="139"/>
      <c r="T1162" s="139"/>
      <c r="U1162" s="139"/>
      <c r="V1162" s="139"/>
      <c r="W1162" s="139"/>
      <c r="X1162" s="146"/>
      <c r="Y1162" s="148"/>
      <c r="Z1162" s="145"/>
      <c r="AA1162" s="139"/>
      <c r="AB1162" s="149"/>
      <c r="AC1162" s="119"/>
      <c r="AD1162" s="139"/>
      <c r="AE1162" s="139"/>
      <c r="AF1162" s="139"/>
      <c r="AG1162" s="139"/>
      <c r="AH1162" s="139"/>
      <c r="AI1162" s="139"/>
      <c r="AJ1162" s="139"/>
      <c r="AK1162" s="139"/>
      <c r="AL1162" s="139"/>
      <c r="AM1162" s="139"/>
      <c r="AN1162" s="139"/>
      <c r="AO1162" s="139"/>
      <c r="AP1162" s="139"/>
      <c r="AQ1162" s="174"/>
      <c r="AR1162" s="222"/>
    </row>
    <row r="1163" spans="2:44" s="22" customFormat="1" ht="18" customHeight="1" x14ac:dyDescent="0.25">
      <c r="B1163" s="145"/>
      <c r="C1163" s="139"/>
      <c r="D1163" s="146"/>
      <c r="E1163" s="139"/>
      <c r="F1163" s="139"/>
      <c r="G1163" s="139"/>
      <c r="H1163" s="139"/>
      <c r="I1163" s="139"/>
      <c r="J1163" s="139"/>
      <c r="K1163" s="139"/>
      <c r="L1163" s="243"/>
      <c r="M1163" s="243"/>
      <c r="N1163" s="139"/>
      <c r="O1163" s="139"/>
      <c r="P1163" s="139"/>
      <c r="Q1163" s="147"/>
      <c r="R1163" s="139"/>
      <c r="S1163" s="139"/>
      <c r="T1163" s="139"/>
      <c r="U1163" s="139"/>
      <c r="V1163" s="139"/>
      <c r="W1163" s="139"/>
      <c r="X1163" s="146"/>
      <c r="Y1163" s="148"/>
      <c r="Z1163" s="145"/>
      <c r="AA1163" s="139"/>
      <c r="AB1163" s="149"/>
      <c r="AC1163" s="119"/>
      <c r="AD1163" s="139"/>
      <c r="AE1163" s="139"/>
      <c r="AF1163" s="139"/>
      <c r="AG1163" s="139"/>
      <c r="AH1163" s="139"/>
      <c r="AI1163" s="139"/>
      <c r="AJ1163" s="139"/>
      <c r="AK1163" s="139"/>
      <c r="AL1163" s="139"/>
      <c r="AM1163" s="139"/>
      <c r="AN1163" s="139"/>
      <c r="AO1163" s="139"/>
      <c r="AP1163" s="139"/>
      <c r="AQ1163" s="174"/>
      <c r="AR1163" s="222"/>
    </row>
    <row r="1164" spans="2:44" s="22" customFormat="1" ht="18" customHeight="1" x14ac:dyDescent="0.25">
      <c r="B1164" s="145"/>
      <c r="C1164" s="139"/>
      <c r="D1164" s="146"/>
      <c r="E1164" s="139"/>
      <c r="F1164" s="139"/>
      <c r="G1164" s="139"/>
      <c r="H1164" s="139"/>
      <c r="I1164" s="139"/>
      <c r="J1164" s="139"/>
      <c r="K1164" s="139"/>
      <c r="L1164" s="243"/>
      <c r="M1164" s="243"/>
      <c r="N1164" s="139"/>
      <c r="O1164" s="139"/>
      <c r="P1164" s="139"/>
      <c r="Q1164" s="147"/>
      <c r="R1164" s="139"/>
      <c r="S1164" s="139"/>
      <c r="T1164" s="139"/>
      <c r="U1164" s="139"/>
      <c r="V1164" s="139"/>
      <c r="W1164" s="139"/>
      <c r="X1164" s="146"/>
      <c r="Y1164" s="148"/>
      <c r="Z1164" s="145"/>
      <c r="AA1164" s="139"/>
      <c r="AB1164" s="149"/>
      <c r="AC1164" s="119"/>
      <c r="AD1164" s="139"/>
      <c r="AE1164" s="139"/>
      <c r="AF1164" s="139"/>
      <c r="AG1164" s="139"/>
      <c r="AH1164" s="139"/>
      <c r="AI1164" s="139"/>
      <c r="AJ1164" s="139"/>
      <c r="AK1164" s="139"/>
      <c r="AL1164" s="139"/>
      <c r="AM1164" s="139"/>
      <c r="AN1164" s="139"/>
      <c r="AO1164" s="139"/>
      <c r="AP1164" s="139"/>
      <c r="AQ1164" s="174"/>
      <c r="AR1164" s="222"/>
    </row>
    <row r="1165" spans="2:44" s="22" customFormat="1" ht="18" customHeight="1" x14ac:dyDescent="0.25">
      <c r="B1165" s="145"/>
      <c r="C1165" s="139"/>
      <c r="D1165" s="146"/>
      <c r="E1165" s="139"/>
      <c r="F1165" s="139"/>
      <c r="G1165" s="139"/>
      <c r="H1165" s="139"/>
      <c r="I1165" s="139"/>
      <c r="J1165" s="139"/>
      <c r="K1165" s="139"/>
      <c r="L1165" s="243"/>
      <c r="M1165" s="243"/>
      <c r="N1165" s="139"/>
      <c r="O1165" s="139"/>
      <c r="P1165" s="139"/>
      <c r="Q1165" s="147"/>
      <c r="R1165" s="139"/>
      <c r="S1165" s="139"/>
      <c r="T1165" s="139"/>
      <c r="U1165" s="139"/>
      <c r="V1165" s="139"/>
      <c r="W1165" s="139"/>
      <c r="X1165" s="146"/>
      <c r="Y1165" s="148"/>
      <c r="Z1165" s="145"/>
      <c r="AA1165" s="139"/>
      <c r="AB1165" s="149"/>
      <c r="AC1165" s="119"/>
      <c r="AD1165" s="139"/>
      <c r="AE1165" s="139"/>
      <c r="AF1165" s="139"/>
      <c r="AG1165" s="139"/>
      <c r="AH1165" s="139"/>
      <c r="AI1165" s="139"/>
      <c r="AJ1165" s="139"/>
      <c r="AK1165" s="139"/>
      <c r="AL1165" s="139"/>
      <c r="AM1165" s="139"/>
      <c r="AN1165" s="139"/>
      <c r="AO1165" s="139"/>
      <c r="AP1165" s="139"/>
      <c r="AQ1165" s="174"/>
      <c r="AR1165" s="222"/>
    </row>
    <row r="1166" spans="2:44" s="22" customFormat="1" ht="18" customHeight="1" x14ac:dyDescent="0.25">
      <c r="B1166" s="145"/>
      <c r="C1166" s="139"/>
      <c r="D1166" s="146"/>
      <c r="E1166" s="139"/>
      <c r="F1166" s="139"/>
      <c r="G1166" s="139"/>
      <c r="H1166" s="139"/>
      <c r="I1166" s="139"/>
      <c r="J1166" s="139"/>
      <c r="K1166" s="139"/>
      <c r="L1166" s="243"/>
      <c r="M1166" s="243"/>
      <c r="N1166" s="139"/>
      <c r="O1166" s="139"/>
      <c r="P1166" s="139"/>
      <c r="Q1166" s="147"/>
      <c r="R1166" s="139"/>
      <c r="S1166" s="139"/>
      <c r="T1166" s="139"/>
      <c r="U1166" s="139"/>
      <c r="V1166" s="139"/>
      <c r="W1166" s="139"/>
      <c r="X1166" s="146"/>
      <c r="Y1166" s="148"/>
      <c r="Z1166" s="145"/>
      <c r="AA1166" s="139"/>
      <c r="AB1166" s="149"/>
      <c r="AC1166" s="119"/>
      <c r="AD1166" s="139"/>
      <c r="AE1166" s="139"/>
      <c r="AF1166" s="139"/>
      <c r="AG1166" s="139"/>
      <c r="AH1166" s="139"/>
      <c r="AI1166" s="139"/>
      <c r="AJ1166" s="139"/>
      <c r="AK1166" s="139"/>
      <c r="AL1166" s="139"/>
      <c r="AM1166" s="139"/>
      <c r="AN1166" s="139"/>
      <c r="AO1166" s="139"/>
      <c r="AP1166" s="139"/>
      <c r="AQ1166" s="174"/>
      <c r="AR1166" s="222"/>
    </row>
    <row r="1167" spans="2:44" s="22" customFormat="1" ht="18" customHeight="1" x14ac:dyDescent="0.25">
      <c r="B1167" s="145"/>
      <c r="C1167" s="139"/>
      <c r="D1167" s="146"/>
      <c r="E1167" s="139"/>
      <c r="F1167" s="139"/>
      <c r="G1167" s="139"/>
      <c r="H1167" s="139"/>
      <c r="I1167" s="139"/>
      <c r="J1167" s="139"/>
      <c r="K1167" s="139"/>
      <c r="L1167" s="243"/>
      <c r="M1167" s="243"/>
      <c r="N1167" s="139"/>
      <c r="O1167" s="139"/>
      <c r="P1167" s="139"/>
      <c r="Q1167" s="147"/>
      <c r="R1167" s="139"/>
      <c r="S1167" s="139"/>
      <c r="T1167" s="139"/>
      <c r="U1167" s="139"/>
      <c r="V1167" s="139"/>
      <c r="W1167" s="139"/>
      <c r="X1167" s="146"/>
      <c r="Y1167" s="148"/>
      <c r="Z1167" s="145"/>
      <c r="AA1167" s="139"/>
      <c r="AB1167" s="149"/>
      <c r="AC1167" s="119"/>
      <c r="AD1167" s="139"/>
      <c r="AE1167" s="139"/>
      <c r="AF1167" s="139"/>
      <c r="AG1167" s="139"/>
      <c r="AH1167" s="139"/>
      <c r="AI1167" s="139"/>
      <c r="AJ1167" s="139"/>
      <c r="AK1167" s="139"/>
      <c r="AL1167" s="139"/>
      <c r="AM1167" s="139"/>
      <c r="AN1167" s="139"/>
      <c r="AO1167" s="139"/>
      <c r="AP1167" s="139"/>
      <c r="AQ1167" s="174"/>
      <c r="AR1167" s="222"/>
    </row>
    <row r="1168" spans="2:44" s="22" customFormat="1" ht="18" customHeight="1" x14ac:dyDescent="0.25">
      <c r="B1168" s="145"/>
      <c r="C1168" s="139"/>
      <c r="D1168" s="146"/>
      <c r="E1168" s="139"/>
      <c r="F1168" s="139"/>
      <c r="G1168" s="139"/>
      <c r="H1168" s="139"/>
      <c r="I1168" s="139"/>
      <c r="J1168" s="139"/>
      <c r="K1168" s="139"/>
      <c r="L1168" s="243"/>
      <c r="M1168" s="243"/>
      <c r="N1168" s="139"/>
      <c r="O1168" s="139"/>
      <c r="P1168" s="139"/>
      <c r="Q1168" s="147"/>
      <c r="R1168" s="139"/>
      <c r="S1168" s="139"/>
      <c r="T1168" s="139"/>
      <c r="U1168" s="139"/>
      <c r="V1168" s="139"/>
      <c r="W1168" s="139"/>
      <c r="X1168" s="146"/>
      <c r="Y1168" s="148"/>
      <c r="Z1168" s="145"/>
      <c r="AA1168" s="139"/>
      <c r="AB1168" s="149"/>
      <c r="AC1168" s="119"/>
      <c r="AD1168" s="139"/>
      <c r="AE1168" s="139"/>
      <c r="AF1168" s="139"/>
      <c r="AG1168" s="139"/>
      <c r="AH1168" s="139"/>
      <c r="AI1168" s="139"/>
      <c r="AJ1168" s="139"/>
      <c r="AK1168" s="139"/>
      <c r="AL1168" s="139"/>
      <c r="AM1168" s="139"/>
      <c r="AN1168" s="139"/>
      <c r="AO1168" s="139"/>
      <c r="AP1168" s="139"/>
      <c r="AQ1168" s="174"/>
      <c r="AR1168" s="222"/>
    </row>
    <row r="1169" spans="2:44" s="22" customFormat="1" ht="18" customHeight="1" x14ac:dyDescent="0.25">
      <c r="B1169" s="145"/>
      <c r="C1169" s="139"/>
      <c r="D1169" s="146"/>
      <c r="E1169" s="139"/>
      <c r="F1169" s="139"/>
      <c r="G1169" s="139"/>
      <c r="H1169" s="139"/>
      <c r="I1169" s="139"/>
      <c r="J1169" s="139"/>
      <c r="K1169" s="139"/>
      <c r="L1169" s="243"/>
      <c r="M1169" s="243"/>
      <c r="N1169" s="139"/>
      <c r="O1169" s="139"/>
      <c r="P1169" s="139"/>
      <c r="Q1169" s="147"/>
      <c r="R1169" s="139"/>
      <c r="S1169" s="139"/>
      <c r="T1169" s="139"/>
      <c r="U1169" s="139"/>
      <c r="V1169" s="139"/>
      <c r="W1169" s="139"/>
      <c r="X1169" s="146"/>
      <c r="Y1169" s="148"/>
      <c r="Z1169" s="145"/>
      <c r="AA1169" s="139"/>
      <c r="AB1169" s="149"/>
      <c r="AC1169" s="119"/>
      <c r="AD1169" s="139"/>
      <c r="AE1169" s="139"/>
      <c r="AF1169" s="139"/>
      <c r="AG1169" s="139"/>
      <c r="AH1169" s="139"/>
      <c r="AI1169" s="139"/>
      <c r="AJ1169" s="139"/>
      <c r="AK1169" s="139"/>
      <c r="AL1169" s="139"/>
      <c r="AM1169" s="139"/>
      <c r="AN1169" s="139"/>
      <c r="AO1169" s="139"/>
      <c r="AP1169" s="139"/>
      <c r="AQ1169" s="174"/>
      <c r="AR1169" s="222"/>
    </row>
    <row r="1170" spans="2:44" s="22" customFormat="1" ht="18" customHeight="1" x14ac:dyDescent="0.25">
      <c r="B1170" s="145"/>
      <c r="C1170" s="139"/>
      <c r="D1170" s="146"/>
      <c r="E1170" s="139"/>
      <c r="F1170" s="139"/>
      <c r="G1170" s="139"/>
      <c r="H1170" s="139"/>
      <c r="I1170" s="139"/>
      <c r="J1170" s="139"/>
      <c r="K1170" s="139"/>
      <c r="L1170" s="243"/>
      <c r="M1170" s="243"/>
      <c r="N1170" s="139"/>
      <c r="O1170" s="139"/>
      <c r="P1170" s="139"/>
      <c r="Q1170" s="147"/>
      <c r="R1170" s="139"/>
      <c r="S1170" s="139"/>
      <c r="T1170" s="139"/>
      <c r="U1170" s="139"/>
      <c r="V1170" s="139"/>
      <c r="W1170" s="139"/>
      <c r="X1170" s="146"/>
      <c r="Y1170" s="148"/>
      <c r="Z1170" s="145"/>
      <c r="AA1170" s="139"/>
      <c r="AB1170" s="149"/>
      <c r="AC1170" s="119"/>
      <c r="AD1170" s="139"/>
      <c r="AE1170" s="139"/>
      <c r="AF1170" s="139"/>
      <c r="AG1170" s="139"/>
      <c r="AH1170" s="139"/>
      <c r="AI1170" s="139"/>
      <c r="AJ1170" s="139"/>
      <c r="AK1170" s="139"/>
      <c r="AL1170" s="139"/>
      <c r="AM1170" s="139"/>
      <c r="AN1170" s="139"/>
      <c r="AO1170" s="139"/>
      <c r="AP1170" s="139"/>
      <c r="AQ1170" s="174"/>
      <c r="AR1170" s="222"/>
    </row>
    <row r="1171" spans="2:44" s="22" customFormat="1" ht="18" customHeight="1" x14ac:dyDescent="0.25">
      <c r="B1171" s="145"/>
      <c r="C1171" s="139"/>
      <c r="D1171" s="146"/>
      <c r="E1171" s="139"/>
      <c r="F1171" s="139"/>
      <c r="G1171" s="139"/>
      <c r="H1171" s="139"/>
      <c r="I1171" s="139"/>
      <c r="J1171" s="139"/>
      <c r="K1171" s="139"/>
      <c r="L1171" s="243"/>
      <c r="M1171" s="243"/>
      <c r="N1171" s="139"/>
      <c r="O1171" s="139"/>
      <c r="P1171" s="139"/>
      <c r="Q1171" s="147"/>
      <c r="R1171" s="139"/>
      <c r="S1171" s="139"/>
      <c r="T1171" s="139"/>
      <c r="U1171" s="139"/>
      <c r="V1171" s="139"/>
      <c r="W1171" s="139"/>
      <c r="X1171" s="146"/>
      <c r="Y1171" s="148"/>
      <c r="Z1171" s="145"/>
      <c r="AA1171" s="139"/>
      <c r="AB1171" s="149"/>
      <c r="AC1171" s="119"/>
      <c r="AD1171" s="139"/>
      <c r="AE1171" s="139"/>
      <c r="AF1171" s="139"/>
      <c r="AG1171" s="139"/>
      <c r="AH1171" s="139"/>
      <c r="AI1171" s="139"/>
      <c r="AJ1171" s="139"/>
      <c r="AK1171" s="139"/>
      <c r="AL1171" s="139"/>
      <c r="AM1171" s="139"/>
      <c r="AN1171" s="139"/>
      <c r="AO1171" s="139"/>
      <c r="AP1171" s="139"/>
      <c r="AQ1171" s="174"/>
      <c r="AR1171" s="222"/>
    </row>
    <row r="1172" spans="2:44" s="22" customFormat="1" ht="18" customHeight="1" x14ac:dyDescent="0.25">
      <c r="B1172" s="145"/>
      <c r="C1172" s="139"/>
      <c r="D1172" s="146"/>
      <c r="E1172" s="139"/>
      <c r="F1172" s="139"/>
      <c r="G1172" s="139"/>
      <c r="H1172" s="139"/>
      <c r="I1172" s="139"/>
      <c r="J1172" s="139"/>
      <c r="K1172" s="139"/>
      <c r="L1172" s="243"/>
      <c r="M1172" s="243"/>
      <c r="N1172" s="139"/>
      <c r="O1172" s="139"/>
      <c r="P1172" s="139"/>
      <c r="Q1172" s="147"/>
      <c r="R1172" s="139"/>
      <c r="S1172" s="139"/>
      <c r="T1172" s="139"/>
      <c r="U1172" s="139"/>
      <c r="V1172" s="139"/>
      <c r="W1172" s="139"/>
      <c r="X1172" s="146"/>
      <c r="Y1172" s="148"/>
      <c r="Z1172" s="145"/>
      <c r="AA1172" s="139"/>
      <c r="AB1172" s="149"/>
      <c r="AC1172" s="119"/>
      <c r="AD1172" s="139"/>
      <c r="AE1172" s="139"/>
      <c r="AF1172" s="139"/>
      <c r="AG1172" s="139"/>
      <c r="AH1172" s="139"/>
      <c r="AI1172" s="139"/>
      <c r="AJ1172" s="139"/>
      <c r="AK1172" s="139"/>
      <c r="AL1172" s="139"/>
      <c r="AM1172" s="139"/>
      <c r="AN1172" s="139"/>
      <c r="AO1172" s="139"/>
      <c r="AP1172" s="139"/>
      <c r="AQ1172" s="174"/>
      <c r="AR1172" s="222"/>
    </row>
    <row r="1173" spans="2:44" s="22" customFormat="1" ht="18" customHeight="1" x14ac:dyDescent="0.25">
      <c r="B1173" s="145"/>
      <c r="C1173" s="139"/>
      <c r="D1173" s="146"/>
      <c r="E1173" s="139"/>
      <c r="F1173" s="139"/>
      <c r="G1173" s="139"/>
      <c r="H1173" s="139"/>
      <c r="I1173" s="139"/>
      <c r="J1173" s="139"/>
      <c r="K1173" s="139"/>
      <c r="L1173" s="243"/>
      <c r="M1173" s="243"/>
      <c r="N1173" s="139"/>
      <c r="O1173" s="139"/>
      <c r="P1173" s="139"/>
      <c r="Q1173" s="147"/>
      <c r="R1173" s="139"/>
      <c r="S1173" s="139"/>
      <c r="T1173" s="139"/>
      <c r="U1173" s="139"/>
      <c r="V1173" s="139"/>
      <c r="W1173" s="139"/>
      <c r="X1173" s="146"/>
      <c r="Y1173" s="148"/>
      <c r="Z1173" s="145"/>
      <c r="AA1173" s="139"/>
      <c r="AB1173" s="149"/>
      <c r="AC1173" s="119"/>
      <c r="AD1173" s="139"/>
      <c r="AE1173" s="139"/>
      <c r="AF1173" s="139"/>
      <c r="AG1173" s="139"/>
      <c r="AH1173" s="139"/>
      <c r="AI1173" s="139"/>
      <c r="AJ1173" s="139"/>
      <c r="AK1173" s="139"/>
      <c r="AL1173" s="139"/>
      <c r="AM1173" s="139"/>
      <c r="AN1173" s="139"/>
      <c r="AO1173" s="139"/>
      <c r="AP1173" s="139"/>
      <c r="AQ1173" s="174"/>
      <c r="AR1173" s="222"/>
    </row>
    <row r="1174" spans="2:44" s="22" customFormat="1" ht="18" customHeight="1" x14ac:dyDescent="0.25">
      <c r="B1174" s="145"/>
      <c r="C1174" s="139"/>
      <c r="D1174" s="146"/>
      <c r="E1174" s="139"/>
      <c r="F1174" s="139"/>
      <c r="G1174" s="139"/>
      <c r="H1174" s="139"/>
      <c r="I1174" s="139"/>
      <c r="J1174" s="139"/>
      <c r="K1174" s="139"/>
      <c r="L1174" s="243"/>
      <c r="M1174" s="243"/>
      <c r="N1174" s="139"/>
      <c r="O1174" s="139"/>
      <c r="P1174" s="139"/>
      <c r="Q1174" s="147"/>
      <c r="R1174" s="139"/>
      <c r="S1174" s="139"/>
      <c r="T1174" s="139"/>
      <c r="U1174" s="139"/>
      <c r="V1174" s="139"/>
      <c r="W1174" s="139"/>
      <c r="X1174" s="146"/>
      <c r="Y1174" s="148"/>
      <c r="Z1174" s="145"/>
      <c r="AA1174" s="139"/>
      <c r="AB1174" s="149"/>
      <c r="AC1174" s="119"/>
      <c r="AD1174" s="139"/>
      <c r="AE1174" s="139"/>
      <c r="AF1174" s="139"/>
      <c r="AG1174" s="139"/>
      <c r="AH1174" s="139"/>
      <c r="AI1174" s="139"/>
      <c r="AJ1174" s="139"/>
      <c r="AK1174" s="139"/>
      <c r="AL1174" s="139"/>
      <c r="AM1174" s="139"/>
      <c r="AN1174" s="139"/>
      <c r="AO1174" s="139"/>
      <c r="AP1174" s="139"/>
      <c r="AQ1174" s="174"/>
      <c r="AR1174" s="222"/>
    </row>
    <row r="1175" spans="2:44" s="22" customFormat="1" ht="18" customHeight="1" x14ac:dyDescent="0.25">
      <c r="B1175" s="145"/>
      <c r="C1175" s="139"/>
      <c r="D1175" s="146"/>
      <c r="E1175" s="139"/>
      <c r="F1175" s="139"/>
      <c r="G1175" s="139"/>
      <c r="H1175" s="139"/>
      <c r="I1175" s="139"/>
      <c r="J1175" s="139"/>
      <c r="K1175" s="139"/>
      <c r="L1175" s="243"/>
      <c r="M1175" s="243"/>
      <c r="N1175" s="139"/>
      <c r="O1175" s="139"/>
      <c r="P1175" s="139"/>
      <c r="Q1175" s="147"/>
      <c r="R1175" s="139"/>
      <c r="S1175" s="139"/>
      <c r="T1175" s="139"/>
      <c r="U1175" s="139"/>
      <c r="V1175" s="139"/>
      <c r="W1175" s="139"/>
      <c r="X1175" s="146"/>
      <c r="Y1175" s="148"/>
      <c r="Z1175" s="145"/>
      <c r="AA1175" s="139"/>
      <c r="AB1175" s="149"/>
      <c r="AC1175" s="119"/>
      <c r="AD1175" s="139"/>
      <c r="AE1175" s="139"/>
      <c r="AF1175" s="139"/>
      <c r="AG1175" s="139"/>
      <c r="AH1175" s="139"/>
      <c r="AI1175" s="139"/>
      <c r="AJ1175" s="139"/>
      <c r="AK1175" s="139"/>
      <c r="AL1175" s="139"/>
      <c r="AM1175" s="139"/>
      <c r="AN1175" s="139"/>
      <c r="AO1175" s="139"/>
      <c r="AP1175" s="139"/>
      <c r="AQ1175" s="174"/>
      <c r="AR1175" s="222"/>
    </row>
    <row r="1176" spans="2:44" s="22" customFormat="1" ht="18" customHeight="1" x14ac:dyDescent="0.25">
      <c r="B1176" s="145"/>
      <c r="C1176" s="139"/>
      <c r="D1176" s="146"/>
      <c r="E1176" s="139"/>
      <c r="F1176" s="139"/>
      <c r="G1176" s="139"/>
      <c r="H1176" s="139"/>
      <c r="I1176" s="139"/>
      <c r="J1176" s="139"/>
      <c r="K1176" s="139"/>
      <c r="L1176" s="243"/>
      <c r="M1176" s="243"/>
      <c r="N1176" s="139"/>
      <c r="O1176" s="139"/>
      <c r="P1176" s="139"/>
      <c r="Q1176" s="147"/>
      <c r="R1176" s="139"/>
      <c r="S1176" s="139"/>
      <c r="T1176" s="139"/>
      <c r="U1176" s="139"/>
      <c r="V1176" s="139"/>
      <c r="W1176" s="139"/>
      <c r="X1176" s="146"/>
      <c r="Y1176" s="148"/>
      <c r="Z1176" s="145"/>
      <c r="AA1176" s="139"/>
      <c r="AB1176" s="149"/>
      <c r="AC1176" s="119"/>
      <c r="AD1176" s="139"/>
      <c r="AE1176" s="139"/>
      <c r="AF1176" s="139"/>
      <c r="AG1176" s="139"/>
      <c r="AH1176" s="139"/>
      <c r="AI1176" s="139"/>
      <c r="AJ1176" s="139"/>
      <c r="AK1176" s="139"/>
      <c r="AL1176" s="139"/>
      <c r="AM1176" s="139"/>
      <c r="AN1176" s="139"/>
      <c r="AO1176" s="139"/>
      <c r="AP1176" s="139"/>
      <c r="AQ1176" s="174"/>
      <c r="AR1176" s="222"/>
    </row>
    <row r="1177" spans="2:44" s="140" customFormat="1" ht="18" customHeight="1" x14ac:dyDescent="0.25">
      <c r="B1177" s="145"/>
      <c r="C1177" s="139"/>
      <c r="D1177" s="146"/>
      <c r="E1177" s="139"/>
      <c r="F1177" s="139"/>
      <c r="G1177" s="139"/>
      <c r="H1177" s="139"/>
      <c r="I1177" s="139"/>
      <c r="J1177" s="139"/>
      <c r="K1177" s="139"/>
      <c r="L1177" s="243"/>
      <c r="M1177" s="243"/>
      <c r="N1177" s="139"/>
      <c r="O1177" s="139"/>
      <c r="P1177" s="139"/>
      <c r="Q1177" s="147"/>
      <c r="R1177" s="139"/>
      <c r="S1177" s="139"/>
      <c r="T1177" s="139"/>
      <c r="U1177" s="139"/>
      <c r="V1177" s="139"/>
      <c r="W1177" s="139"/>
      <c r="X1177" s="146"/>
      <c r="Y1177" s="148"/>
      <c r="Z1177" s="145"/>
      <c r="AA1177" s="139"/>
      <c r="AB1177" s="149"/>
      <c r="AC1177" s="119"/>
      <c r="AD1177" s="139"/>
      <c r="AE1177" s="139"/>
      <c r="AF1177" s="139"/>
      <c r="AG1177" s="139"/>
      <c r="AH1177" s="139"/>
      <c r="AI1177" s="139"/>
      <c r="AJ1177" s="139"/>
      <c r="AK1177" s="139"/>
      <c r="AL1177" s="139"/>
      <c r="AM1177" s="139"/>
      <c r="AN1177" s="139"/>
      <c r="AO1177" s="139"/>
      <c r="AP1177" s="139"/>
      <c r="AQ1177" s="174"/>
      <c r="AR1177" s="222"/>
    </row>
    <row r="1178" spans="2:44" s="22" customFormat="1" ht="18" customHeight="1" x14ac:dyDescent="0.25">
      <c r="B1178" s="145"/>
      <c r="C1178" s="139"/>
      <c r="D1178" s="146"/>
      <c r="E1178" s="139"/>
      <c r="F1178" s="139"/>
      <c r="G1178" s="139"/>
      <c r="H1178" s="139"/>
      <c r="I1178" s="139"/>
      <c r="J1178" s="139"/>
      <c r="K1178" s="139"/>
      <c r="L1178" s="243"/>
      <c r="M1178" s="243"/>
      <c r="N1178" s="139"/>
      <c r="O1178" s="139"/>
      <c r="P1178" s="139"/>
      <c r="Q1178" s="147"/>
      <c r="R1178" s="139"/>
      <c r="S1178" s="139"/>
      <c r="T1178" s="139"/>
      <c r="U1178" s="139"/>
      <c r="V1178" s="139"/>
      <c r="W1178" s="139"/>
      <c r="X1178" s="146"/>
      <c r="Y1178" s="148"/>
      <c r="Z1178" s="145"/>
      <c r="AA1178" s="139"/>
      <c r="AB1178" s="149"/>
      <c r="AC1178" s="119"/>
      <c r="AD1178" s="139"/>
      <c r="AE1178" s="139"/>
      <c r="AF1178" s="139"/>
      <c r="AG1178" s="139"/>
      <c r="AH1178" s="139"/>
      <c r="AI1178" s="139"/>
      <c r="AJ1178" s="139"/>
      <c r="AK1178" s="139"/>
      <c r="AL1178" s="139"/>
      <c r="AM1178" s="139"/>
      <c r="AN1178" s="139"/>
      <c r="AO1178" s="139"/>
      <c r="AP1178" s="139"/>
      <c r="AQ1178" s="174"/>
      <c r="AR1178" s="222"/>
    </row>
    <row r="1179" spans="2:44" s="22" customFormat="1" ht="18" customHeight="1" x14ac:dyDescent="0.25">
      <c r="B1179" s="145"/>
      <c r="C1179" s="139"/>
      <c r="D1179" s="146"/>
      <c r="E1179" s="139"/>
      <c r="F1179" s="139"/>
      <c r="G1179" s="139"/>
      <c r="H1179" s="139"/>
      <c r="I1179" s="139"/>
      <c r="J1179" s="139"/>
      <c r="K1179" s="139"/>
      <c r="L1179" s="243"/>
      <c r="M1179" s="243"/>
      <c r="N1179" s="139"/>
      <c r="O1179" s="139"/>
      <c r="P1179" s="139"/>
      <c r="Q1179" s="147"/>
      <c r="R1179" s="139"/>
      <c r="S1179" s="139"/>
      <c r="T1179" s="139"/>
      <c r="U1179" s="139"/>
      <c r="V1179" s="139"/>
      <c r="W1179" s="139"/>
      <c r="X1179" s="146"/>
      <c r="Y1179" s="148"/>
      <c r="Z1179" s="145"/>
      <c r="AA1179" s="139"/>
      <c r="AB1179" s="149"/>
      <c r="AC1179" s="119"/>
      <c r="AD1179" s="139"/>
      <c r="AE1179" s="139"/>
      <c r="AF1179" s="139"/>
      <c r="AG1179" s="139"/>
      <c r="AH1179" s="139"/>
      <c r="AI1179" s="139"/>
      <c r="AJ1179" s="139"/>
      <c r="AK1179" s="139"/>
      <c r="AL1179" s="139"/>
      <c r="AM1179" s="139"/>
      <c r="AN1179" s="139"/>
      <c r="AO1179" s="139"/>
      <c r="AP1179" s="139"/>
      <c r="AQ1179" s="174"/>
      <c r="AR1179" s="222"/>
    </row>
    <row r="1180" spans="2:44" s="22" customFormat="1" ht="18" customHeight="1" x14ac:dyDescent="0.25">
      <c r="B1180" s="145"/>
      <c r="C1180" s="139"/>
      <c r="D1180" s="146"/>
      <c r="E1180" s="139"/>
      <c r="F1180" s="139"/>
      <c r="G1180" s="139"/>
      <c r="H1180" s="139"/>
      <c r="I1180" s="139"/>
      <c r="J1180" s="139"/>
      <c r="K1180" s="139"/>
      <c r="L1180" s="243"/>
      <c r="M1180" s="243"/>
      <c r="N1180" s="139"/>
      <c r="O1180" s="139"/>
      <c r="P1180" s="139"/>
      <c r="Q1180" s="147"/>
      <c r="R1180" s="139"/>
      <c r="S1180" s="139"/>
      <c r="T1180" s="139"/>
      <c r="U1180" s="139"/>
      <c r="V1180" s="139"/>
      <c r="W1180" s="139"/>
      <c r="X1180" s="146"/>
      <c r="Y1180" s="148"/>
      <c r="Z1180" s="145"/>
      <c r="AA1180" s="139"/>
      <c r="AB1180" s="149"/>
      <c r="AC1180" s="119"/>
      <c r="AD1180" s="139"/>
      <c r="AE1180" s="139"/>
      <c r="AF1180" s="139"/>
      <c r="AG1180" s="139"/>
      <c r="AH1180" s="139"/>
      <c r="AI1180" s="139"/>
      <c r="AJ1180" s="139"/>
      <c r="AK1180" s="139"/>
      <c r="AL1180" s="139"/>
      <c r="AM1180" s="139"/>
      <c r="AN1180" s="139"/>
      <c r="AO1180" s="139"/>
      <c r="AP1180" s="139"/>
      <c r="AQ1180" s="174"/>
      <c r="AR1180" s="222"/>
    </row>
    <row r="1181" spans="2:44" s="22" customFormat="1" ht="18" customHeight="1" x14ac:dyDescent="0.25">
      <c r="B1181" s="145"/>
      <c r="C1181" s="139"/>
      <c r="D1181" s="146"/>
      <c r="E1181" s="139"/>
      <c r="F1181" s="139"/>
      <c r="G1181" s="139"/>
      <c r="H1181" s="139"/>
      <c r="I1181" s="139"/>
      <c r="J1181" s="139"/>
      <c r="K1181" s="139"/>
      <c r="L1181" s="243"/>
      <c r="M1181" s="243"/>
      <c r="N1181" s="139"/>
      <c r="O1181" s="139"/>
      <c r="P1181" s="139"/>
      <c r="Q1181" s="147"/>
      <c r="R1181" s="139"/>
      <c r="S1181" s="139"/>
      <c r="T1181" s="139"/>
      <c r="U1181" s="139"/>
      <c r="V1181" s="139"/>
      <c r="W1181" s="139"/>
      <c r="X1181" s="146"/>
      <c r="Y1181" s="148"/>
      <c r="Z1181" s="145"/>
      <c r="AA1181" s="139"/>
      <c r="AB1181" s="149"/>
      <c r="AC1181" s="119"/>
      <c r="AD1181" s="139"/>
      <c r="AE1181" s="139"/>
      <c r="AF1181" s="139"/>
      <c r="AG1181" s="139"/>
      <c r="AH1181" s="139"/>
      <c r="AI1181" s="139"/>
      <c r="AJ1181" s="139"/>
      <c r="AK1181" s="139"/>
      <c r="AL1181" s="139"/>
      <c r="AM1181" s="139"/>
      <c r="AN1181" s="139"/>
      <c r="AO1181" s="139"/>
      <c r="AP1181" s="139"/>
      <c r="AQ1181" s="174"/>
      <c r="AR1181" s="222"/>
    </row>
    <row r="1182" spans="2:44" s="22" customFormat="1" ht="18" customHeight="1" x14ac:dyDescent="0.25">
      <c r="B1182" s="145"/>
      <c r="C1182" s="139"/>
      <c r="D1182" s="146"/>
      <c r="E1182" s="139"/>
      <c r="F1182" s="139"/>
      <c r="G1182" s="139"/>
      <c r="H1182" s="139"/>
      <c r="I1182" s="139"/>
      <c r="J1182" s="139"/>
      <c r="K1182" s="139"/>
      <c r="L1182" s="243"/>
      <c r="M1182" s="243"/>
      <c r="N1182" s="139"/>
      <c r="O1182" s="139"/>
      <c r="P1182" s="139"/>
      <c r="Q1182" s="147"/>
      <c r="R1182" s="139"/>
      <c r="S1182" s="139"/>
      <c r="T1182" s="139"/>
      <c r="U1182" s="139"/>
      <c r="V1182" s="139"/>
      <c r="W1182" s="139"/>
      <c r="X1182" s="146"/>
      <c r="Y1182" s="148"/>
      <c r="Z1182" s="145"/>
      <c r="AA1182" s="139"/>
      <c r="AB1182" s="149"/>
      <c r="AC1182" s="119"/>
      <c r="AD1182" s="139"/>
      <c r="AE1182" s="139"/>
      <c r="AF1182" s="139"/>
      <c r="AG1182" s="139"/>
      <c r="AH1182" s="139"/>
      <c r="AI1182" s="139"/>
      <c r="AJ1182" s="139"/>
      <c r="AK1182" s="139"/>
      <c r="AL1182" s="139"/>
      <c r="AM1182" s="139"/>
      <c r="AN1182" s="139"/>
      <c r="AO1182" s="139"/>
      <c r="AP1182" s="139"/>
      <c r="AQ1182" s="174"/>
      <c r="AR1182" s="222"/>
    </row>
    <row r="1183" spans="2:44" s="22" customFormat="1" ht="18" customHeight="1" x14ac:dyDescent="0.25">
      <c r="B1183" s="145"/>
      <c r="C1183" s="139"/>
      <c r="D1183" s="146"/>
      <c r="E1183" s="139"/>
      <c r="F1183" s="139"/>
      <c r="G1183" s="139"/>
      <c r="H1183" s="139"/>
      <c r="I1183" s="139"/>
      <c r="J1183" s="139"/>
      <c r="K1183" s="139"/>
      <c r="L1183" s="243"/>
      <c r="M1183" s="243"/>
      <c r="N1183" s="139"/>
      <c r="O1183" s="139"/>
      <c r="P1183" s="139"/>
      <c r="Q1183" s="147"/>
      <c r="R1183" s="139"/>
      <c r="S1183" s="139"/>
      <c r="T1183" s="139"/>
      <c r="U1183" s="139"/>
      <c r="V1183" s="139"/>
      <c r="W1183" s="139"/>
      <c r="X1183" s="146"/>
      <c r="Y1183" s="148"/>
      <c r="Z1183" s="145"/>
      <c r="AA1183" s="139"/>
      <c r="AB1183" s="149"/>
      <c r="AC1183" s="119"/>
      <c r="AD1183" s="139"/>
      <c r="AE1183" s="139"/>
      <c r="AF1183" s="139"/>
      <c r="AG1183" s="139"/>
      <c r="AH1183" s="139"/>
      <c r="AI1183" s="139"/>
      <c r="AJ1183" s="139"/>
      <c r="AK1183" s="139"/>
      <c r="AL1183" s="139"/>
      <c r="AM1183" s="139"/>
      <c r="AN1183" s="139"/>
      <c r="AO1183" s="139"/>
      <c r="AP1183" s="139"/>
      <c r="AQ1183" s="174"/>
      <c r="AR1183" s="222"/>
    </row>
    <row r="1184" spans="2:44" s="22" customFormat="1" ht="18" customHeight="1" x14ac:dyDescent="0.25">
      <c r="B1184" s="145"/>
      <c r="C1184" s="139"/>
      <c r="D1184" s="146"/>
      <c r="E1184" s="139"/>
      <c r="F1184" s="139"/>
      <c r="G1184" s="139"/>
      <c r="H1184" s="139"/>
      <c r="I1184" s="139"/>
      <c r="J1184" s="139"/>
      <c r="K1184" s="139"/>
      <c r="L1184" s="243"/>
      <c r="M1184" s="243"/>
      <c r="N1184" s="139"/>
      <c r="O1184" s="139"/>
      <c r="P1184" s="139"/>
      <c r="Q1184" s="147"/>
      <c r="R1184" s="139"/>
      <c r="S1184" s="139"/>
      <c r="T1184" s="139"/>
      <c r="U1184" s="139"/>
      <c r="V1184" s="139"/>
      <c r="W1184" s="139"/>
      <c r="X1184" s="146"/>
      <c r="Y1184" s="148"/>
      <c r="Z1184" s="145"/>
      <c r="AA1184" s="139"/>
      <c r="AB1184" s="149"/>
      <c r="AC1184" s="119"/>
      <c r="AD1184" s="139"/>
      <c r="AE1184" s="139"/>
      <c r="AF1184" s="139"/>
      <c r="AG1184" s="139"/>
      <c r="AH1184" s="139"/>
      <c r="AI1184" s="139"/>
      <c r="AJ1184" s="139"/>
      <c r="AK1184" s="139"/>
      <c r="AL1184" s="139"/>
      <c r="AM1184" s="139"/>
      <c r="AN1184" s="139"/>
      <c r="AO1184" s="139"/>
      <c r="AP1184" s="139"/>
      <c r="AQ1184" s="174"/>
      <c r="AR1184" s="222"/>
    </row>
    <row r="1185" spans="2:44" s="22" customFormat="1" ht="18" customHeight="1" x14ac:dyDescent="0.25">
      <c r="B1185" s="145"/>
      <c r="C1185" s="139"/>
      <c r="D1185" s="146"/>
      <c r="E1185" s="139"/>
      <c r="F1185" s="139"/>
      <c r="G1185" s="139"/>
      <c r="H1185" s="139"/>
      <c r="I1185" s="139"/>
      <c r="J1185" s="139"/>
      <c r="K1185" s="139"/>
      <c r="L1185" s="243"/>
      <c r="M1185" s="243"/>
      <c r="N1185" s="139"/>
      <c r="O1185" s="139"/>
      <c r="P1185" s="139"/>
      <c r="Q1185" s="147"/>
      <c r="R1185" s="139"/>
      <c r="S1185" s="139"/>
      <c r="T1185" s="139"/>
      <c r="U1185" s="139"/>
      <c r="V1185" s="139"/>
      <c r="W1185" s="139"/>
      <c r="X1185" s="146"/>
      <c r="Y1185" s="148"/>
      <c r="Z1185" s="145"/>
      <c r="AA1185" s="139"/>
      <c r="AB1185" s="149"/>
      <c r="AC1185" s="119"/>
      <c r="AD1185" s="139"/>
      <c r="AE1185" s="139"/>
      <c r="AF1185" s="139"/>
      <c r="AG1185" s="139"/>
      <c r="AH1185" s="139"/>
      <c r="AI1185" s="139"/>
      <c r="AJ1185" s="139"/>
      <c r="AK1185" s="139"/>
      <c r="AL1185" s="139"/>
      <c r="AM1185" s="139"/>
      <c r="AN1185" s="139"/>
      <c r="AO1185" s="139"/>
      <c r="AP1185" s="139"/>
      <c r="AQ1185" s="174"/>
      <c r="AR1185" s="222"/>
    </row>
    <row r="1186" spans="2:44" s="22" customFormat="1" ht="18" customHeight="1" x14ac:dyDescent="0.25">
      <c r="B1186" s="145"/>
      <c r="C1186" s="139"/>
      <c r="D1186" s="146"/>
      <c r="E1186" s="139"/>
      <c r="F1186" s="139"/>
      <c r="G1186" s="139"/>
      <c r="H1186" s="139"/>
      <c r="I1186" s="139"/>
      <c r="J1186" s="139"/>
      <c r="K1186" s="139"/>
      <c r="L1186" s="243"/>
      <c r="M1186" s="243"/>
      <c r="N1186" s="139"/>
      <c r="O1186" s="139"/>
      <c r="P1186" s="139"/>
      <c r="Q1186" s="147"/>
      <c r="R1186" s="139"/>
      <c r="S1186" s="139"/>
      <c r="T1186" s="139"/>
      <c r="U1186" s="139"/>
      <c r="V1186" s="139"/>
      <c r="W1186" s="139"/>
      <c r="X1186" s="146"/>
      <c r="Y1186" s="148"/>
      <c r="Z1186" s="145"/>
      <c r="AA1186" s="139"/>
      <c r="AB1186" s="149"/>
      <c r="AC1186" s="119"/>
      <c r="AD1186" s="139"/>
      <c r="AE1186" s="139"/>
      <c r="AF1186" s="139"/>
      <c r="AG1186" s="139"/>
      <c r="AH1186" s="139"/>
      <c r="AI1186" s="139"/>
      <c r="AJ1186" s="139"/>
      <c r="AK1186" s="139"/>
      <c r="AL1186" s="139"/>
      <c r="AM1186" s="139"/>
      <c r="AN1186" s="139"/>
      <c r="AO1186" s="139"/>
      <c r="AP1186" s="139"/>
      <c r="AQ1186" s="174"/>
      <c r="AR1186" s="222"/>
    </row>
    <row r="1187" spans="2:44" s="22" customFormat="1" ht="18" customHeight="1" x14ac:dyDescent="0.25">
      <c r="B1187" s="145"/>
      <c r="C1187" s="139"/>
      <c r="D1187" s="146"/>
      <c r="E1187" s="139"/>
      <c r="F1187" s="139"/>
      <c r="G1187" s="139"/>
      <c r="H1187" s="139"/>
      <c r="I1187" s="139"/>
      <c r="J1187" s="139"/>
      <c r="K1187" s="139"/>
      <c r="L1187" s="243"/>
      <c r="M1187" s="243"/>
      <c r="N1187" s="139"/>
      <c r="O1187" s="139"/>
      <c r="P1187" s="139"/>
      <c r="Q1187" s="147"/>
      <c r="R1187" s="139"/>
      <c r="S1187" s="139"/>
      <c r="T1187" s="139"/>
      <c r="U1187" s="139"/>
      <c r="V1187" s="139"/>
      <c r="W1187" s="139"/>
      <c r="X1187" s="146"/>
      <c r="Y1187" s="148"/>
      <c r="Z1187" s="145"/>
      <c r="AA1187" s="139"/>
      <c r="AB1187" s="149"/>
      <c r="AC1187" s="119"/>
      <c r="AD1187" s="139"/>
      <c r="AE1187" s="139"/>
      <c r="AF1187" s="139"/>
      <c r="AG1187" s="139"/>
      <c r="AH1187" s="139"/>
      <c r="AI1187" s="139"/>
      <c r="AJ1187" s="139"/>
      <c r="AK1187" s="139"/>
      <c r="AL1187" s="139"/>
      <c r="AM1187" s="139"/>
      <c r="AN1187" s="139"/>
      <c r="AO1187" s="139"/>
      <c r="AP1187" s="139"/>
      <c r="AQ1187" s="174"/>
      <c r="AR1187" s="222"/>
    </row>
    <row r="1188" spans="2:44" s="22" customFormat="1" ht="18" customHeight="1" x14ac:dyDescent="0.25">
      <c r="B1188" s="145"/>
      <c r="C1188" s="139"/>
      <c r="D1188" s="146"/>
      <c r="E1188" s="139"/>
      <c r="F1188" s="139"/>
      <c r="G1188" s="139"/>
      <c r="H1188" s="139"/>
      <c r="I1188" s="139"/>
      <c r="J1188" s="139"/>
      <c r="K1188" s="139"/>
      <c r="L1188" s="243"/>
      <c r="M1188" s="243"/>
      <c r="N1188" s="139"/>
      <c r="O1188" s="139"/>
      <c r="P1188" s="139"/>
      <c r="Q1188" s="147"/>
      <c r="R1188" s="139"/>
      <c r="S1188" s="139"/>
      <c r="T1188" s="139"/>
      <c r="U1188" s="139"/>
      <c r="V1188" s="139"/>
      <c r="W1188" s="139"/>
      <c r="X1188" s="146"/>
      <c r="Y1188" s="148"/>
      <c r="Z1188" s="145"/>
      <c r="AA1188" s="139"/>
      <c r="AB1188" s="149"/>
      <c r="AC1188" s="119"/>
      <c r="AD1188" s="139"/>
      <c r="AE1188" s="139"/>
      <c r="AF1188" s="139"/>
      <c r="AG1188" s="139"/>
      <c r="AH1188" s="139"/>
      <c r="AI1188" s="139"/>
      <c r="AJ1188" s="139"/>
      <c r="AK1188" s="139"/>
      <c r="AL1188" s="139"/>
      <c r="AM1188" s="139"/>
      <c r="AN1188" s="139"/>
      <c r="AO1188" s="139"/>
      <c r="AP1188" s="139"/>
      <c r="AQ1188" s="174"/>
      <c r="AR1188" s="222"/>
    </row>
    <row r="1189" spans="2:44" s="22" customFormat="1" ht="18" customHeight="1" x14ac:dyDescent="0.25">
      <c r="B1189" s="145"/>
      <c r="C1189" s="139"/>
      <c r="D1189" s="146"/>
      <c r="E1189" s="139"/>
      <c r="F1189" s="139"/>
      <c r="G1189" s="139"/>
      <c r="H1189" s="139"/>
      <c r="I1189" s="139"/>
      <c r="J1189" s="139"/>
      <c r="K1189" s="139"/>
      <c r="L1189" s="243"/>
      <c r="M1189" s="243"/>
      <c r="N1189" s="139"/>
      <c r="O1189" s="139"/>
      <c r="P1189" s="139"/>
      <c r="Q1189" s="147"/>
      <c r="R1189" s="139"/>
      <c r="S1189" s="139"/>
      <c r="T1189" s="139"/>
      <c r="U1189" s="139"/>
      <c r="V1189" s="139"/>
      <c r="W1189" s="139"/>
      <c r="X1189" s="146"/>
      <c r="Y1189" s="148"/>
      <c r="Z1189" s="145"/>
      <c r="AA1189" s="139"/>
      <c r="AB1189" s="149"/>
      <c r="AC1189" s="119"/>
      <c r="AD1189" s="139"/>
      <c r="AE1189" s="139"/>
      <c r="AF1189" s="139"/>
      <c r="AG1189" s="139"/>
      <c r="AH1189" s="139"/>
      <c r="AI1189" s="139"/>
      <c r="AJ1189" s="139"/>
      <c r="AK1189" s="139"/>
      <c r="AL1189" s="139"/>
      <c r="AM1189" s="139"/>
      <c r="AN1189" s="139"/>
      <c r="AO1189" s="139"/>
      <c r="AP1189" s="139"/>
      <c r="AQ1189" s="174"/>
      <c r="AR1189" s="222"/>
    </row>
    <row r="1190" spans="2:44" s="22" customFormat="1" ht="18" customHeight="1" x14ac:dyDescent="0.25">
      <c r="B1190" s="145"/>
      <c r="C1190" s="139"/>
      <c r="D1190" s="146"/>
      <c r="E1190" s="139"/>
      <c r="F1190" s="139"/>
      <c r="G1190" s="139"/>
      <c r="H1190" s="139"/>
      <c r="I1190" s="139"/>
      <c r="J1190" s="139"/>
      <c r="K1190" s="139"/>
      <c r="L1190" s="243"/>
      <c r="M1190" s="243"/>
      <c r="N1190" s="139"/>
      <c r="O1190" s="139"/>
      <c r="P1190" s="139"/>
      <c r="Q1190" s="147"/>
      <c r="R1190" s="139"/>
      <c r="S1190" s="139"/>
      <c r="T1190" s="139"/>
      <c r="U1190" s="139"/>
      <c r="V1190" s="139"/>
      <c r="W1190" s="139"/>
      <c r="X1190" s="146"/>
      <c r="Y1190" s="148"/>
      <c r="Z1190" s="145"/>
      <c r="AA1190" s="139"/>
      <c r="AB1190" s="149"/>
      <c r="AC1190" s="119"/>
      <c r="AD1190" s="139"/>
      <c r="AE1190" s="139"/>
      <c r="AF1190" s="139"/>
      <c r="AG1190" s="139"/>
      <c r="AH1190" s="139"/>
      <c r="AI1190" s="139"/>
      <c r="AJ1190" s="139"/>
      <c r="AK1190" s="139"/>
      <c r="AL1190" s="139"/>
      <c r="AM1190" s="139"/>
      <c r="AN1190" s="139"/>
      <c r="AO1190" s="139"/>
      <c r="AP1190" s="139"/>
      <c r="AQ1190" s="174"/>
      <c r="AR1190" s="222"/>
    </row>
    <row r="1191" spans="2:44" s="22" customFormat="1" ht="18" customHeight="1" x14ac:dyDescent="0.25">
      <c r="B1191" s="145"/>
      <c r="C1191" s="139"/>
      <c r="D1191" s="146"/>
      <c r="E1191" s="139"/>
      <c r="F1191" s="139"/>
      <c r="G1191" s="139"/>
      <c r="H1191" s="139"/>
      <c r="I1191" s="139"/>
      <c r="J1191" s="139"/>
      <c r="K1191" s="139"/>
      <c r="L1191" s="243"/>
      <c r="M1191" s="243"/>
      <c r="N1191" s="139"/>
      <c r="O1191" s="139"/>
      <c r="P1191" s="139"/>
      <c r="Q1191" s="147"/>
      <c r="R1191" s="139"/>
      <c r="S1191" s="139"/>
      <c r="T1191" s="139"/>
      <c r="U1191" s="139"/>
      <c r="V1191" s="139"/>
      <c r="W1191" s="139"/>
      <c r="X1191" s="146"/>
      <c r="Y1191" s="148"/>
      <c r="Z1191" s="145"/>
      <c r="AA1191" s="139"/>
      <c r="AB1191" s="149"/>
      <c r="AC1191" s="119"/>
      <c r="AD1191" s="139"/>
      <c r="AE1191" s="139"/>
      <c r="AF1191" s="139"/>
      <c r="AG1191" s="139"/>
      <c r="AH1191" s="139"/>
      <c r="AI1191" s="139"/>
      <c r="AJ1191" s="139"/>
      <c r="AK1191" s="139"/>
      <c r="AL1191" s="139"/>
      <c r="AM1191" s="139"/>
      <c r="AN1191" s="139"/>
      <c r="AO1191" s="139"/>
      <c r="AP1191" s="139"/>
      <c r="AQ1191" s="174"/>
      <c r="AR1191" s="222"/>
    </row>
    <row r="1192" spans="2:44" s="22" customFormat="1" ht="18" customHeight="1" x14ac:dyDescent="0.25">
      <c r="B1192" s="145"/>
      <c r="C1192" s="139"/>
      <c r="D1192" s="146"/>
      <c r="E1192" s="139"/>
      <c r="F1192" s="139"/>
      <c r="G1192" s="139"/>
      <c r="H1192" s="139"/>
      <c r="I1192" s="139"/>
      <c r="J1192" s="139"/>
      <c r="K1192" s="139"/>
      <c r="L1192" s="243"/>
      <c r="M1192" s="243"/>
      <c r="N1192" s="139"/>
      <c r="O1192" s="139"/>
      <c r="P1192" s="139"/>
      <c r="Q1192" s="147"/>
      <c r="R1192" s="139"/>
      <c r="S1192" s="139"/>
      <c r="T1192" s="139"/>
      <c r="U1192" s="139"/>
      <c r="V1192" s="139"/>
      <c r="W1192" s="139"/>
      <c r="X1192" s="146"/>
      <c r="Y1192" s="148"/>
      <c r="Z1192" s="145"/>
      <c r="AA1192" s="139"/>
      <c r="AB1192" s="149"/>
      <c r="AC1192" s="119"/>
      <c r="AD1192" s="139"/>
      <c r="AE1192" s="139"/>
      <c r="AF1192" s="139"/>
      <c r="AG1192" s="139"/>
      <c r="AH1192" s="139"/>
      <c r="AI1192" s="139"/>
      <c r="AJ1192" s="139"/>
      <c r="AK1192" s="139"/>
      <c r="AL1192" s="139"/>
      <c r="AM1192" s="139"/>
      <c r="AN1192" s="139"/>
      <c r="AO1192" s="139"/>
      <c r="AP1192" s="139"/>
      <c r="AQ1192" s="174"/>
      <c r="AR1192" s="222"/>
    </row>
    <row r="1193" spans="2:44" s="22" customFormat="1" ht="18" customHeight="1" x14ac:dyDescent="0.25">
      <c r="B1193" s="145"/>
      <c r="C1193" s="139"/>
      <c r="D1193" s="146"/>
      <c r="E1193" s="139"/>
      <c r="F1193" s="139"/>
      <c r="G1193" s="139"/>
      <c r="H1193" s="139"/>
      <c r="I1193" s="139"/>
      <c r="J1193" s="139"/>
      <c r="K1193" s="139"/>
      <c r="L1193" s="243"/>
      <c r="M1193" s="243"/>
      <c r="N1193" s="139"/>
      <c r="O1193" s="139"/>
      <c r="P1193" s="139"/>
      <c r="Q1193" s="147"/>
      <c r="R1193" s="139"/>
      <c r="S1193" s="139"/>
      <c r="T1193" s="139"/>
      <c r="U1193" s="139"/>
      <c r="V1193" s="139"/>
      <c r="W1193" s="139"/>
      <c r="X1193" s="146"/>
      <c r="Y1193" s="148"/>
      <c r="Z1193" s="145"/>
      <c r="AA1193" s="139"/>
      <c r="AB1193" s="149"/>
      <c r="AC1193" s="119"/>
      <c r="AD1193" s="139"/>
      <c r="AE1193" s="139"/>
      <c r="AF1193" s="139"/>
      <c r="AG1193" s="139"/>
      <c r="AH1193" s="139"/>
      <c r="AI1193" s="139"/>
      <c r="AJ1193" s="139"/>
      <c r="AK1193" s="139"/>
      <c r="AL1193" s="139"/>
      <c r="AM1193" s="139"/>
      <c r="AN1193" s="139"/>
      <c r="AO1193" s="139"/>
      <c r="AP1193" s="139"/>
      <c r="AQ1193" s="174"/>
      <c r="AR1193" s="222"/>
    </row>
    <row r="1194" spans="2:44" s="22" customFormat="1" ht="18" customHeight="1" x14ac:dyDescent="0.25">
      <c r="B1194" s="145"/>
      <c r="C1194" s="139"/>
      <c r="D1194" s="146"/>
      <c r="E1194" s="139"/>
      <c r="F1194" s="139"/>
      <c r="G1194" s="139"/>
      <c r="H1194" s="139"/>
      <c r="I1194" s="139"/>
      <c r="J1194" s="139"/>
      <c r="K1194" s="139"/>
      <c r="L1194" s="243"/>
      <c r="M1194" s="243"/>
      <c r="N1194" s="139"/>
      <c r="O1194" s="139"/>
      <c r="P1194" s="139"/>
      <c r="Q1194" s="147"/>
      <c r="R1194" s="139"/>
      <c r="S1194" s="139"/>
      <c r="T1194" s="139"/>
      <c r="U1194" s="139"/>
      <c r="V1194" s="139"/>
      <c r="W1194" s="139"/>
      <c r="X1194" s="146"/>
      <c r="Y1194" s="148"/>
      <c r="Z1194" s="145"/>
      <c r="AA1194" s="139"/>
      <c r="AB1194" s="149"/>
      <c r="AC1194" s="119"/>
      <c r="AD1194" s="139"/>
      <c r="AE1194" s="139"/>
      <c r="AF1194" s="139"/>
      <c r="AG1194" s="139"/>
      <c r="AH1194" s="139"/>
      <c r="AI1194" s="139"/>
      <c r="AJ1194" s="139"/>
      <c r="AK1194" s="139"/>
      <c r="AL1194" s="139"/>
      <c r="AM1194" s="139"/>
      <c r="AN1194" s="139"/>
      <c r="AO1194" s="139"/>
      <c r="AP1194" s="139"/>
      <c r="AQ1194" s="174"/>
      <c r="AR1194" s="222"/>
    </row>
    <row r="1195" spans="2:44" s="22" customFormat="1" ht="18" customHeight="1" x14ac:dyDescent="0.25">
      <c r="B1195" s="145"/>
      <c r="C1195" s="139"/>
      <c r="D1195" s="146"/>
      <c r="E1195" s="139"/>
      <c r="F1195" s="139"/>
      <c r="G1195" s="139"/>
      <c r="H1195" s="139"/>
      <c r="I1195" s="139"/>
      <c r="J1195" s="139"/>
      <c r="K1195" s="139"/>
      <c r="L1195" s="243"/>
      <c r="M1195" s="243"/>
      <c r="N1195" s="139"/>
      <c r="O1195" s="139"/>
      <c r="P1195" s="139"/>
      <c r="Q1195" s="147"/>
      <c r="R1195" s="139"/>
      <c r="S1195" s="139"/>
      <c r="T1195" s="139"/>
      <c r="U1195" s="139"/>
      <c r="V1195" s="139"/>
      <c r="W1195" s="139"/>
      <c r="X1195" s="146"/>
      <c r="Y1195" s="148"/>
      <c r="Z1195" s="145"/>
      <c r="AA1195" s="139"/>
      <c r="AB1195" s="149"/>
      <c r="AC1195" s="119"/>
      <c r="AD1195" s="139"/>
      <c r="AE1195" s="139"/>
      <c r="AF1195" s="139"/>
      <c r="AG1195" s="139"/>
      <c r="AH1195" s="139"/>
      <c r="AI1195" s="139"/>
      <c r="AJ1195" s="139"/>
      <c r="AK1195" s="139"/>
      <c r="AL1195" s="139"/>
      <c r="AM1195" s="139"/>
      <c r="AN1195" s="139"/>
      <c r="AO1195" s="139"/>
      <c r="AP1195" s="139"/>
      <c r="AQ1195" s="174"/>
      <c r="AR1195" s="222"/>
    </row>
    <row r="1196" spans="2:44" s="22" customFormat="1" ht="18" customHeight="1" x14ac:dyDescent="0.25">
      <c r="B1196" s="145"/>
      <c r="C1196" s="139"/>
      <c r="D1196" s="146"/>
      <c r="E1196" s="139"/>
      <c r="F1196" s="139"/>
      <c r="G1196" s="139"/>
      <c r="H1196" s="139"/>
      <c r="I1196" s="139"/>
      <c r="J1196" s="139"/>
      <c r="K1196" s="139"/>
      <c r="L1196" s="243"/>
      <c r="M1196" s="243"/>
      <c r="N1196" s="139"/>
      <c r="O1196" s="139"/>
      <c r="P1196" s="139"/>
      <c r="Q1196" s="147"/>
      <c r="R1196" s="139"/>
      <c r="S1196" s="139"/>
      <c r="T1196" s="139"/>
      <c r="U1196" s="139"/>
      <c r="V1196" s="139"/>
      <c r="W1196" s="139"/>
      <c r="X1196" s="146"/>
      <c r="Y1196" s="148"/>
      <c r="Z1196" s="145"/>
      <c r="AA1196" s="139"/>
      <c r="AB1196" s="149"/>
      <c r="AC1196" s="119"/>
      <c r="AD1196" s="139"/>
      <c r="AE1196" s="139"/>
      <c r="AF1196" s="139"/>
      <c r="AG1196" s="139"/>
      <c r="AH1196" s="139"/>
      <c r="AI1196" s="139"/>
      <c r="AJ1196" s="139"/>
      <c r="AK1196" s="139"/>
      <c r="AL1196" s="139"/>
      <c r="AM1196" s="139"/>
      <c r="AN1196" s="139"/>
      <c r="AO1196" s="139"/>
      <c r="AP1196" s="139"/>
      <c r="AQ1196" s="174"/>
      <c r="AR1196" s="222"/>
    </row>
    <row r="1197" spans="2:44" s="22" customFormat="1" ht="18" customHeight="1" x14ac:dyDescent="0.25">
      <c r="B1197" s="145"/>
      <c r="C1197" s="139"/>
      <c r="D1197" s="146"/>
      <c r="E1197" s="139"/>
      <c r="F1197" s="139"/>
      <c r="G1197" s="139"/>
      <c r="H1197" s="139"/>
      <c r="I1197" s="139"/>
      <c r="J1197" s="139"/>
      <c r="K1197" s="139"/>
      <c r="L1197" s="243"/>
      <c r="M1197" s="243"/>
      <c r="N1197" s="139"/>
      <c r="O1197" s="139"/>
      <c r="P1197" s="139"/>
      <c r="Q1197" s="147"/>
      <c r="R1197" s="139"/>
      <c r="S1197" s="139"/>
      <c r="T1197" s="139"/>
      <c r="U1197" s="139"/>
      <c r="V1197" s="139"/>
      <c r="W1197" s="139"/>
      <c r="X1197" s="146"/>
      <c r="Y1197" s="148"/>
      <c r="Z1197" s="145"/>
      <c r="AA1197" s="139"/>
      <c r="AB1197" s="149"/>
      <c r="AC1197" s="119"/>
      <c r="AD1197" s="139"/>
      <c r="AE1197" s="139"/>
      <c r="AF1197" s="139"/>
      <c r="AG1197" s="139"/>
      <c r="AH1197" s="139"/>
      <c r="AI1197" s="139"/>
      <c r="AJ1197" s="139"/>
      <c r="AK1197" s="139"/>
      <c r="AL1197" s="139"/>
      <c r="AM1197" s="139"/>
      <c r="AN1197" s="139"/>
      <c r="AO1197" s="139"/>
      <c r="AP1197" s="139"/>
      <c r="AQ1197" s="174"/>
      <c r="AR1197" s="222"/>
    </row>
    <row r="1198" spans="2:44" s="22" customFormat="1" ht="18" customHeight="1" x14ac:dyDescent="0.25">
      <c r="B1198" s="145"/>
      <c r="C1198" s="139"/>
      <c r="D1198" s="146"/>
      <c r="E1198" s="139"/>
      <c r="F1198" s="139"/>
      <c r="G1198" s="139"/>
      <c r="H1198" s="139"/>
      <c r="I1198" s="139"/>
      <c r="J1198" s="139"/>
      <c r="K1198" s="139"/>
      <c r="L1198" s="243"/>
      <c r="M1198" s="243"/>
      <c r="N1198" s="139"/>
      <c r="O1198" s="139"/>
      <c r="P1198" s="139"/>
      <c r="Q1198" s="147"/>
      <c r="R1198" s="139"/>
      <c r="S1198" s="139"/>
      <c r="T1198" s="139"/>
      <c r="U1198" s="139"/>
      <c r="V1198" s="139"/>
      <c r="W1198" s="139"/>
      <c r="X1198" s="146"/>
      <c r="Y1198" s="148"/>
      <c r="Z1198" s="145"/>
      <c r="AA1198" s="139"/>
      <c r="AB1198" s="149"/>
      <c r="AC1198" s="119"/>
      <c r="AD1198" s="139"/>
      <c r="AE1198" s="139"/>
      <c r="AF1198" s="139"/>
      <c r="AG1198" s="139"/>
      <c r="AH1198" s="139"/>
      <c r="AI1198" s="139"/>
      <c r="AJ1198" s="139"/>
      <c r="AK1198" s="139"/>
      <c r="AL1198" s="139"/>
      <c r="AM1198" s="139"/>
      <c r="AN1198" s="139"/>
      <c r="AO1198" s="139"/>
      <c r="AP1198" s="139"/>
      <c r="AQ1198" s="174"/>
      <c r="AR1198" s="222"/>
    </row>
    <row r="1199" spans="2:44" s="22" customFormat="1" ht="18" customHeight="1" x14ac:dyDescent="0.25">
      <c r="B1199" s="145"/>
      <c r="C1199" s="139"/>
      <c r="D1199" s="146"/>
      <c r="E1199" s="139"/>
      <c r="F1199" s="139"/>
      <c r="G1199" s="139"/>
      <c r="H1199" s="139"/>
      <c r="I1199" s="139"/>
      <c r="J1199" s="139"/>
      <c r="K1199" s="139"/>
      <c r="L1199" s="243"/>
      <c r="M1199" s="243"/>
      <c r="N1199" s="139"/>
      <c r="O1199" s="139"/>
      <c r="P1199" s="139"/>
      <c r="Q1199" s="147"/>
      <c r="R1199" s="139"/>
      <c r="S1199" s="139"/>
      <c r="T1199" s="139"/>
      <c r="U1199" s="139"/>
      <c r="V1199" s="139"/>
      <c r="W1199" s="139"/>
      <c r="X1199" s="146"/>
      <c r="Y1199" s="148"/>
      <c r="Z1199" s="145"/>
      <c r="AA1199" s="139"/>
      <c r="AB1199" s="149"/>
      <c r="AC1199" s="119"/>
      <c r="AD1199" s="139"/>
      <c r="AE1199" s="139"/>
      <c r="AF1199" s="139"/>
      <c r="AG1199" s="139"/>
      <c r="AH1199" s="139"/>
      <c r="AI1199" s="139"/>
      <c r="AJ1199" s="139"/>
      <c r="AK1199" s="139"/>
      <c r="AL1199" s="139"/>
      <c r="AM1199" s="139"/>
      <c r="AN1199" s="139"/>
      <c r="AO1199" s="139"/>
      <c r="AP1199" s="139"/>
      <c r="AQ1199" s="174"/>
      <c r="AR1199" s="222"/>
    </row>
    <row r="1200" spans="2:44" s="22" customFormat="1" ht="18" customHeight="1" x14ac:dyDescent="0.25">
      <c r="B1200" s="145"/>
      <c r="C1200" s="139"/>
      <c r="D1200" s="146"/>
      <c r="E1200" s="139"/>
      <c r="F1200" s="139"/>
      <c r="G1200" s="139"/>
      <c r="H1200" s="139"/>
      <c r="I1200" s="139"/>
      <c r="J1200" s="139"/>
      <c r="K1200" s="139"/>
      <c r="L1200" s="243"/>
      <c r="M1200" s="243"/>
      <c r="N1200" s="139"/>
      <c r="O1200" s="139"/>
      <c r="P1200" s="139"/>
      <c r="Q1200" s="147"/>
      <c r="R1200" s="139"/>
      <c r="S1200" s="139"/>
      <c r="T1200" s="139"/>
      <c r="U1200" s="139"/>
      <c r="V1200" s="139"/>
      <c r="W1200" s="139"/>
      <c r="X1200" s="146"/>
      <c r="Y1200" s="148"/>
      <c r="Z1200" s="145"/>
      <c r="AA1200" s="139"/>
      <c r="AB1200" s="149"/>
      <c r="AC1200" s="119"/>
      <c r="AD1200" s="139"/>
      <c r="AE1200" s="139"/>
      <c r="AF1200" s="139"/>
      <c r="AG1200" s="139"/>
      <c r="AH1200" s="139"/>
      <c r="AI1200" s="139"/>
      <c r="AJ1200" s="139"/>
      <c r="AK1200" s="139"/>
      <c r="AL1200" s="139"/>
      <c r="AM1200" s="139"/>
      <c r="AN1200" s="139"/>
      <c r="AO1200" s="139"/>
      <c r="AP1200" s="139"/>
      <c r="AQ1200" s="174"/>
      <c r="AR1200" s="222"/>
    </row>
    <row r="1201" spans="2:44" s="140" customFormat="1" ht="18" customHeight="1" x14ac:dyDescent="0.25">
      <c r="B1201" s="145"/>
      <c r="C1201" s="139"/>
      <c r="D1201" s="146"/>
      <c r="E1201" s="139"/>
      <c r="F1201" s="139"/>
      <c r="G1201" s="139"/>
      <c r="H1201" s="139"/>
      <c r="I1201" s="139"/>
      <c r="J1201" s="139"/>
      <c r="K1201" s="139"/>
      <c r="L1201" s="243"/>
      <c r="M1201" s="243"/>
      <c r="N1201" s="139"/>
      <c r="O1201" s="139"/>
      <c r="P1201" s="139"/>
      <c r="Q1201" s="147"/>
      <c r="R1201" s="139"/>
      <c r="S1201" s="139"/>
      <c r="T1201" s="139"/>
      <c r="U1201" s="139"/>
      <c r="V1201" s="139"/>
      <c r="W1201" s="139"/>
      <c r="X1201" s="146"/>
      <c r="Y1201" s="148"/>
      <c r="Z1201" s="145"/>
      <c r="AA1201" s="139"/>
      <c r="AB1201" s="149"/>
      <c r="AC1201" s="119"/>
      <c r="AD1201" s="139"/>
      <c r="AE1201" s="139"/>
      <c r="AF1201" s="139"/>
      <c r="AG1201" s="139"/>
      <c r="AH1201" s="139"/>
      <c r="AI1201" s="139"/>
      <c r="AJ1201" s="139"/>
      <c r="AK1201" s="139"/>
      <c r="AL1201" s="139"/>
      <c r="AM1201" s="139"/>
      <c r="AN1201" s="139"/>
      <c r="AO1201" s="139"/>
      <c r="AP1201" s="139"/>
      <c r="AQ1201" s="174"/>
      <c r="AR1201" s="222"/>
    </row>
    <row r="1202" spans="2:44" s="22" customFormat="1" ht="18" customHeight="1" x14ac:dyDescent="0.25">
      <c r="B1202" s="145"/>
      <c r="C1202" s="139"/>
      <c r="D1202" s="146"/>
      <c r="E1202" s="139"/>
      <c r="F1202" s="139"/>
      <c r="G1202" s="139"/>
      <c r="H1202" s="139"/>
      <c r="I1202" s="139"/>
      <c r="J1202" s="139"/>
      <c r="K1202" s="139"/>
      <c r="L1202" s="243"/>
      <c r="M1202" s="243"/>
      <c r="N1202" s="139"/>
      <c r="O1202" s="139"/>
      <c r="P1202" s="139"/>
      <c r="Q1202" s="147"/>
      <c r="R1202" s="139"/>
      <c r="S1202" s="139"/>
      <c r="T1202" s="139"/>
      <c r="U1202" s="139"/>
      <c r="V1202" s="139"/>
      <c r="W1202" s="139"/>
      <c r="X1202" s="146"/>
      <c r="Y1202" s="148"/>
      <c r="Z1202" s="145"/>
      <c r="AA1202" s="139"/>
      <c r="AB1202" s="149"/>
      <c r="AC1202" s="119"/>
      <c r="AD1202" s="139"/>
      <c r="AE1202" s="139"/>
      <c r="AF1202" s="139"/>
      <c r="AG1202" s="139"/>
      <c r="AH1202" s="139"/>
      <c r="AI1202" s="139"/>
      <c r="AJ1202" s="139"/>
      <c r="AK1202" s="139"/>
      <c r="AL1202" s="139"/>
      <c r="AM1202" s="139"/>
      <c r="AN1202" s="139"/>
      <c r="AO1202" s="139"/>
      <c r="AP1202" s="139"/>
      <c r="AQ1202" s="174"/>
      <c r="AR1202" s="222"/>
    </row>
    <row r="1203" spans="2:44" s="140" customFormat="1" ht="18" customHeight="1" x14ac:dyDescent="0.25">
      <c r="B1203" s="145"/>
      <c r="C1203" s="139"/>
      <c r="D1203" s="146"/>
      <c r="E1203" s="139"/>
      <c r="F1203" s="139"/>
      <c r="G1203" s="139"/>
      <c r="H1203" s="139"/>
      <c r="I1203" s="139"/>
      <c r="J1203" s="139"/>
      <c r="K1203" s="139"/>
      <c r="L1203" s="243"/>
      <c r="M1203" s="243"/>
      <c r="N1203" s="139"/>
      <c r="O1203" s="139"/>
      <c r="P1203" s="139"/>
      <c r="Q1203" s="147"/>
      <c r="R1203" s="139"/>
      <c r="S1203" s="139"/>
      <c r="T1203" s="139"/>
      <c r="U1203" s="139"/>
      <c r="V1203" s="139"/>
      <c r="W1203" s="139"/>
      <c r="X1203" s="146"/>
      <c r="Y1203" s="148"/>
      <c r="Z1203" s="145"/>
      <c r="AA1203" s="139"/>
      <c r="AB1203" s="149"/>
      <c r="AC1203" s="119"/>
      <c r="AD1203" s="139"/>
      <c r="AE1203" s="139"/>
      <c r="AF1203" s="139"/>
      <c r="AG1203" s="139"/>
      <c r="AH1203" s="139"/>
      <c r="AI1203" s="139"/>
      <c r="AJ1203" s="139"/>
      <c r="AK1203" s="139"/>
      <c r="AL1203" s="139"/>
      <c r="AM1203" s="139"/>
      <c r="AN1203" s="139"/>
      <c r="AO1203" s="139"/>
      <c r="AP1203" s="139"/>
      <c r="AQ1203" s="174"/>
      <c r="AR1203" s="222"/>
    </row>
    <row r="1204" spans="2:44" s="22" customFormat="1" ht="18" customHeight="1" x14ac:dyDescent="0.25">
      <c r="B1204" s="145"/>
      <c r="C1204" s="139"/>
      <c r="D1204" s="146"/>
      <c r="E1204" s="139"/>
      <c r="F1204" s="139"/>
      <c r="G1204" s="139"/>
      <c r="H1204" s="139"/>
      <c r="I1204" s="139"/>
      <c r="J1204" s="139"/>
      <c r="K1204" s="139"/>
      <c r="L1204" s="243"/>
      <c r="M1204" s="243"/>
      <c r="N1204" s="139"/>
      <c r="O1204" s="139"/>
      <c r="P1204" s="139"/>
      <c r="Q1204" s="147"/>
      <c r="R1204" s="139"/>
      <c r="S1204" s="139"/>
      <c r="T1204" s="139"/>
      <c r="U1204" s="139"/>
      <c r="V1204" s="139"/>
      <c r="W1204" s="139"/>
      <c r="X1204" s="146"/>
      <c r="Y1204" s="148"/>
      <c r="Z1204" s="145"/>
      <c r="AA1204" s="139"/>
      <c r="AB1204" s="149"/>
      <c r="AC1204" s="119"/>
      <c r="AD1204" s="139"/>
      <c r="AE1204" s="139"/>
      <c r="AF1204" s="139"/>
      <c r="AG1204" s="139"/>
      <c r="AH1204" s="139"/>
      <c r="AI1204" s="139"/>
      <c r="AJ1204" s="139"/>
      <c r="AK1204" s="139"/>
      <c r="AL1204" s="139"/>
      <c r="AM1204" s="139"/>
      <c r="AN1204" s="139"/>
      <c r="AO1204" s="139"/>
      <c r="AP1204" s="139"/>
      <c r="AQ1204" s="174"/>
      <c r="AR1204" s="222"/>
    </row>
    <row r="1205" spans="2:44" s="140" customFormat="1" ht="18" customHeight="1" x14ac:dyDescent="0.25">
      <c r="B1205" s="145"/>
      <c r="C1205" s="139"/>
      <c r="D1205" s="146"/>
      <c r="E1205" s="139"/>
      <c r="F1205" s="139"/>
      <c r="G1205" s="139"/>
      <c r="H1205" s="139"/>
      <c r="I1205" s="139"/>
      <c r="J1205" s="139"/>
      <c r="K1205" s="139"/>
      <c r="L1205" s="243"/>
      <c r="M1205" s="243"/>
      <c r="N1205" s="139"/>
      <c r="O1205" s="139"/>
      <c r="P1205" s="139"/>
      <c r="Q1205" s="147"/>
      <c r="R1205" s="139"/>
      <c r="S1205" s="139"/>
      <c r="T1205" s="139"/>
      <c r="U1205" s="139"/>
      <c r="V1205" s="139"/>
      <c r="W1205" s="139"/>
      <c r="X1205" s="146"/>
      <c r="Y1205" s="148"/>
      <c r="Z1205" s="145"/>
      <c r="AA1205" s="139"/>
      <c r="AB1205" s="149"/>
      <c r="AC1205" s="119"/>
      <c r="AD1205" s="139"/>
      <c r="AE1205" s="139"/>
      <c r="AF1205" s="139"/>
      <c r="AG1205" s="139"/>
      <c r="AH1205" s="139"/>
      <c r="AI1205" s="139"/>
      <c r="AJ1205" s="139"/>
      <c r="AK1205" s="139"/>
      <c r="AL1205" s="139"/>
      <c r="AM1205" s="139"/>
      <c r="AN1205" s="139"/>
      <c r="AO1205" s="139"/>
      <c r="AP1205" s="139"/>
      <c r="AQ1205" s="174"/>
      <c r="AR1205" s="222"/>
    </row>
    <row r="1206" spans="2:44" s="22" customFormat="1" ht="18" customHeight="1" x14ac:dyDescent="0.25">
      <c r="B1206" s="145"/>
      <c r="C1206" s="139"/>
      <c r="D1206" s="146"/>
      <c r="E1206" s="139"/>
      <c r="F1206" s="139"/>
      <c r="G1206" s="139"/>
      <c r="H1206" s="139"/>
      <c r="I1206" s="139"/>
      <c r="J1206" s="139"/>
      <c r="K1206" s="139"/>
      <c r="L1206" s="243"/>
      <c r="M1206" s="243"/>
      <c r="N1206" s="139"/>
      <c r="O1206" s="139"/>
      <c r="P1206" s="139"/>
      <c r="Q1206" s="147"/>
      <c r="R1206" s="139"/>
      <c r="S1206" s="139"/>
      <c r="T1206" s="139"/>
      <c r="U1206" s="139"/>
      <c r="V1206" s="139"/>
      <c r="W1206" s="139"/>
      <c r="X1206" s="146"/>
      <c r="Y1206" s="148"/>
      <c r="Z1206" s="145"/>
      <c r="AA1206" s="139"/>
      <c r="AB1206" s="149"/>
      <c r="AC1206" s="119"/>
      <c r="AD1206" s="139"/>
      <c r="AE1206" s="139"/>
      <c r="AF1206" s="139"/>
      <c r="AG1206" s="139"/>
      <c r="AH1206" s="139"/>
      <c r="AI1206" s="139"/>
      <c r="AJ1206" s="139"/>
      <c r="AK1206" s="139"/>
      <c r="AL1206" s="139"/>
      <c r="AM1206" s="139"/>
      <c r="AN1206" s="139"/>
      <c r="AO1206" s="139"/>
      <c r="AP1206" s="139"/>
      <c r="AQ1206" s="174"/>
      <c r="AR1206" s="222"/>
    </row>
    <row r="1207" spans="2:44" s="22" customFormat="1" ht="18" customHeight="1" x14ac:dyDescent="0.25">
      <c r="B1207" s="145"/>
      <c r="C1207" s="139"/>
      <c r="D1207" s="146"/>
      <c r="E1207" s="139"/>
      <c r="F1207" s="139"/>
      <c r="G1207" s="139"/>
      <c r="H1207" s="139"/>
      <c r="I1207" s="139"/>
      <c r="J1207" s="139"/>
      <c r="K1207" s="139"/>
      <c r="L1207" s="243"/>
      <c r="M1207" s="243"/>
      <c r="N1207" s="139"/>
      <c r="O1207" s="139"/>
      <c r="P1207" s="139"/>
      <c r="Q1207" s="147"/>
      <c r="R1207" s="139"/>
      <c r="S1207" s="139"/>
      <c r="T1207" s="139"/>
      <c r="U1207" s="139"/>
      <c r="V1207" s="139"/>
      <c r="W1207" s="139"/>
      <c r="X1207" s="146"/>
      <c r="Y1207" s="148"/>
      <c r="Z1207" s="145"/>
      <c r="AA1207" s="139"/>
      <c r="AB1207" s="149"/>
      <c r="AC1207" s="119"/>
      <c r="AD1207" s="139"/>
      <c r="AE1207" s="139"/>
      <c r="AF1207" s="139"/>
      <c r="AG1207" s="139"/>
      <c r="AH1207" s="139"/>
      <c r="AI1207" s="139"/>
      <c r="AJ1207" s="139"/>
      <c r="AK1207" s="139"/>
      <c r="AL1207" s="139"/>
      <c r="AM1207" s="139"/>
      <c r="AN1207" s="139"/>
      <c r="AO1207" s="139"/>
      <c r="AP1207" s="139"/>
      <c r="AQ1207" s="174"/>
      <c r="AR1207" s="222"/>
    </row>
    <row r="1208" spans="2:44" s="22" customFormat="1" ht="18" customHeight="1" x14ac:dyDescent="0.25">
      <c r="B1208" s="145"/>
      <c r="C1208" s="139"/>
      <c r="D1208" s="146"/>
      <c r="E1208" s="139"/>
      <c r="F1208" s="139"/>
      <c r="G1208" s="139"/>
      <c r="H1208" s="139"/>
      <c r="I1208" s="139"/>
      <c r="J1208" s="139"/>
      <c r="K1208" s="139"/>
      <c r="L1208" s="243"/>
      <c r="M1208" s="243"/>
      <c r="N1208" s="139"/>
      <c r="O1208" s="139"/>
      <c r="P1208" s="139"/>
      <c r="Q1208" s="147"/>
      <c r="R1208" s="139"/>
      <c r="S1208" s="139"/>
      <c r="T1208" s="139"/>
      <c r="U1208" s="139"/>
      <c r="V1208" s="139"/>
      <c r="W1208" s="139"/>
      <c r="X1208" s="146"/>
      <c r="Y1208" s="148"/>
      <c r="Z1208" s="145"/>
      <c r="AA1208" s="139"/>
      <c r="AB1208" s="149"/>
      <c r="AC1208" s="119"/>
      <c r="AD1208" s="139"/>
      <c r="AE1208" s="139"/>
      <c r="AF1208" s="139"/>
      <c r="AG1208" s="139"/>
      <c r="AH1208" s="139"/>
      <c r="AI1208" s="139"/>
      <c r="AJ1208" s="139"/>
      <c r="AK1208" s="139"/>
      <c r="AL1208" s="139"/>
      <c r="AM1208" s="139"/>
      <c r="AN1208" s="139"/>
      <c r="AO1208" s="139"/>
      <c r="AP1208" s="139"/>
      <c r="AQ1208" s="174"/>
      <c r="AR1208" s="222"/>
    </row>
    <row r="1209" spans="2:44" s="22" customFormat="1" ht="18" customHeight="1" x14ac:dyDescent="0.25">
      <c r="B1209" s="145"/>
      <c r="C1209" s="139"/>
      <c r="D1209" s="146"/>
      <c r="E1209" s="139"/>
      <c r="F1209" s="139"/>
      <c r="G1209" s="139"/>
      <c r="H1209" s="139"/>
      <c r="I1209" s="139"/>
      <c r="J1209" s="139"/>
      <c r="K1209" s="139"/>
      <c r="L1209" s="243"/>
      <c r="M1209" s="243"/>
      <c r="N1209" s="139"/>
      <c r="O1209" s="139"/>
      <c r="P1209" s="139"/>
      <c r="Q1209" s="147"/>
      <c r="R1209" s="139"/>
      <c r="S1209" s="139"/>
      <c r="T1209" s="139"/>
      <c r="U1209" s="139"/>
      <c r="V1209" s="139"/>
      <c r="W1209" s="139"/>
      <c r="X1209" s="146"/>
      <c r="Y1209" s="148"/>
      <c r="Z1209" s="145"/>
      <c r="AA1209" s="139"/>
      <c r="AB1209" s="149"/>
      <c r="AC1209" s="119"/>
      <c r="AD1209" s="139"/>
      <c r="AE1209" s="139"/>
      <c r="AF1209" s="139"/>
      <c r="AG1209" s="139"/>
      <c r="AH1209" s="139"/>
      <c r="AI1209" s="139"/>
      <c r="AJ1209" s="139"/>
      <c r="AK1209" s="139"/>
      <c r="AL1209" s="139"/>
      <c r="AM1209" s="139"/>
      <c r="AN1209" s="139"/>
      <c r="AO1209" s="139"/>
      <c r="AP1209" s="139"/>
      <c r="AQ1209" s="174"/>
      <c r="AR1209" s="222"/>
    </row>
    <row r="1210" spans="2:44" s="22" customFormat="1" ht="18" customHeight="1" x14ac:dyDescent="0.25">
      <c r="B1210" s="145"/>
      <c r="C1210" s="139"/>
      <c r="D1210" s="146"/>
      <c r="E1210" s="139"/>
      <c r="F1210" s="139"/>
      <c r="G1210" s="139"/>
      <c r="H1210" s="139"/>
      <c r="I1210" s="139"/>
      <c r="J1210" s="139"/>
      <c r="K1210" s="139"/>
      <c r="L1210" s="243"/>
      <c r="M1210" s="243"/>
      <c r="N1210" s="139"/>
      <c r="O1210" s="139"/>
      <c r="P1210" s="139"/>
      <c r="Q1210" s="147"/>
      <c r="R1210" s="139"/>
      <c r="S1210" s="139"/>
      <c r="T1210" s="139"/>
      <c r="U1210" s="139"/>
      <c r="V1210" s="139"/>
      <c r="W1210" s="139"/>
      <c r="X1210" s="146"/>
      <c r="Y1210" s="148"/>
      <c r="Z1210" s="145"/>
      <c r="AA1210" s="139"/>
      <c r="AB1210" s="149"/>
      <c r="AC1210" s="119"/>
      <c r="AD1210" s="139"/>
      <c r="AE1210" s="139"/>
      <c r="AF1210" s="139"/>
      <c r="AG1210" s="139"/>
      <c r="AH1210" s="139"/>
      <c r="AI1210" s="139"/>
      <c r="AJ1210" s="139"/>
      <c r="AK1210" s="139"/>
      <c r="AL1210" s="139"/>
      <c r="AM1210" s="139"/>
      <c r="AN1210" s="139"/>
      <c r="AO1210" s="139"/>
      <c r="AP1210" s="139"/>
      <c r="AQ1210" s="174"/>
      <c r="AR1210" s="222"/>
    </row>
    <row r="1211" spans="2:44" s="22" customFormat="1" ht="18" customHeight="1" x14ac:dyDescent="0.25">
      <c r="B1211" s="145"/>
      <c r="C1211" s="139"/>
      <c r="D1211" s="146"/>
      <c r="E1211" s="139"/>
      <c r="F1211" s="139"/>
      <c r="G1211" s="139"/>
      <c r="H1211" s="139"/>
      <c r="I1211" s="139"/>
      <c r="J1211" s="139"/>
      <c r="K1211" s="139"/>
      <c r="L1211" s="243"/>
      <c r="M1211" s="243"/>
      <c r="N1211" s="139"/>
      <c r="O1211" s="139"/>
      <c r="P1211" s="139"/>
      <c r="Q1211" s="147"/>
      <c r="R1211" s="139"/>
      <c r="S1211" s="139"/>
      <c r="T1211" s="139"/>
      <c r="U1211" s="139"/>
      <c r="V1211" s="139"/>
      <c r="W1211" s="139"/>
      <c r="X1211" s="146"/>
      <c r="Y1211" s="148"/>
      <c r="Z1211" s="145"/>
      <c r="AA1211" s="139"/>
      <c r="AB1211" s="149"/>
      <c r="AC1211" s="119"/>
      <c r="AD1211" s="139"/>
      <c r="AE1211" s="139"/>
      <c r="AF1211" s="139"/>
      <c r="AG1211" s="139"/>
      <c r="AH1211" s="139"/>
      <c r="AI1211" s="139"/>
      <c r="AJ1211" s="139"/>
      <c r="AK1211" s="139"/>
      <c r="AL1211" s="139"/>
      <c r="AM1211" s="139"/>
      <c r="AN1211" s="139"/>
      <c r="AO1211" s="139"/>
      <c r="AP1211" s="139"/>
      <c r="AQ1211" s="174"/>
      <c r="AR1211" s="222"/>
    </row>
    <row r="1212" spans="2:44" s="22" customFormat="1" ht="18" customHeight="1" x14ac:dyDescent="0.25">
      <c r="B1212" s="145"/>
      <c r="C1212" s="139"/>
      <c r="D1212" s="146"/>
      <c r="E1212" s="139"/>
      <c r="F1212" s="139"/>
      <c r="G1212" s="139"/>
      <c r="H1212" s="139"/>
      <c r="I1212" s="139"/>
      <c r="J1212" s="139"/>
      <c r="K1212" s="139"/>
      <c r="L1212" s="243"/>
      <c r="M1212" s="243"/>
      <c r="N1212" s="139"/>
      <c r="O1212" s="139"/>
      <c r="P1212" s="139"/>
      <c r="Q1212" s="147"/>
      <c r="R1212" s="139"/>
      <c r="S1212" s="139"/>
      <c r="T1212" s="139"/>
      <c r="U1212" s="139"/>
      <c r="V1212" s="139"/>
      <c r="W1212" s="139"/>
      <c r="X1212" s="146"/>
      <c r="Y1212" s="148"/>
      <c r="Z1212" s="145"/>
      <c r="AA1212" s="139"/>
      <c r="AB1212" s="149"/>
      <c r="AC1212" s="119"/>
      <c r="AD1212" s="139"/>
      <c r="AE1212" s="139"/>
      <c r="AF1212" s="139"/>
      <c r="AG1212" s="139"/>
      <c r="AH1212" s="139"/>
      <c r="AI1212" s="139"/>
      <c r="AJ1212" s="139"/>
      <c r="AK1212" s="139"/>
      <c r="AL1212" s="139"/>
      <c r="AM1212" s="139"/>
      <c r="AN1212" s="139"/>
      <c r="AO1212" s="139"/>
      <c r="AP1212" s="139"/>
      <c r="AQ1212" s="174"/>
      <c r="AR1212" s="222"/>
    </row>
    <row r="1213" spans="2:44" s="22" customFormat="1" ht="18" customHeight="1" x14ac:dyDescent="0.25">
      <c r="B1213" s="145"/>
      <c r="C1213" s="139"/>
      <c r="D1213" s="146"/>
      <c r="E1213" s="139"/>
      <c r="F1213" s="139"/>
      <c r="G1213" s="139"/>
      <c r="H1213" s="139"/>
      <c r="I1213" s="139"/>
      <c r="J1213" s="139"/>
      <c r="K1213" s="139"/>
      <c r="L1213" s="243"/>
      <c r="M1213" s="243"/>
      <c r="N1213" s="139"/>
      <c r="O1213" s="139"/>
      <c r="P1213" s="139"/>
      <c r="Q1213" s="147"/>
      <c r="R1213" s="139"/>
      <c r="S1213" s="139"/>
      <c r="T1213" s="139"/>
      <c r="U1213" s="139"/>
      <c r="V1213" s="139"/>
      <c r="W1213" s="139"/>
      <c r="X1213" s="146"/>
      <c r="Y1213" s="148"/>
      <c r="Z1213" s="145"/>
      <c r="AA1213" s="139"/>
      <c r="AB1213" s="149"/>
      <c r="AC1213" s="119"/>
      <c r="AD1213" s="139"/>
      <c r="AE1213" s="139"/>
      <c r="AF1213" s="139"/>
      <c r="AG1213" s="139"/>
      <c r="AH1213" s="139"/>
      <c r="AI1213" s="139"/>
      <c r="AJ1213" s="139"/>
      <c r="AK1213" s="139"/>
      <c r="AL1213" s="139"/>
      <c r="AM1213" s="139"/>
      <c r="AN1213" s="139"/>
      <c r="AO1213" s="139"/>
      <c r="AP1213" s="139"/>
      <c r="AQ1213" s="174"/>
      <c r="AR1213" s="222"/>
    </row>
    <row r="1214" spans="2:44" s="22" customFormat="1" ht="18" customHeight="1" x14ac:dyDescent="0.25">
      <c r="B1214" s="145"/>
      <c r="C1214" s="139"/>
      <c r="D1214" s="146"/>
      <c r="E1214" s="139"/>
      <c r="F1214" s="139"/>
      <c r="G1214" s="139"/>
      <c r="H1214" s="139"/>
      <c r="I1214" s="139"/>
      <c r="J1214" s="139"/>
      <c r="K1214" s="139"/>
      <c r="L1214" s="243"/>
      <c r="M1214" s="243"/>
      <c r="N1214" s="139"/>
      <c r="O1214" s="139"/>
      <c r="P1214" s="139"/>
      <c r="Q1214" s="147"/>
      <c r="R1214" s="139"/>
      <c r="S1214" s="139"/>
      <c r="T1214" s="139"/>
      <c r="U1214" s="139"/>
      <c r="V1214" s="139"/>
      <c r="W1214" s="139"/>
      <c r="X1214" s="146"/>
      <c r="Y1214" s="148"/>
      <c r="Z1214" s="145"/>
      <c r="AA1214" s="139"/>
      <c r="AB1214" s="149"/>
      <c r="AC1214" s="119"/>
      <c r="AD1214" s="139"/>
      <c r="AE1214" s="139"/>
      <c r="AF1214" s="139"/>
      <c r="AG1214" s="139"/>
      <c r="AH1214" s="139"/>
      <c r="AI1214" s="139"/>
      <c r="AJ1214" s="139"/>
      <c r="AK1214" s="139"/>
      <c r="AL1214" s="139"/>
      <c r="AM1214" s="139"/>
      <c r="AN1214" s="139"/>
      <c r="AO1214" s="139"/>
      <c r="AP1214" s="139"/>
      <c r="AQ1214" s="174"/>
      <c r="AR1214" s="222"/>
    </row>
    <row r="1215" spans="2:44" s="22" customFormat="1" ht="18" customHeight="1" x14ac:dyDescent="0.25">
      <c r="B1215" s="145"/>
      <c r="C1215" s="139"/>
      <c r="D1215" s="146"/>
      <c r="E1215" s="139"/>
      <c r="F1215" s="139"/>
      <c r="G1215" s="139"/>
      <c r="H1215" s="139"/>
      <c r="I1215" s="139"/>
      <c r="J1215" s="139"/>
      <c r="K1215" s="139"/>
      <c r="L1215" s="243"/>
      <c r="M1215" s="243"/>
      <c r="N1215" s="139"/>
      <c r="O1215" s="139"/>
      <c r="P1215" s="139"/>
      <c r="Q1215" s="147"/>
      <c r="R1215" s="139"/>
      <c r="S1215" s="139"/>
      <c r="T1215" s="139"/>
      <c r="U1215" s="139"/>
      <c r="V1215" s="139"/>
      <c r="W1215" s="139"/>
      <c r="X1215" s="146"/>
      <c r="Y1215" s="148"/>
      <c r="Z1215" s="145"/>
      <c r="AA1215" s="139"/>
      <c r="AB1215" s="149"/>
      <c r="AC1215" s="119"/>
      <c r="AD1215" s="139"/>
      <c r="AE1215" s="139"/>
      <c r="AF1215" s="139"/>
      <c r="AG1215" s="139"/>
      <c r="AH1215" s="139"/>
      <c r="AI1215" s="139"/>
      <c r="AJ1215" s="139"/>
      <c r="AK1215" s="139"/>
      <c r="AL1215" s="139"/>
      <c r="AM1215" s="139"/>
      <c r="AN1215" s="139"/>
      <c r="AO1215" s="139"/>
      <c r="AP1215" s="139"/>
      <c r="AQ1215" s="174"/>
      <c r="AR1215" s="222"/>
    </row>
    <row r="1216" spans="2:44" s="22" customFormat="1" ht="18" customHeight="1" x14ac:dyDescent="0.25">
      <c r="B1216" s="145"/>
      <c r="C1216" s="139"/>
      <c r="D1216" s="146"/>
      <c r="E1216" s="139"/>
      <c r="F1216" s="139"/>
      <c r="G1216" s="139"/>
      <c r="H1216" s="139"/>
      <c r="I1216" s="139"/>
      <c r="J1216" s="139"/>
      <c r="K1216" s="139"/>
      <c r="L1216" s="243"/>
      <c r="M1216" s="243"/>
      <c r="N1216" s="139"/>
      <c r="O1216" s="139"/>
      <c r="P1216" s="139"/>
      <c r="Q1216" s="147"/>
      <c r="R1216" s="139"/>
      <c r="S1216" s="139"/>
      <c r="T1216" s="139"/>
      <c r="U1216" s="139"/>
      <c r="V1216" s="139"/>
      <c r="W1216" s="139"/>
      <c r="X1216" s="146"/>
      <c r="Y1216" s="148"/>
      <c r="Z1216" s="145"/>
      <c r="AA1216" s="139"/>
      <c r="AB1216" s="149"/>
      <c r="AC1216" s="119"/>
      <c r="AD1216" s="139"/>
      <c r="AE1216" s="139"/>
      <c r="AF1216" s="139"/>
      <c r="AG1216" s="139"/>
      <c r="AH1216" s="139"/>
      <c r="AI1216" s="139"/>
      <c r="AJ1216" s="139"/>
      <c r="AK1216" s="139"/>
      <c r="AL1216" s="139"/>
      <c r="AM1216" s="139"/>
      <c r="AN1216" s="139"/>
      <c r="AO1216" s="139"/>
      <c r="AP1216" s="139"/>
      <c r="AQ1216" s="174"/>
      <c r="AR1216" s="222"/>
    </row>
    <row r="1217" spans="2:44" s="22" customFormat="1" ht="18" customHeight="1" x14ac:dyDescent="0.25">
      <c r="B1217" s="145"/>
      <c r="C1217" s="139"/>
      <c r="D1217" s="146"/>
      <c r="E1217" s="139"/>
      <c r="F1217" s="139"/>
      <c r="G1217" s="139"/>
      <c r="H1217" s="139"/>
      <c r="I1217" s="139"/>
      <c r="J1217" s="139"/>
      <c r="K1217" s="139"/>
      <c r="L1217" s="243"/>
      <c r="M1217" s="243"/>
      <c r="N1217" s="139"/>
      <c r="O1217" s="139"/>
      <c r="P1217" s="139"/>
      <c r="Q1217" s="147"/>
      <c r="R1217" s="139"/>
      <c r="S1217" s="139"/>
      <c r="T1217" s="139"/>
      <c r="U1217" s="139"/>
      <c r="V1217" s="139"/>
      <c r="W1217" s="139"/>
      <c r="X1217" s="146"/>
      <c r="Y1217" s="148"/>
      <c r="Z1217" s="145"/>
      <c r="AA1217" s="139"/>
      <c r="AB1217" s="149"/>
      <c r="AC1217" s="119"/>
      <c r="AD1217" s="139"/>
      <c r="AE1217" s="139"/>
      <c r="AF1217" s="139"/>
      <c r="AG1217" s="139"/>
      <c r="AH1217" s="139"/>
      <c r="AI1217" s="139"/>
      <c r="AJ1217" s="139"/>
      <c r="AK1217" s="139"/>
      <c r="AL1217" s="139"/>
      <c r="AM1217" s="139"/>
      <c r="AN1217" s="139"/>
      <c r="AO1217" s="139"/>
      <c r="AP1217" s="139"/>
      <c r="AQ1217" s="174"/>
      <c r="AR1217" s="222"/>
    </row>
    <row r="1218" spans="2:44" s="22" customFormat="1" ht="18" customHeight="1" x14ac:dyDescent="0.25">
      <c r="B1218" s="145"/>
      <c r="C1218" s="139"/>
      <c r="D1218" s="146"/>
      <c r="E1218" s="139"/>
      <c r="F1218" s="139"/>
      <c r="G1218" s="139"/>
      <c r="H1218" s="139"/>
      <c r="I1218" s="139"/>
      <c r="J1218" s="139"/>
      <c r="K1218" s="139"/>
      <c r="L1218" s="243"/>
      <c r="M1218" s="243"/>
      <c r="N1218" s="139"/>
      <c r="O1218" s="139"/>
      <c r="P1218" s="139"/>
      <c r="Q1218" s="147"/>
      <c r="R1218" s="139"/>
      <c r="S1218" s="139"/>
      <c r="T1218" s="139"/>
      <c r="U1218" s="139"/>
      <c r="V1218" s="139"/>
      <c r="W1218" s="139"/>
      <c r="X1218" s="146"/>
      <c r="Y1218" s="148"/>
      <c r="Z1218" s="145"/>
      <c r="AA1218" s="139"/>
      <c r="AB1218" s="149"/>
      <c r="AC1218" s="119"/>
      <c r="AD1218" s="139"/>
      <c r="AE1218" s="139"/>
      <c r="AF1218" s="139"/>
      <c r="AG1218" s="139"/>
      <c r="AH1218" s="139"/>
      <c r="AI1218" s="139"/>
      <c r="AJ1218" s="139"/>
      <c r="AK1218" s="139"/>
      <c r="AL1218" s="139"/>
      <c r="AM1218" s="139"/>
      <c r="AN1218" s="139"/>
      <c r="AO1218" s="139"/>
      <c r="AP1218" s="139"/>
      <c r="AQ1218" s="174"/>
      <c r="AR1218" s="222"/>
    </row>
    <row r="1219" spans="2:44" s="22" customFormat="1" ht="18" customHeight="1" x14ac:dyDescent="0.25">
      <c r="B1219" s="145"/>
      <c r="C1219" s="139"/>
      <c r="D1219" s="146"/>
      <c r="E1219" s="139"/>
      <c r="F1219" s="139"/>
      <c r="G1219" s="139"/>
      <c r="H1219" s="139"/>
      <c r="I1219" s="139"/>
      <c r="J1219" s="139"/>
      <c r="K1219" s="139"/>
      <c r="L1219" s="243"/>
      <c r="M1219" s="243"/>
      <c r="N1219" s="139"/>
      <c r="O1219" s="139"/>
      <c r="P1219" s="139"/>
      <c r="Q1219" s="147"/>
      <c r="R1219" s="139"/>
      <c r="S1219" s="139"/>
      <c r="T1219" s="139"/>
      <c r="U1219" s="139"/>
      <c r="V1219" s="139"/>
      <c r="W1219" s="139"/>
      <c r="X1219" s="146"/>
      <c r="Y1219" s="148"/>
      <c r="Z1219" s="145"/>
      <c r="AA1219" s="139"/>
      <c r="AB1219" s="149"/>
      <c r="AC1219" s="119"/>
      <c r="AD1219" s="139"/>
      <c r="AE1219" s="139"/>
      <c r="AF1219" s="139"/>
      <c r="AG1219" s="139"/>
      <c r="AH1219" s="139"/>
      <c r="AI1219" s="139"/>
      <c r="AJ1219" s="139"/>
      <c r="AK1219" s="139"/>
      <c r="AL1219" s="139"/>
      <c r="AM1219" s="139"/>
      <c r="AN1219" s="139"/>
      <c r="AO1219" s="139"/>
      <c r="AP1219" s="139"/>
      <c r="AQ1219" s="174"/>
      <c r="AR1219" s="222"/>
    </row>
    <row r="1220" spans="2:44" s="22" customFormat="1" ht="18" customHeight="1" x14ac:dyDescent="0.25">
      <c r="B1220" s="145"/>
      <c r="C1220" s="139"/>
      <c r="D1220" s="146"/>
      <c r="E1220" s="139"/>
      <c r="F1220" s="139"/>
      <c r="G1220" s="139"/>
      <c r="H1220" s="139"/>
      <c r="I1220" s="139"/>
      <c r="J1220" s="139"/>
      <c r="K1220" s="139"/>
      <c r="L1220" s="243"/>
      <c r="M1220" s="243"/>
      <c r="N1220" s="139"/>
      <c r="O1220" s="139"/>
      <c r="P1220" s="139"/>
      <c r="Q1220" s="147"/>
      <c r="R1220" s="139"/>
      <c r="S1220" s="139"/>
      <c r="T1220" s="139"/>
      <c r="U1220" s="139"/>
      <c r="V1220" s="139"/>
      <c r="W1220" s="139"/>
      <c r="X1220" s="146"/>
      <c r="Y1220" s="148"/>
      <c r="Z1220" s="145"/>
      <c r="AA1220" s="139"/>
      <c r="AB1220" s="149"/>
      <c r="AC1220" s="119"/>
      <c r="AD1220" s="139"/>
      <c r="AE1220" s="139"/>
      <c r="AF1220" s="139"/>
      <c r="AG1220" s="139"/>
      <c r="AH1220" s="139"/>
      <c r="AI1220" s="139"/>
      <c r="AJ1220" s="139"/>
      <c r="AK1220" s="139"/>
      <c r="AL1220" s="139"/>
      <c r="AM1220" s="139"/>
      <c r="AN1220" s="139"/>
      <c r="AO1220" s="139"/>
      <c r="AP1220" s="139"/>
      <c r="AQ1220" s="174"/>
      <c r="AR1220" s="222"/>
    </row>
    <row r="1221" spans="2:44" s="22" customFormat="1" ht="18" customHeight="1" x14ac:dyDescent="0.25">
      <c r="B1221" s="145"/>
      <c r="C1221" s="139"/>
      <c r="D1221" s="146"/>
      <c r="E1221" s="139"/>
      <c r="F1221" s="139"/>
      <c r="G1221" s="139"/>
      <c r="H1221" s="139"/>
      <c r="I1221" s="139"/>
      <c r="J1221" s="139"/>
      <c r="K1221" s="139"/>
      <c r="L1221" s="243"/>
      <c r="M1221" s="243"/>
      <c r="N1221" s="139"/>
      <c r="O1221" s="139"/>
      <c r="P1221" s="139"/>
      <c r="Q1221" s="147"/>
      <c r="R1221" s="139"/>
      <c r="S1221" s="139"/>
      <c r="T1221" s="139"/>
      <c r="U1221" s="139"/>
      <c r="V1221" s="139"/>
      <c r="W1221" s="139"/>
      <c r="X1221" s="146"/>
      <c r="Y1221" s="148"/>
      <c r="Z1221" s="145"/>
      <c r="AA1221" s="139"/>
      <c r="AB1221" s="149"/>
      <c r="AC1221" s="119"/>
      <c r="AD1221" s="139"/>
      <c r="AE1221" s="139"/>
      <c r="AF1221" s="139"/>
      <c r="AG1221" s="139"/>
      <c r="AH1221" s="139"/>
      <c r="AI1221" s="139"/>
      <c r="AJ1221" s="139"/>
      <c r="AK1221" s="139"/>
      <c r="AL1221" s="139"/>
      <c r="AM1221" s="139"/>
      <c r="AN1221" s="139"/>
      <c r="AO1221" s="139"/>
      <c r="AP1221" s="139"/>
      <c r="AQ1221" s="174"/>
      <c r="AR1221" s="222"/>
    </row>
    <row r="1222" spans="2:44" s="22" customFormat="1" ht="18" customHeight="1" x14ac:dyDescent="0.25">
      <c r="B1222" s="145"/>
      <c r="C1222" s="139"/>
      <c r="D1222" s="146"/>
      <c r="E1222" s="139"/>
      <c r="F1222" s="139"/>
      <c r="G1222" s="139"/>
      <c r="H1222" s="139"/>
      <c r="I1222" s="139"/>
      <c r="J1222" s="139"/>
      <c r="K1222" s="139"/>
      <c r="L1222" s="243"/>
      <c r="M1222" s="243"/>
      <c r="N1222" s="139"/>
      <c r="O1222" s="139"/>
      <c r="P1222" s="139"/>
      <c r="Q1222" s="147"/>
      <c r="R1222" s="139"/>
      <c r="S1222" s="139"/>
      <c r="T1222" s="139"/>
      <c r="U1222" s="139"/>
      <c r="V1222" s="139"/>
      <c r="W1222" s="139"/>
      <c r="X1222" s="146"/>
      <c r="Y1222" s="148"/>
      <c r="Z1222" s="145"/>
      <c r="AA1222" s="139"/>
      <c r="AB1222" s="149"/>
      <c r="AC1222" s="119"/>
      <c r="AD1222" s="139"/>
      <c r="AE1222" s="139"/>
      <c r="AF1222" s="139"/>
      <c r="AG1222" s="139"/>
      <c r="AH1222" s="139"/>
      <c r="AI1222" s="139"/>
      <c r="AJ1222" s="139"/>
      <c r="AK1222" s="139"/>
      <c r="AL1222" s="139"/>
      <c r="AM1222" s="139"/>
      <c r="AN1222" s="139"/>
      <c r="AO1222" s="139"/>
      <c r="AP1222" s="139"/>
      <c r="AQ1222" s="174"/>
      <c r="AR1222" s="222"/>
    </row>
    <row r="1223" spans="2:44" s="22" customFormat="1" ht="18" customHeight="1" x14ac:dyDescent="0.25">
      <c r="B1223" s="145"/>
      <c r="C1223" s="139"/>
      <c r="D1223" s="146"/>
      <c r="E1223" s="139"/>
      <c r="F1223" s="139"/>
      <c r="G1223" s="139"/>
      <c r="H1223" s="139"/>
      <c r="I1223" s="139"/>
      <c r="J1223" s="139"/>
      <c r="K1223" s="139"/>
      <c r="L1223" s="243"/>
      <c r="M1223" s="243"/>
      <c r="N1223" s="139"/>
      <c r="O1223" s="139"/>
      <c r="P1223" s="139"/>
      <c r="Q1223" s="147"/>
      <c r="R1223" s="139"/>
      <c r="S1223" s="139"/>
      <c r="T1223" s="139"/>
      <c r="U1223" s="139"/>
      <c r="V1223" s="139"/>
      <c r="W1223" s="139"/>
      <c r="X1223" s="146"/>
      <c r="Y1223" s="148"/>
      <c r="Z1223" s="145"/>
      <c r="AA1223" s="139"/>
      <c r="AB1223" s="149"/>
      <c r="AC1223" s="119"/>
      <c r="AD1223" s="139"/>
      <c r="AE1223" s="139"/>
      <c r="AF1223" s="139"/>
      <c r="AG1223" s="139"/>
      <c r="AH1223" s="139"/>
      <c r="AI1223" s="139"/>
      <c r="AJ1223" s="139"/>
      <c r="AK1223" s="139"/>
      <c r="AL1223" s="139"/>
      <c r="AM1223" s="139"/>
      <c r="AN1223" s="139"/>
      <c r="AO1223" s="139"/>
      <c r="AP1223" s="139"/>
      <c r="AQ1223" s="174"/>
      <c r="AR1223" s="222"/>
    </row>
    <row r="1224" spans="2:44" s="22" customFormat="1" ht="18" customHeight="1" x14ac:dyDescent="0.25">
      <c r="B1224" s="145"/>
      <c r="C1224" s="139"/>
      <c r="D1224" s="146"/>
      <c r="E1224" s="139"/>
      <c r="F1224" s="139"/>
      <c r="G1224" s="139"/>
      <c r="H1224" s="139"/>
      <c r="I1224" s="139"/>
      <c r="J1224" s="139"/>
      <c r="K1224" s="139"/>
      <c r="L1224" s="243"/>
      <c r="M1224" s="243"/>
      <c r="N1224" s="139"/>
      <c r="O1224" s="139"/>
      <c r="P1224" s="139"/>
      <c r="Q1224" s="147"/>
      <c r="R1224" s="139"/>
      <c r="S1224" s="139"/>
      <c r="T1224" s="139"/>
      <c r="U1224" s="139"/>
      <c r="V1224" s="139"/>
      <c r="W1224" s="139"/>
      <c r="X1224" s="146"/>
      <c r="Y1224" s="148"/>
      <c r="Z1224" s="145"/>
      <c r="AA1224" s="139"/>
      <c r="AB1224" s="149"/>
      <c r="AC1224" s="119"/>
      <c r="AD1224" s="139"/>
      <c r="AE1224" s="139"/>
      <c r="AF1224" s="139"/>
      <c r="AG1224" s="139"/>
      <c r="AH1224" s="139"/>
      <c r="AI1224" s="139"/>
      <c r="AJ1224" s="139"/>
      <c r="AK1224" s="139"/>
      <c r="AL1224" s="139"/>
      <c r="AM1224" s="139"/>
      <c r="AN1224" s="139"/>
      <c r="AO1224" s="139"/>
      <c r="AP1224" s="139"/>
      <c r="AQ1224" s="174"/>
      <c r="AR1224" s="222"/>
    </row>
    <row r="1225" spans="2:44" s="22" customFormat="1" ht="18" customHeight="1" x14ac:dyDescent="0.25">
      <c r="B1225" s="145"/>
      <c r="C1225" s="139"/>
      <c r="D1225" s="146"/>
      <c r="E1225" s="139"/>
      <c r="F1225" s="139"/>
      <c r="G1225" s="139"/>
      <c r="H1225" s="139"/>
      <c r="I1225" s="139"/>
      <c r="J1225" s="139"/>
      <c r="K1225" s="139"/>
      <c r="L1225" s="243"/>
      <c r="M1225" s="243"/>
      <c r="N1225" s="139"/>
      <c r="O1225" s="139"/>
      <c r="P1225" s="139"/>
      <c r="Q1225" s="147"/>
      <c r="R1225" s="139"/>
      <c r="S1225" s="139"/>
      <c r="T1225" s="139"/>
      <c r="U1225" s="139"/>
      <c r="V1225" s="139"/>
      <c r="W1225" s="139"/>
      <c r="X1225" s="146"/>
      <c r="Y1225" s="148"/>
      <c r="Z1225" s="145"/>
      <c r="AA1225" s="139"/>
      <c r="AB1225" s="149"/>
      <c r="AC1225" s="119"/>
      <c r="AD1225" s="139"/>
      <c r="AE1225" s="139"/>
      <c r="AF1225" s="139"/>
      <c r="AG1225" s="139"/>
      <c r="AH1225" s="139"/>
      <c r="AI1225" s="139"/>
      <c r="AJ1225" s="139"/>
      <c r="AK1225" s="139"/>
      <c r="AL1225" s="139"/>
      <c r="AM1225" s="139"/>
      <c r="AN1225" s="139"/>
      <c r="AO1225" s="139"/>
      <c r="AP1225" s="139"/>
      <c r="AQ1225" s="174"/>
      <c r="AR1225" s="222"/>
    </row>
    <row r="1226" spans="2:44" s="22" customFormat="1" ht="18" customHeight="1" x14ac:dyDescent="0.25">
      <c r="B1226" s="145"/>
      <c r="C1226" s="139"/>
      <c r="D1226" s="146"/>
      <c r="E1226" s="139"/>
      <c r="F1226" s="139"/>
      <c r="G1226" s="139"/>
      <c r="H1226" s="139"/>
      <c r="I1226" s="139"/>
      <c r="J1226" s="139"/>
      <c r="K1226" s="139"/>
      <c r="L1226" s="243"/>
      <c r="M1226" s="243"/>
      <c r="N1226" s="139"/>
      <c r="O1226" s="139"/>
      <c r="P1226" s="139"/>
      <c r="Q1226" s="147"/>
      <c r="R1226" s="139"/>
      <c r="S1226" s="139"/>
      <c r="T1226" s="139"/>
      <c r="U1226" s="139"/>
      <c r="V1226" s="139"/>
      <c r="W1226" s="139"/>
      <c r="X1226" s="146"/>
      <c r="Y1226" s="148"/>
      <c r="Z1226" s="145"/>
      <c r="AA1226" s="139"/>
      <c r="AB1226" s="149"/>
      <c r="AC1226" s="119"/>
      <c r="AD1226" s="139"/>
      <c r="AE1226" s="139"/>
      <c r="AF1226" s="139"/>
      <c r="AG1226" s="139"/>
      <c r="AH1226" s="139"/>
      <c r="AI1226" s="139"/>
      <c r="AJ1226" s="139"/>
      <c r="AK1226" s="139"/>
      <c r="AL1226" s="139"/>
      <c r="AM1226" s="139"/>
      <c r="AN1226" s="139"/>
      <c r="AO1226" s="139"/>
      <c r="AP1226" s="139"/>
      <c r="AQ1226" s="174"/>
      <c r="AR1226" s="222"/>
    </row>
    <row r="1227" spans="2:44" s="22" customFormat="1" ht="18" customHeight="1" x14ac:dyDescent="0.25">
      <c r="B1227" s="145"/>
      <c r="C1227" s="139"/>
      <c r="D1227" s="146"/>
      <c r="E1227" s="139"/>
      <c r="F1227" s="139"/>
      <c r="G1227" s="139"/>
      <c r="H1227" s="139"/>
      <c r="I1227" s="139"/>
      <c r="J1227" s="139"/>
      <c r="K1227" s="139"/>
      <c r="L1227" s="243"/>
      <c r="M1227" s="243"/>
      <c r="N1227" s="139"/>
      <c r="O1227" s="139"/>
      <c r="P1227" s="139"/>
      <c r="Q1227" s="147"/>
      <c r="R1227" s="139"/>
      <c r="S1227" s="139"/>
      <c r="T1227" s="139"/>
      <c r="U1227" s="139"/>
      <c r="V1227" s="139"/>
      <c r="W1227" s="139"/>
      <c r="X1227" s="146"/>
      <c r="Y1227" s="148"/>
      <c r="Z1227" s="145"/>
      <c r="AA1227" s="139"/>
      <c r="AB1227" s="149"/>
      <c r="AC1227" s="119"/>
      <c r="AD1227" s="139"/>
      <c r="AE1227" s="139"/>
      <c r="AF1227" s="139"/>
      <c r="AG1227" s="139"/>
      <c r="AH1227" s="139"/>
      <c r="AI1227" s="139"/>
      <c r="AJ1227" s="139"/>
      <c r="AK1227" s="139"/>
      <c r="AL1227" s="139"/>
      <c r="AM1227" s="139"/>
      <c r="AN1227" s="139"/>
      <c r="AO1227" s="139"/>
      <c r="AP1227" s="139"/>
      <c r="AQ1227" s="174"/>
      <c r="AR1227" s="222"/>
    </row>
    <row r="1228" spans="2:44" s="22" customFormat="1" ht="18" customHeight="1" x14ac:dyDescent="0.25">
      <c r="B1228" s="145"/>
      <c r="C1228" s="139"/>
      <c r="D1228" s="146"/>
      <c r="E1228" s="139"/>
      <c r="F1228" s="139"/>
      <c r="G1228" s="139"/>
      <c r="H1228" s="139"/>
      <c r="I1228" s="139"/>
      <c r="J1228" s="139"/>
      <c r="K1228" s="139"/>
      <c r="L1228" s="243"/>
      <c r="M1228" s="243"/>
      <c r="N1228" s="139"/>
      <c r="O1228" s="139"/>
      <c r="P1228" s="139"/>
      <c r="Q1228" s="147"/>
      <c r="R1228" s="139"/>
      <c r="S1228" s="139"/>
      <c r="T1228" s="139"/>
      <c r="U1228" s="139"/>
      <c r="V1228" s="139"/>
      <c r="W1228" s="139"/>
      <c r="X1228" s="146"/>
      <c r="Y1228" s="148"/>
      <c r="Z1228" s="145"/>
      <c r="AA1228" s="139"/>
      <c r="AB1228" s="149"/>
      <c r="AC1228" s="119"/>
      <c r="AD1228" s="139"/>
      <c r="AE1228" s="139"/>
      <c r="AF1228" s="139"/>
      <c r="AG1228" s="139"/>
      <c r="AH1228" s="139"/>
      <c r="AI1228" s="139"/>
      <c r="AJ1228" s="139"/>
      <c r="AK1228" s="139"/>
      <c r="AL1228" s="139"/>
      <c r="AM1228" s="139"/>
      <c r="AN1228" s="139"/>
      <c r="AO1228" s="139"/>
      <c r="AP1228" s="139"/>
      <c r="AQ1228" s="174"/>
      <c r="AR1228" s="222"/>
    </row>
    <row r="1229" spans="2:44" s="22" customFormat="1" ht="18" customHeight="1" x14ac:dyDescent="0.25">
      <c r="B1229" s="145"/>
      <c r="C1229" s="139"/>
      <c r="D1229" s="146"/>
      <c r="E1229" s="139"/>
      <c r="F1229" s="139"/>
      <c r="G1229" s="139"/>
      <c r="H1229" s="139"/>
      <c r="I1229" s="139"/>
      <c r="J1229" s="139"/>
      <c r="K1229" s="139"/>
      <c r="L1229" s="243"/>
      <c r="M1229" s="243"/>
      <c r="N1229" s="139"/>
      <c r="O1229" s="139"/>
      <c r="P1229" s="139"/>
      <c r="Q1229" s="147"/>
      <c r="R1229" s="139"/>
      <c r="S1229" s="139"/>
      <c r="T1229" s="139"/>
      <c r="U1229" s="139"/>
      <c r="V1229" s="139"/>
      <c r="W1229" s="139"/>
      <c r="X1229" s="146"/>
      <c r="Y1229" s="148"/>
      <c r="Z1229" s="145"/>
      <c r="AA1229" s="139"/>
      <c r="AB1229" s="149"/>
      <c r="AC1229" s="119"/>
      <c r="AD1229" s="139"/>
      <c r="AE1229" s="139"/>
      <c r="AF1229" s="139"/>
      <c r="AG1229" s="139"/>
      <c r="AH1229" s="139"/>
      <c r="AI1229" s="139"/>
      <c r="AJ1229" s="139"/>
      <c r="AK1229" s="139"/>
      <c r="AL1229" s="139"/>
      <c r="AM1229" s="139"/>
      <c r="AN1229" s="139"/>
      <c r="AO1229" s="139"/>
      <c r="AP1229" s="139"/>
      <c r="AQ1229" s="174"/>
      <c r="AR1229" s="222"/>
    </row>
    <row r="1230" spans="2:44" s="22" customFormat="1" ht="18" customHeight="1" x14ac:dyDescent="0.25">
      <c r="B1230" s="145"/>
      <c r="C1230" s="139"/>
      <c r="D1230" s="146"/>
      <c r="E1230" s="139"/>
      <c r="F1230" s="139"/>
      <c r="G1230" s="139"/>
      <c r="H1230" s="139"/>
      <c r="I1230" s="139"/>
      <c r="J1230" s="139"/>
      <c r="K1230" s="139"/>
      <c r="L1230" s="243"/>
      <c r="M1230" s="243"/>
      <c r="N1230" s="139"/>
      <c r="O1230" s="139"/>
      <c r="P1230" s="139"/>
      <c r="Q1230" s="147"/>
      <c r="R1230" s="139"/>
      <c r="S1230" s="139"/>
      <c r="T1230" s="139"/>
      <c r="U1230" s="139"/>
      <c r="V1230" s="139"/>
      <c r="W1230" s="139"/>
      <c r="X1230" s="146"/>
      <c r="Y1230" s="148"/>
      <c r="Z1230" s="145"/>
      <c r="AA1230" s="139"/>
      <c r="AB1230" s="149"/>
      <c r="AC1230" s="119"/>
      <c r="AD1230" s="139"/>
      <c r="AE1230" s="139"/>
      <c r="AF1230" s="139"/>
      <c r="AG1230" s="139"/>
      <c r="AH1230" s="139"/>
      <c r="AI1230" s="139"/>
      <c r="AJ1230" s="139"/>
      <c r="AK1230" s="139"/>
      <c r="AL1230" s="139"/>
      <c r="AM1230" s="139"/>
      <c r="AN1230" s="139"/>
      <c r="AO1230" s="139"/>
      <c r="AP1230" s="139"/>
      <c r="AQ1230" s="174"/>
      <c r="AR1230" s="222"/>
    </row>
    <row r="1231" spans="2:44" s="22" customFormat="1" ht="18" customHeight="1" x14ac:dyDescent="0.25">
      <c r="B1231" s="145"/>
      <c r="C1231" s="139"/>
      <c r="D1231" s="146"/>
      <c r="E1231" s="139"/>
      <c r="F1231" s="139"/>
      <c r="G1231" s="139"/>
      <c r="H1231" s="139"/>
      <c r="I1231" s="139"/>
      <c r="J1231" s="139"/>
      <c r="K1231" s="139"/>
      <c r="L1231" s="243"/>
      <c r="M1231" s="243"/>
      <c r="N1231" s="139"/>
      <c r="O1231" s="139"/>
      <c r="P1231" s="139"/>
      <c r="Q1231" s="147"/>
      <c r="R1231" s="139"/>
      <c r="S1231" s="139"/>
      <c r="T1231" s="139"/>
      <c r="U1231" s="139"/>
      <c r="V1231" s="139"/>
      <c r="W1231" s="139"/>
      <c r="X1231" s="146"/>
      <c r="Y1231" s="148"/>
      <c r="Z1231" s="145"/>
      <c r="AA1231" s="139"/>
      <c r="AB1231" s="149"/>
      <c r="AC1231" s="119"/>
      <c r="AD1231" s="139"/>
      <c r="AE1231" s="139"/>
      <c r="AF1231" s="139"/>
      <c r="AG1231" s="139"/>
      <c r="AH1231" s="139"/>
      <c r="AI1231" s="139"/>
      <c r="AJ1231" s="139"/>
      <c r="AK1231" s="139"/>
      <c r="AL1231" s="139"/>
      <c r="AM1231" s="139"/>
      <c r="AN1231" s="139"/>
      <c r="AO1231" s="139"/>
      <c r="AP1231" s="139"/>
      <c r="AQ1231" s="174"/>
      <c r="AR1231" s="222"/>
    </row>
    <row r="1232" spans="2:44" s="22" customFormat="1" ht="18" customHeight="1" x14ac:dyDescent="0.25">
      <c r="B1232" s="145"/>
      <c r="C1232" s="139"/>
      <c r="D1232" s="146"/>
      <c r="E1232" s="139"/>
      <c r="F1232" s="139"/>
      <c r="G1232" s="139"/>
      <c r="H1232" s="139"/>
      <c r="I1232" s="139"/>
      <c r="J1232" s="139"/>
      <c r="K1232" s="139"/>
      <c r="L1232" s="243"/>
      <c r="M1232" s="243"/>
      <c r="N1232" s="139"/>
      <c r="O1232" s="139"/>
      <c r="P1232" s="139"/>
      <c r="Q1232" s="147"/>
      <c r="R1232" s="139"/>
      <c r="S1232" s="139"/>
      <c r="T1232" s="139"/>
      <c r="U1232" s="139"/>
      <c r="V1232" s="139"/>
      <c r="W1232" s="139"/>
      <c r="X1232" s="146"/>
      <c r="Y1232" s="148"/>
      <c r="Z1232" s="145"/>
      <c r="AA1232" s="139"/>
      <c r="AB1232" s="149"/>
      <c r="AC1232" s="119"/>
      <c r="AD1232" s="139"/>
      <c r="AE1232" s="139"/>
      <c r="AF1232" s="139"/>
      <c r="AG1232" s="139"/>
      <c r="AH1232" s="139"/>
      <c r="AI1232" s="139"/>
      <c r="AJ1232" s="139"/>
      <c r="AK1232" s="139"/>
      <c r="AL1232" s="139"/>
      <c r="AM1232" s="139"/>
      <c r="AN1232" s="139"/>
      <c r="AO1232" s="139"/>
      <c r="AP1232" s="139"/>
      <c r="AQ1232" s="174"/>
      <c r="AR1232" s="222"/>
    </row>
    <row r="1233" spans="2:44" s="22" customFormat="1" ht="18" customHeight="1" x14ac:dyDescent="0.25">
      <c r="B1233" s="145"/>
      <c r="C1233" s="139"/>
      <c r="D1233" s="146"/>
      <c r="E1233" s="139"/>
      <c r="F1233" s="139"/>
      <c r="G1233" s="139"/>
      <c r="H1233" s="139"/>
      <c r="I1233" s="139"/>
      <c r="J1233" s="139"/>
      <c r="K1233" s="139"/>
      <c r="L1233" s="243"/>
      <c r="M1233" s="243"/>
      <c r="N1233" s="139"/>
      <c r="O1233" s="139"/>
      <c r="P1233" s="139"/>
      <c r="Q1233" s="147"/>
      <c r="R1233" s="139"/>
      <c r="S1233" s="139"/>
      <c r="T1233" s="139"/>
      <c r="U1233" s="139"/>
      <c r="V1233" s="139"/>
      <c r="W1233" s="139"/>
      <c r="X1233" s="146"/>
      <c r="Y1233" s="148"/>
      <c r="Z1233" s="145"/>
      <c r="AA1233" s="139"/>
      <c r="AB1233" s="149"/>
      <c r="AC1233" s="119"/>
      <c r="AD1233" s="139"/>
      <c r="AE1233" s="139"/>
      <c r="AF1233" s="139"/>
      <c r="AG1233" s="139"/>
      <c r="AH1233" s="139"/>
      <c r="AI1233" s="139"/>
      <c r="AJ1233" s="139"/>
      <c r="AK1233" s="139"/>
      <c r="AL1233" s="139"/>
      <c r="AM1233" s="139"/>
      <c r="AN1233" s="139"/>
      <c r="AO1233" s="139"/>
      <c r="AP1233" s="139"/>
      <c r="AQ1233" s="174"/>
      <c r="AR1233" s="222"/>
    </row>
    <row r="1234" spans="2:44" s="22" customFormat="1" ht="18" customHeight="1" x14ac:dyDescent="0.25">
      <c r="B1234" s="145"/>
      <c r="C1234" s="139"/>
      <c r="D1234" s="146"/>
      <c r="E1234" s="139"/>
      <c r="F1234" s="139"/>
      <c r="G1234" s="139"/>
      <c r="H1234" s="139"/>
      <c r="I1234" s="139"/>
      <c r="J1234" s="139"/>
      <c r="K1234" s="139"/>
      <c r="L1234" s="243"/>
      <c r="M1234" s="243"/>
      <c r="N1234" s="139"/>
      <c r="O1234" s="139"/>
      <c r="P1234" s="139"/>
      <c r="Q1234" s="147"/>
      <c r="R1234" s="139"/>
      <c r="S1234" s="139"/>
      <c r="T1234" s="139"/>
      <c r="U1234" s="139"/>
      <c r="V1234" s="139"/>
      <c r="W1234" s="139"/>
      <c r="X1234" s="146"/>
      <c r="Y1234" s="148"/>
      <c r="Z1234" s="145"/>
      <c r="AA1234" s="139"/>
      <c r="AB1234" s="149"/>
      <c r="AC1234" s="119"/>
      <c r="AD1234" s="139"/>
      <c r="AE1234" s="139"/>
      <c r="AF1234" s="139"/>
      <c r="AG1234" s="139"/>
      <c r="AH1234" s="139"/>
      <c r="AI1234" s="139"/>
      <c r="AJ1234" s="139"/>
      <c r="AK1234" s="139"/>
      <c r="AL1234" s="139"/>
      <c r="AM1234" s="139"/>
      <c r="AN1234" s="139"/>
      <c r="AO1234" s="139"/>
      <c r="AP1234" s="139"/>
      <c r="AQ1234" s="174"/>
      <c r="AR1234" s="222"/>
    </row>
    <row r="1235" spans="2:44" s="22" customFormat="1" ht="18" customHeight="1" x14ac:dyDescent="0.25">
      <c r="B1235" s="145"/>
      <c r="C1235" s="139"/>
      <c r="D1235" s="146"/>
      <c r="E1235" s="139"/>
      <c r="F1235" s="139"/>
      <c r="G1235" s="139"/>
      <c r="H1235" s="139"/>
      <c r="I1235" s="139"/>
      <c r="J1235" s="139"/>
      <c r="K1235" s="139"/>
      <c r="L1235" s="243"/>
      <c r="M1235" s="243"/>
      <c r="N1235" s="139"/>
      <c r="O1235" s="139"/>
      <c r="P1235" s="139"/>
      <c r="Q1235" s="147"/>
      <c r="R1235" s="139"/>
      <c r="S1235" s="139"/>
      <c r="T1235" s="139"/>
      <c r="U1235" s="139"/>
      <c r="V1235" s="139"/>
      <c r="W1235" s="139"/>
      <c r="X1235" s="146"/>
      <c r="Y1235" s="148"/>
      <c r="Z1235" s="145"/>
      <c r="AA1235" s="139"/>
      <c r="AB1235" s="149"/>
      <c r="AC1235" s="119"/>
      <c r="AD1235" s="139"/>
      <c r="AE1235" s="139"/>
      <c r="AF1235" s="139"/>
      <c r="AG1235" s="139"/>
      <c r="AH1235" s="139"/>
      <c r="AI1235" s="139"/>
      <c r="AJ1235" s="139"/>
      <c r="AK1235" s="139"/>
      <c r="AL1235" s="139"/>
      <c r="AM1235" s="139"/>
      <c r="AN1235" s="139"/>
      <c r="AO1235" s="139"/>
      <c r="AP1235" s="139"/>
      <c r="AQ1235" s="174"/>
      <c r="AR1235" s="222"/>
    </row>
    <row r="1236" spans="2:44" s="22" customFormat="1" ht="18" customHeight="1" x14ac:dyDescent="0.25">
      <c r="B1236" s="145"/>
      <c r="C1236" s="139"/>
      <c r="D1236" s="146"/>
      <c r="E1236" s="139"/>
      <c r="F1236" s="139"/>
      <c r="G1236" s="139"/>
      <c r="H1236" s="139"/>
      <c r="I1236" s="139"/>
      <c r="J1236" s="139"/>
      <c r="K1236" s="139"/>
      <c r="L1236" s="243"/>
      <c r="M1236" s="243"/>
      <c r="N1236" s="139"/>
      <c r="O1236" s="139"/>
      <c r="P1236" s="139"/>
      <c r="Q1236" s="147"/>
      <c r="R1236" s="139"/>
      <c r="S1236" s="139"/>
      <c r="T1236" s="139"/>
      <c r="U1236" s="139"/>
      <c r="V1236" s="139"/>
      <c r="W1236" s="139"/>
      <c r="X1236" s="146"/>
      <c r="Y1236" s="148"/>
      <c r="Z1236" s="145"/>
      <c r="AA1236" s="139"/>
      <c r="AB1236" s="149"/>
      <c r="AC1236" s="119"/>
      <c r="AD1236" s="139"/>
      <c r="AE1236" s="139"/>
      <c r="AF1236" s="139"/>
      <c r="AG1236" s="139"/>
      <c r="AH1236" s="139"/>
      <c r="AI1236" s="139"/>
      <c r="AJ1236" s="139"/>
      <c r="AK1236" s="139"/>
      <c r="AL1236" s="139"/>
      <c r="AM1236" s="139"/>
      <c r="AN1236" s="139"/>
      <c r="AO1236" s="139"/>
      <c r="AP1236" s="139"/>
      <c r="AQ1236" s="174"/>
      <c r="AR1236" s="222"/>
    </row>
    <row r="1237" spans="2:44" s="22" customFormat="1" ht="18" customHeight="1" x14ac:dyDescent="0.25">
      <c r="B1237" s="145"/>
      <c r="C1237" s="139"/>
      <c r="D1237" s="146"/>
      <c r="E1237" s="139"/>
      <c r="F1237" s="139"/>
      <c r="G1237" s="139"/>
      <c r="H1237" s="139"/>
      <c r="I1237" s="139"/>
      <c r="J1237" s="139"/>
      <c r="K1237" s="139"/>
      <c r="L1237" s="243"/>
      <c r="M1237" s="243"/>
      <c r="N1237" s="139"/>
      <c r="O1237" s="139"/>
      <c r="P1237" s="139"/>
      <c r="Q1237" s="147"/>
      <c r="R1237" s="139"/>
      <c r="S1237" s="139"/>
      <c r="T1237" s="139"/>
      <c r="U1237" s="139"/>
      <c r="V1237" s="139"/>
      <c r="W1237" s="139"/>
      <c r="X1237" s="146"/>
      <c r="Y1237" s="148"/>
      <c r="Z1237" s="145"/>
      <c r="AA1237" s="139"/>
      <c r="AB1237" s="149"/>
      <c r="AC1237" s="119"/>
      <c r="AD1237" s="139"/>
      <c r="AE1237" s="139"/>
      <c r="AF1237" s="139"/>
      <c r="AG1237" s="139"/>
      <c r="AH1237" s="139"/>
      <c r="AI1237" s="139"/>
      <c r="AJ1237" s="139"/>
      <c r="AK1237" s="139"/>
      <c r="AL1237" s="139"/>
      <c r="AM1237" s="139"/>
      <c r="AN1237" s="139"/>
      <c r="AO1237" s="139"/>
      <c r="AP1237" s="139"/>
      <c r="AQ1237" s="174"/>
      <c r="AR1237" s="222"/>
    </row>
    <row r="1239" spans="2:44" s="22" customFormat="1" ht="18" customHeight="1" x14ac:dyDescent="0.25">
      <c r="B1239" s="145"/>
      <c r="C1239" s="139"/>
      <c r="D1239" s="146"/>
      <c r="E1239" s="139"/>
      <c r="F1239" s="139"/>
      <c r="G1239" s="139"/>
      <c r="H1239" s="139"/>
      <c r="I1239" s="139"/>
      <c r="J1239" s="139"/>
      <c r="K1239" s="139"/>
      <c r="L1239" s="243"/>
      <c r="M1239" s="243"/>
      <c r="N1239" s="139"/>
      <c r="O1239" s="139"/>
      <c r="P1239" s="139"/>
      <c r="Q1239" s="147"/>
      <c r="R1239" s="139"/>
      <c r="S1239" s="139"/>
      <c r="T1239" s="139"/>
      <c r="U1239" s="139"/>
      <c r="V1239" s="139"/>
      <c r="W1239" s="139"/>
      <c r="X1239" s="146"/>
      <c r="Y1239" s="148"/>
      <c r="Z1239" s="145"/>
      <c r="AA1239" s="139"/>
      <c r="AB1239" s="149"/>
      <c r="AC1239" s="119"/>
      <c r="AD1239" s="139"/>
      <c r="AE1239" s="139"/>
      <c r="AF1239" s="139"/>
      <c r="AG1239" s="139"/>
      <c r="AH1239" s="139"/>
      <c r="AI1239" s="139"/>
      <c r="AJ1239" s="139"/>
      <c r="AK1239" s="139"/>
      <c r="AL1239" s="139"/>
      <c r="AM1239" s="139"/>
      <c r="AN1239" s="139"/>
      <c r="AO1239" s="139"/>
      <c r="AP1239" s="139"/>
      <c r="AQ1239" s="174"/>
      <c r="AR1239" s="222"/>
    </row>
    <row r="1240" spans="2:44" s="22" customFormat="1" ht="18" customHeight="1" x14ac:dyDescent="0.25">
      <c r="B1240" s="145"/>
      <c r="C1240" s="139"/>
      <c r="D1240" s="146"/>
      <c r="E1240" s="139"/>
      <c r="F1240" s="139"/>
      <c r="G1240" s="139"/>
      <c r="H1240" s="139"/>
      <c r="I1240" s="139"/>
      <c r="J1240" s="139"/>
      <c r="K1240" s="139"/>
      <c r="L1240" s="243"/>
      <c r="M1240" s="243"/>
      <c r="N1240" s="139"/>
      <c r="O1240" s="139"/>
      <c r="P1240" s="139"/>
      <c r="Q1240" s="147"/>
      <c r="R1240" s="139"/>
      <c r="S1240" s="139"/>
      <c r="T1240" s="139"/>
      <c r="U1240" s="139"/>
      <c r="V1240" s="139"/>
      <c r="W1240" s="139"/>
      <c r="X1240" s="146"/>
      <c r="Y1240" s="148"/>
      <c r="Z1240" s="145"/>
      <c r="AA1240" s="139"/>
      <c r="AB1240" s="149"/>
      <c r="AC1240" s="119"/>
      <c r="AD1240" s="139"/>
      <c r="AE1240" s="139"/>
      <c r="AF1240" s="139"/>
      <c r="AG1240" s="139"/>
      <c r="AH1240" s="139"/>
      <c r="AI1240" s="139"/>
      <c r="AJ1240" s="139"/>
      <c r="AK1240" s="139"/>
      <c r="AL1240" s="139"/>
      <c r="AM1240" s="139"/>
      <c r="AN1240" s="139"/>
      <c r="AO1240" s="139"/>
      <c r="AP1240" s="139"/>
      <c r="AQ1240" s="174"/>
      <c r="AR1240" s="222"/>
    </row>
    <row r="1241" spans="2:44" s="22" customFormat="1" ht="18" customHeight="1" x14ac:dyDescent="0.25">
      <c r="B1241" s="145"/>
      <c r="C1241" s="139"/>
      <c r="D1241" s="146"/>
      <c r="E1241" s="139"/>
      <c r="F1241" s="139"/>
      <c r="G1241" s="139"/>
      <c r="H1241" s="139"/>
      <c r="I1241" s="139"/>
      <c r="J1241" s="139"/>
      <c r="K1241" s="139"/>
      <c r="L1241" s="243"/>
      <c r="M1241" s="243"/>
      <c r="N1241" s="139"/>
      <c r="O1241" s="139"/>
      <c r="P1241" s="139"/>
      <c r="Q1241" s="147"/>
      <c r="R1241" s="139"/>
      <c r="S1241" s="139"/>
      <c r="T1241" s="139"/>
      <c r="U1241" s="139"/>
      <c r="V1241" s="139"/>
      <c r="W1241" s="139"/>
      <c r="X1241" s="146"/>
      <c r="Y1241" s="148"/>
      <c r="Z1241" s="145"/>
      <c r="AA1241" s="139"/>
      <c r="AB1241" s="149"/>
      <c r="AC1241" s="119"/>
      <c r="AD1241" s="139"/>
      <c r="AE1241" s="139"/>
      <c r="AF1241" s="139"/>
      <c r="AG1241" s="139"/>
      <c r="AH1241" s="139"/>
      <c r="AI1241" s="139"/>
      <c r="AJ1241" s="139"/>
      <c r="AK1241" s="139"/>
      <c r="AL1241" s="139"/>
      <c r="AM1241" s="139"/>
      <c r="AN1241" s="139"/>
      <c r="AO1241" s="139"/>
      <c r="AP1241" s="139"/>
      <c r="AQ1241" s="174"/>
      <c r="AR1241" s="222"/>
    </row>
    <row r="1242" spans="2:44" s="22" customFormat="1" ht="18" customHeight="1" x14ac:dyDescent="0.25">
      <c r="B1242" s="145"/>
      <c r="C1242" s="139"/>
      <c r="D1242" s="146"/>
      <c r="E1242" s="139"/>
      <c r="F1242" s="139"/>
      <c r="G1242" s="139"/>
      <c r="H1242" s="139"/>
      <c r="I1242" s="139"/>
      <c r="J1242" s="139"/>
      <c r="K1242" s="139"/>
      <c r="L1242" s="243"/>
      <c r="M1242" s="243"/>
      <c r="N1242" s="139"/>
      <c r="O1242" s="139"/>
      <c r="P1242" s="139"/>
      <c r="Q1242" s="147"/>
      <c r="R1242" s="139"/>
      <c r="S1242" s="139"/>
      <c r="T1242" s="139"/>
      <c r="U1242" s="139"/>
      <c r="V1242" s="139"/>
      <c r="W1242" s="139"/>
      <c r="X1242" s="146"/>
      <c r="Y1242" s="148"/>
      <c r="Z1242" s="145"/>
      <c r="AA1242" s="139"/>
      <c r="AB1242" s="149"/>
      <c r="AC1242" s="119"/>
      <c r="AD1242" s="139"/>
      <c r="AE1242" s="139"/>
      <c r="AF1242" s="139"/>
      <c r="AG1242" s="139"/>
      <c r="AH1242" s="139"/>
      <c r="AI1242" s="139"/>
      <c r="AJ1242" s="139"/>
      <c r="AK1242" s="139"/>
      <c r="AL1242" s="139"/>
      <c r="AM1242" s="139"/>
      <c r="AN1242" s="139"/>
      <c r="AO1242" s="139"/>
      <c r="AP1242" s="139"/>
      <c r="AQ1242" s="174"/>
      <c r="AR1242" s="222"/>
    </row>
    <row r="1243" spans="2:44" s="140" customFormat="1" ht="18" customHeight="1" x14ac:dyDescent="0.25">
      <c r="B1243" s="145"/>
      <c r="C1243" s="139"/>
      <c r="D1243" s="146"/>
      <c r="E1243" s="139"/>
      <c r="F1243" s="139"/>
      <c r="G1243" s="139"/>
      <c r="H1243" s="139"/>
      <c r="I1243" s="139"/>
      <c r="J1243" s="139"/>
      <c r="K1243" s="139"/>
      <c r="L1243" s="243"/>
      <c r="M1243" s="243"/>
      <c r="N1243" s="139"/>
      <c r="O1243" s="139"/>
      <c r="P1243" s="139"/>
      <c r="Q1243" s="147"/>
      <c r="R1243" s="139"/>
      <c r="S1243" s="139"/>
      <c r="T1243" s="139"/>
      <c r="U1243" s="139"/>
      <c r="V1243" s="139"/>
      <c r="W1243" s="139"/>
      <c r="X1243" s="146"/>
      <c r="Y1243" s="148"/>
      <c r="Z1243" s="145"/>
      <c r="AA1243" s="139"/>
      <c r="AB1243" s="149"/>
      <c r="AC1243" s="119"/>
      <c r="AD1243" s="139"/>
      <c r="AE1243" s="139"/>
      <c r="AF1243" s="139"/>
      <c r="AG1243" s="139"/>
      <c r="AH1243" s="139"/>
      <c r="AI1243" s="139"/>
      <c r="AJ1243" s="139"/>
      <c r="AK1243" s="139"/>
      <c r="AL1243" s="139"/>
      <c r="AM1243" s="139"/>
      <c r="AN1243" s="139"/>
      <c r="AO1243" s="139"/>
      <c r="AP1243" s="139"/>
      <c r="AQ1243" s="174"/>
      <c r="AR1243" s="222"/>
    </row>
    <row r="1244" spans="2:44" s="22" customFormat="1" ht="18" customHeight="1" x14ac:dyDescent="0.25">
      <c r="B1244" s="145"/>
      <c r="C1244" s="139"/>
      <c r="D1244" s="146"/>
      <c r="E1244" s="139"/>
      <c r="F1244" s="139"/>
      <c r="G1244" s="139"/>
      <c r="H1244" s="139"/>
      <c r="I1244" s="139"/>
      <c r="J1244" s="139"/>
      <c r="K1244" s="139"/>
      <c r="L1244" s="243"/>
      <c r="M1244" s="243"/>
      <c r="N1244" s="139"/>
      <c r="O1244" s="139"/>
      <c r="P1244" s="139"/>
      <c r="Q1244" s="147"/>
      <c r="R1244" s="139"/>
      <c r="S1244" s="139"/>
      <c r="T1244" s="139"/>
      <c r="U1244" s="139"/>
      <c r="V1244" s="139"/>
      <c r="W1244" s="139"/>
      <c r="X1244" s="146"/>
      <c r="Y1244" s="148"/>
      <c r="Z1244" s="145"/>
      <c r="AA1244" s="139"/>
      <c r="AB1244" s="149"/>
      <c r="AC1244" s="119"/>
      <c r="AD1244" s="139"/>
      <c r="AE1244" s="139"/>
      <c r="AF1244" s="139"/>
      <c r="AG1244" s="139"/>
      <c r="AH1244" s="139"/>
      <c r="AI1244" s="139"/>
      <c r="AJ1244" s="139"/>
      <c r="AK1244" s="139"/>
      <c r="AL1244" s="139"/>
      <c r="AM1244" s="139"/>
      <c r="AN1244" s="139"/>
      <c r="AO1244" s="139"/>
      <c r="AP1244" s="139"/>
      <c r="AQ1244" s="174"/>
      <c r="AR1244" s="222"/>
    </row>
    <row r="1245" spans="2:44" s="141" customFormat="1" ht="18" customHeight="1" x14ac:dyDescent="0.25">
      <c r="B1245" s="145"/>
      <c r="C1245" s="139"/>
      <c r="D1245" s="146"/>
      <c r="E1245" s="139"/>
      <c r="F1245" s="139"/>
      <c r="G1245" s="139"/>
      <c r="H1245" s="139"/>
      <c r="I1245" s="139"/>
      <c r="J1245" s="139"/>
      <c r="K1245" s="139"/>
      <c r="L1245" s="243"/>
      <c r="M1245" s="243"/>
      <c r="N1245" s="139"/>
      <c r="O1245" s="139"/>
      <c r="P1245" s="139"/>
      <c r="Q1245" s="147"/>
      <c r="R1245" s="139"/>
      <c r="S1245" s="139"/>
      <c r="T1245" s="139"/>
      <c r="U1245" s="139"/>
      <c r="V1245" s="139"/>
      <c r="W1245" s="139"/>
      <c r="X1245" s="146"/>
      <c r="Y1245" s="148"/>
      <c r="Z1245" s="145"/>
      <c r="AA1245" s="139"/>
      <c r="AB1245" s="149"/>
      <c r="AC1245" s="119"/>
      <c r="AD1245" s="139"/>
      <c r="AE1245" s="139"/>
      <c r="AF1245" s="139"/>
      <c r="AG1245" s="139"/>
      <c r="AH1245" s="139"/>
      <c r="AI1245" s="139"/>
      <c r="AJ1245" s="139"/>
      <c r="AK1245" s="139"/>
      <c r="AL1245" s="139"/>
      <c r="AM1245" s="139"/>
      <c r="AN1245" s="139"/>
      <c r="AO1245" s="139"/>
      <c r="AP1245" s="139"/>
      <c r="AQ1245" s="174"/>
      <c r="AR1245" s="222"/>
    </row>
    <row r="1246" spans="2:44" s="140" customFormat="1" ht="18" customHeight="1" x14ac:dyDescent="0.25">
      <c r="B1246" s="145"/>
      <c r="C1246" s="139"/>
      <c r="D1246" s="146"/>
      <c r="E1246" s="139"/>
      <c r="F1246" s="139"/>
      <c r="G1246" s="139"/>
      <c r="H1246" s="139"/>
      <c r="I1246" s="139"/>
      <c r="J1246" s="139"/>
      <c r="K1246" s="139"/>
      <c r="L1246" s="243"/>
      <c r="M1246" s="243"/>
      <c r="N1246" s="139"/>
      <c r="O1246" s="139"/>
      <c r="P1246" s="139"/>
      <c r="Q1246" s="147"/>
      <c r="R1246" s="139"/>
      <c r="S1246" s="139"/>
      <c r="T1246" s="139"/>
      <c r="U1246" s="139"/>
      <c r="V1246" s="139"/>
      <c r="W1246" s="139"/>
      <c r="X1246" s="146"/>
      <c r="Y1246" s="148"/>
      <c r="Z1246" s="145"/>
      <c r="AA1246" s="139"/>
      <c r="AB1246" s="149"/>
      <c r="AC1246" s="119"/>
      <c r="AD1246" s="139"/>
      <c r="AE1246" s="139"/>
      <c r="AF1246" s="139"/>
      <c r="AG1246" s="139"/>
      <c r="AH1246" s="139"/>
      <c r="AI1246" s="139"/>
      <c r="AJ1246" s="139"/>
      <c r="AK1246" s="139"/>
      <c r="AL1246" s="139"/>
      <c r="AM1246" s="139"/>
      <c r="AN1246" s="139"/>
      <c r="AO1246" s="139"/>
      <c r="AP1246" s="139"/>
      <c r="AQ1246" s="174"/>
      <c r="AR1246" s="222"/>
    </row>
    <row r="1247" spans="2:44" s="140" customFormat="1" ht="18" customHeight="1" x14ac:dyDescent="0.25">
      <c r="B1247" s="145"/>
      <c r="C1247" s="139"/>
      <c r="D1247" s="146"/>
      <c r="E1247" s="139"/>
      <c r="F1247" s="139"/>
      <c r="G1247" s="139"/>
      <c r="H1247" s="139"/>
      <c r="I1247" s="139"/>
      <c r="J1247" s="139"/>
      <c r="K1247" s="139"/>
      <c r="L1247" s="243"/>
      <c r="M1247" s="243"/>
      <c r="N1247" s="139"/>
      <c r="O1247" s="139"/>
      <c r="P1247" s="139"/>
      <c r="Q1247" s="147"/>
      <c r="R1247" s="139"/>
      <c r="S1247" s="139"/>
      <c r="T1247" s="139"/>
      <c r="U1247" s="139"/>
      <c r="V1247" s="139"/>
      <c r="W1247" s="139"/>
      <c r="X1247" s="146"/>
      <c r="Y1247" s="148"/>
      <c r="Z1247" s="145"/>
      <c r="AA1247" s="139"/>
      <c r="AB1247" s="149"/>
      <c r="AC1247" s="119"/>
      <c r="AD1247" s="139"/>
      <c r="AE1247" s="139"/>
      <c r="AF1247" s="139"/>
      <c r="AG1247" s="139"/>
      <c r="AH1247" s="139"/>
      <c r="AI1247" s="139"/>
      <c r="AJ1247" s="139"/>
      <c r="AK1247" s="139"/>
      <c r="AL1247" s="139"/>
      <c r="AM1247" s="139"/>
      <c r="AN1247" s="139"/>
      <c r="AO1247" s="139"/>
      <c r="AP1247" s="139"/>
      <c r="AQ1247" s="174"/>
      <c r="AR1247" s="222"/>
    </row>
    <row r="1248" spans="2:44" s="140" customFormat="1" ht="18" customHeight="1" x14ac:dyDescent="0.25">
      <c r="B1248" s="145"/>
      <c r="C1248" s="139"/>
      <c r="D1248" s="146"/>
      <c r="E1248" s="139"/>
      <c r="F1248" s="139"/>
      <c r="G1248" s="139"/>
      <c r="H1248" s="139"/>
      <c r="I1248" s="139"/>
      <c r="J1248" s="139"/>
      <c r="K1248" s="139"/>
      <c r="L1248" s="243"/>
      <c r="M1248" s="243"/>
      <c r="N1248" s="139"/>
      <c r="O1248" s="139"/>
      <c r="P1248" s="139"/>
      <c r="Q1248" s="147"/>
      <c r="R1248" s="139"/>
      <c r="S1248" s="139"/>
      <c r="T1248" s="139"/>
      <c r="U1248" s="139"/>
      <c r="V1248" s="139"/>
      <c r="W1248" s="139"/>
      <c r="X1248" s="146"/>
      <c r="Y1248" s="148"/>
      <c r="Z1248" s="145"/>
      <c r="AA1248" s="139"/>
      <c r="AB1248" s="149"/>
      <c r="AC1248" s="119"/>
      <c r="AD1248" s="139"/>
      <c r="AE1248" s="139"/>
      <c r="AF1248" s="139"/>
      <c r="AG1248" s="139"/>
      <c r="AH1248" s="139"/>
      <c r="AI1248" s="139"/>
      <c r="AJ1248" s="139"/>
      <c r="AK1248" s="139"/>
      <c r="AL1248" s="139"/>
      <c r="AM1248" s="139"/>
      <c r="AN1248" s="139"/>
      <c r="AO1248" s="139"/>
      <c r="AP1248" s="139"/>
      <c r="AQ1248" s="174"/>
      <c r="AR1248" s="222"/>
    </row>
    <row r="1249" spans="2:44" s="22" customFormat="1" ht="18" customHeight="1" x14ac:dyDescent="0.25">
      <c r="B1249" s="145"/>
      <c r="C1249" s="139"/>
      <c r="D1249" s="146"/>
      <c r="E1249" s="139"/>
      <c r="F1249" s="139"/>
      <c r="G1249" s="139"/>
      <c r="H1249" s="139"/>
      <c r="I1249" s="139"/>
      <c r="J1249" s="139"/>
      <c r="K1249" s="139"/>
      <c r="L1249" s="243"/>
      <c r="M1249" s="243"/>
      <c r="N1249" s="139"/>
      <c r="O1249" s="139"/>
      <c r="P1249" s="139"/>
      <c r="Q1249" s="147"/>
      <c r="R1249" s="139"/>
      <c r="S1249" s="139"/>
      <c r="T1249" s="139"/>
      <c r="U1249" s="139"/>
      <c r="V1249" s="139"/>
      <c r="W1249" s="139"/>
      <c r="X1249" s="146"/>
      <c r="Y1249" s="148"/>
      <c r="Z1249" s="145"/>
      <c r="AA1249" s="139"/>
      <c r="AB1249" s="149"/>
      <c r="AC1249" s="119"/>
      <c r="AD1249" s="139"/>
      <c r="AE1249" s="139"/>
      <c r="AF1249" s="139"/>
      <c r="AG1249" s="139"/>
      <c r="AH1249" s="139"/>
      <c r="AI1249" s="139"/>
      <c r="AJ1249" s="139"/>
      <c r="AK1249" s="139"/>
      <c r="AL1249" s="139"/>
      <c r="AM1249" s="139"/>
      <c r="AN1249" s="139"/>
      <c r="AO1249" s="139"/>
      <c r="AP1249" s="139"/>
      <c r="AQ1249" s="174"/>
      <c r="AR1249" s="222"/>
    </row>
    <row r="1250" spans="2:44" s="22" customFormat="1" ht="18" customHeight="1" x14ac:dyDescent="0.25">
      <c r="B1250" s="145"/>
      <c r="C1250" s="139"/>
      <c r="D1250" s="146"/>
      <c r="E1250" s="139"/>
      <c r="F1250" s="139"/>
      <c r="G1250" s="139"/>
      <c r="H1250" s="139"/>
      <c r="I1250" s="139"/>
      <c r="J1250" s="139"/>
      <c r="K1250" s="139"/>
      <c r="L1250" s="243"/>
      <c r="M1250" s="243"/>
      <c r="N1250" s="139"/>
      <c r="O1250" s="139"/>
      <c r="P1250" s="139"/>
      <c r="Q1250" s="147"/>
      <c r="R1250" s="139"/>
      <c r="S1250" s="139"/>
      <c r="T1250" s="139"/>
      <c r="U1250" s="139"/>
      <c r="V1250" s="139"/>
      <c r="W1250" s="139"/>
      <c r="X1250" s="146"/>
      <c r="Y1250" s="148"/>
      <c r="Z1250" s="145"/>
      <c r="AA1250" s="139"/>
      <c r="AB1250" s="149"/>
      <c r="AC1250" s="119"/>
      <c r="AD1250" s="139"/>
      <c r="AE1250" s="139"/>
      <c r="AF1250" s="139"/>
      <c r="AG1250" s="139"/>
      <c r="AH1250" s="139"/>
      <c r="AI1250" s="139"/>
      <c r="AJ1250" s="139"/>
      <c r="AK1250" s="139"/>
      <c r="AL1250" s="139"/>
      <c r="AM1250" s="139"/>
      <c r="AN1250" s="139"/>
      <c r="AO1250" s="139"/>
      <c r="AP1250" s="139"/>
      <c r="AQ1250" s="174"/>
      <c r="AR1250" s="222"/>
    </row>
    <row r="1251" spans="2:44" s="22" customFormat="1" ht="18" customHeight="1" x14ac:dyDescent="0.25">
      <c r="B1251" s="145"/>
      <c r="C1251" s="139"/>
      <c r="D1251" s="146"/>
      <c r="E1251" s="139"/>
      <c r="F1251" s="139"/>
      <c r="G1251" s="139"/>
      <c r="H1251" s="139"/>
      <c r="I1251" s="139"/>
      <c r="J1251" s="139"/>
      <c r="K1251" s="139"/>
      <c r="L1251" s="243"/>
      <c r="M1251" s="243"/>
      <c r="N1251" s="139"/>
      <c r="O1251" s="139"/>
      <c r="P1251" s="139"/>
      <c r="Q1251" s="147"/>
      <c r="R1251" s="139"/>
      <c r="S1251" s="139"/>
      <c r="T1251" s="139"/>
      <c r="U1251" s="139"/>
      <c r="V1251" s="139"/>
      <c r="W1251" s="139"/>
      <c r="X1251" s="146"/>
      <c r="Y1251" s="148"/>
      <c r="Z1251" s="145"/>
      <c r="AA1251" s="139"/>
      <c r="AB1251" s="149"/>
      <c r="AC1251" s="119"/>
      <c r="AD1251" s="139"/>
      <c r="AE1251" s="139"/>
      <c r="AF1251" s="139"/>
      <c r="AG1251" s="139"/>
      <c r="AH1251" s="139"/>
      <c r="AI1251" s="139"/>
      <c r="AJ1251" s="139"/>
      <c r="AK1251" s="139"/>
      <c r="AL1251" s="139"/>
      <c r="AM1251" s="139"/>
      <c r="AN1251" s="139"/>
      <c r="AO1251" s="139"/>
      <c r="AP1251" s="139"/>
      <c r="AQ1251" s="174"/>
      <c r="AR1251" s="222"/>
    </row>
    <row r="1252" spans="2:44" s="22" customFormat="1" ht="18" customHeight="1" x14ac:dyDescent="0.25">
      <c r="B1252" s="145"/>
      <c r="C1252" s="139"/>
      <c r="D1252" s="146"/>
      <c r="E1252" s="139"/>
      <c r="F1252" s="139"/>
      <c r="G1252" s="139"/>
      <c r="H1252" s="139"/>
      <c r="I1252" s="139"/>
      <c r="J1252" s="139"/>
      <c r="K1252" s="139"/>
      <c r="L1252" s="243"/>
      <c r="M1252" s="243"/>
      <c r="N1252" s="139"/>
      <c r="O1252" s="139"/>
      <c r="P1252" s="139"/>
      <c r="Q1252" s="147"/>
      <c r="R1252" s="139"/>
      <c r="S1252" s="139"/>
      <c r="T1252" s="139"/>
      <c r="U1252" s="139"/>
      <c r="V1252" s="139"/>
      <c r="W1252" s="139"/>
      <c r="X1252" s="146"/>
      <c r="Y1252" s="148"/>
      <c r="Z1252" s="145"/>
      <c r="AA1252" s="139"/>
      <c r="AB1252" s="149"/>
      <c r="AC1252" s="119"/>
      <c r="AD1252" s="139"/>
      <c r="AE1252" s="139"/>
      <c r="AF1252" s="139"/>
      <c r="AG1252" s="139"/>
      <c r="AH1252" s="139"/>
      <c r="AI1252" s="139"/>
      <c r="AJ1252" s="139"/>
      <c r="AK1252" s="139"/>
      <c r="AL1252" s="139"/>
      <c r="AM1252" s="139"/>
      <c r="AN1252" s="139"/>
      <c r="AO1252" s="139"/>
      <c r="AP1252" s="139"/>
      <c r="AQ1252" s="174"/>
      <c r="AR1252" s="222"/>
    </row>
    <row r="1253" spans="2:44" s="22" customFormat="1" ht="18" customHeight="1" x14ac:dyDescent="0.25">
      <c r="B1253" s="145"/>
      <c r="C1253" s="139"/>
      <c r="D1253" s="146"/>
      <c r="E1253" s="139"/>
      <c r="F1253" s="139"/>
      <c r="G1253" s="139"/>
      <c r="H1253" s="139"/>
      <c r="I1253" s="139"/>
      <c r="J1253" s="139"/>
      <c r="K1253" s="139"/>
      <c r="L1253" s="243"/>
      <c r="M1253" s="243"/>
      <c r="N1253" s="139"/>
      <c r="O1253" s="139"/>
      <c r="P1253" s="139"/>
      <c r="Q1253" s="147"/>
      <c r="R1253" s="139"/>
      <c r="S1253" s="139"/>
      <c r="T1253" s="139"/>
      <c r="U1253" s="139"/>
      <c r="V1253" s="139"/>
      <c r="W1253" s="139"/>
      <c r="X1253" s="146"/>
      <c r="Y1253" s="148"/>
      <c r="Z1253" s="145"/>
      <c r="AA1253" s="139"/>
      <c r="AB1253" s="149"/>
      <c r="AC1253" s="119"/>
      <c r="AD1253" s="139"/>
      <c r="AE1253" s="139"/>
      <c r="AF1253" s="139"/>
      <c r="AG1253" s="139"/>
      <c r="AH1253" s="139"/>
      <c r="AI1253" s="139"/>
      <c r="AJ1253" s="139"/>
      <c r="AK1253" s="139"/>
      <c r="AL1253" s="139"/>
      <c r="AM1253" s="139"/>
      <c r="AN1253" s="139"/>
      <c r="AO1253" s="139"/>
      <c r="AP1253" s="139"/>
      <c r="AQ1253" s="174"/>
      <c r="AR1253" s="222"/>
    </row>
    <row r="1254" spans="2:44" s="22" customFormat="1" ht="18" customHeight="1" x14ac:dyDescent="0.25">
      <c r="B1254" s="145"/>
      <c r="C1254" s="139"/>
      <c r="D1254" s="146"/>
      <c r="E1254" s="139"/>
      <c r="F1254" s="139"/>
      <c r="G1254" s="139"/>
      <c r="H1254" s="139"/>
      <c r="I1254" s="139"/>
      <c r="J1254" s="139"/>
      <c r="K1254" s="139"/>
      <c r="L1254" s="243"/>
      <c r="M1254" s="243"/>
      <c r="N1254" s="139"/>
      <c r="O1254" s="139"/>
      <c r="P1254" s="139"/>
      <c r="Q1254" s="147"/>
      <c r="R1254" s="139"/>
      <c r="S1254" s="139"/>
      <c r="T1254" s="139"/>
      <c r="U1254" s="139"/>
      <c r="V1254" s="139"/>
      <c r="W1254" s="139"/>
      <c r="X1254" s="146"/>
      <c r="Y1254" s="148"/>
      <c r="Z1254" s="145"/>
      <c r="AA1254" s="139"/>
      <c r="AB1254" s="149"/>
      <c r="AC1254" s="119"/>
      <c r="AD1254" s="139"/>
      <c r="AE1254" s="139"/>
      <c r="AF1254" s="139"/>
      <c r="AG1254" s="139"/>
      <c r="AH1254" s="139"/>
      <c r="AI1254" s="139"/>
      <c r="AJ1254" s="139"/>
      <c r="AK1254" s="139"/>
      <c r="AL1254" s="139"/>
      <c r="AM1254" s="139"/>
      <c r="AN1254" s="139"/>
      <c r="AO1254" s="139"/>
      <c r="AP1254" s="139"/>
      <c r="AQ1254" s="174"/>
      <c r="AR1254" s="222"/>
    </row>
    <row r="1255" spans="2:44" s="22" customFormat="1" ht="18" customHeight="1" x14ac:dyDescent="0.25">
      <c r="B1255" s="145"/>
      <c r="C1255" s="139"/>
      <c r="D1255" s="146"/>
      <c r="E1255" s="139"/>
      <c r="F1255" s="139"/>
      <c r="G1255" s="139"/>
      <c r="H1255" s="139"/>
      <c r="I1255" s="139"/>
      <c r="J1255" s="139"/>
      <c r="K1255" s="139"/>
      <c r="L1255" s="243"/>
      <c r="M1255" s="243"/>
      <c r="N1255" s="139"/>
      <c r="O1255" s="139"/>
      <c r="P1255" s="139"/>
      <c r="Q1255" s="147"/>
      <c r="R1255" s="139"/>
      <c r="S1255" s="139"/>
      <c r="T1255" s="139"/>
      <c r="U1255" s="139"/>
      <c r="V1255" s="139"/>
      <c r="W1255" s="139"/>
      <c r="X1255" s="146"/>
      <c r="Y1255" s="148"/>
      <c r="Z1255" s="145"/>
      <c r="AA1255" s="139"/>
      <c r="AB1255" s="149"/>
      <c r="AC1255" s="119"/>
      <c r="AD1255" s="139"/>
      <c r="AE1255" s="139"/>
      <c r="AF1255" s="139"/>
      <c r="AG1255" s="139"/>
      <c r="AH1255" s="139"/>
      <c r="AI1255" s="139"/>
      <c r="AJ1255" s="139"/>
      <c r="AK1255" s="139"/>
      <c r="AL1255" s="139"/>
      <c r="AM1255" s="139"/>
      <c r="AN1255" s="139"/>
      <c r="AO1255" s="139"/>
      <c r="AP1255" s="139"/>
      <c r="AQ1255" s="174"/>
      <c r="AR1255" s="222"/>
    </row>
    <row r="1256" spans="2:44" s="22" customFormat="1" ht="18" customHeight="1" x14ac:dyDescent="0.25">
      <c r="B1256" s="145"/>
      <c r="C1256" s="139"/>
      <c r="D1256" s="146"/>
      <c r="E1256" s="139"/>
      <c r="F1256" s="139"/>
      <c r="G1256" s="139"/>
      <c r="H1256" s="139"/>
      <c r="I1256" s="139"/>
      <c r="J1256" s="139"/>
      <c r="K1256" s="139"/>
      <c r="L1256" s="243"/>
      <c r="M1256" s="243"/>
      <c r="N1256" s="139"/>
      <c r="O1256" s="139"/>
      <c r="P1256" s="139"/>
      <c r="Q1256" s="147"/>
      <c r="R1256" s="139"/>
      <c r="S1256" s="139"/>
      <c r="T1256" s="139"/>
      <c r="U1256" s="139"/>
      <c r="V1256" s="139"/>
      <c r="W1256" s="139"/>
      <c r="X1256" s="146"/>
      <c r="Y1256" s="148"/>
      <c r="Z1256" s="145"/>
      <c r="AA1256" s="139"/>
      <c r="AB1256" s="149"/>
      <c r="AC1256" s="119"/>
      <c r="AD1256" s="139"/>
      <c r="AE1256" s="139"/>
      <c r="AF1256" s="139"/>
      <c r="AG1256" s="139"/>
      <c r="AH1256" s="139"/>
      <c r="AI1256" s="139"/>
      <c r="AJ1256" s="139"/>
      <c r="AK1256" s="139"/>
      <c r="AL1256" s="139"/>
      <c r="AM1256" s="139"/>
      <c r="AN1256" s="139"/>
      <c r="AO1256" s="139"/>
      <c r="AP1256" s="139"/>
      <c r="AQ1256" s="174"/>
      <c r="AR1256" s="222"/>
    </row>
    <row r="1257" spans="2:44" s="22" customFormat="1" ht="18" customHeight="1" x14ac:dyDescent="0.25">
      <c r="B1257" s="145"/>
      <c r="C1257" s="139"/>
      <c r="D1257" s="146"/>
      <c r="E1257" s="139"/>
      <c r="F1257" s="139"/>
      <c r="G1257" s="139"/>
      <c r="H1257" s="139"/>
      <c r="I1257" s="139"/>
      <c r="J1257" s="139"/>
      <c r="K1257" s="139"/>
      <c r="L1257" s="243"/>
      <c r="M1257" s="243"/>
      <c r="N1257" s="139"/>
      <c r="O1257" s="139"/>
      <c r="P1257" s="139"/>
      <c r="Q1257" s="147"/>
      <c r="R1257" s="139"/>
      <c r="S1257" s="139"/>
      <c r="T1257" s="139"/>
      <c r="U1257" s="139"/>
      <c r="V1257" s="139"/>
      <c r="W1257" s="139"/>
      <c r="X1257" s="146"/>
      <c r="Y1257" s="148"/>
      <c r="Z1257" s="145"/>
      <c r="AA1257" s="139"/>
      <c r="AB1257" s="149"/>
      <c r="AC1257" s="119"/>
      <c r="AD1257" s="139"/>
      <c r="AE1257" s="139"/>
      <c r="AF1257" s="139"/>
      <c r="AG1257" s="139"/>
      <c r="AH1257" s="139"/>
      <c r="AI1257" s="139"/>
      <c r="AJ1257" s="139"/>
      <c r="AK1257" s="139"/>
      <c r="AL1257" s="139"/>
      <c r="AM1257" s="139"/>
      <c r="AN1257" s="139"/>
      <c r="AO1257" s="139"/>
      <c r="AP1257" s="139"/>
      <c r="AQ1257" s="174"/>
      <c r="AR1257" s="222"/>
    </row>
    <row r="1258" spans="2:44" s="22" customFormat="1" ht="18" customHeight="1" x14ac:dyDescent="0.25">
      <c r="B1258" s="145"/>
      <c r="C1258" s="139"/>
      <c r="D1258" s="146"/>
      <c r="E1258" s="139"/>
      <c r="F1258" s="139"/>
      <c r="G1258" s="139"/>
      <c r="H1258" s="139"/>
      <c r="I1258" s="139"/>
      <c r="J1258" s="139"/>
      <c r="K1258" s="139"/>
      <c r="L1258" s="243"/>
      <c r="M1258" s="243"/>
      <c r="N1258" s="139"/>
      <c r="O1258" s="139"/>
      <c r="P1258" s="139"/>
      <c r="Q1258" s="147"/>
      <c r="R1258" s="139"/>
      <c r="S1258" s="139"/>
      <c r="T1258" s="139"/>
      <c r="U1258" s="139"/>
      <c r="V1258" s="139"/>
      <c r="W1258" s="139"/>
      <c r="X1258" s="146"/>
      <c r="Y1258" s="148"/>
      <c r="Z1258" s="145"/>
      <c r="AA1258" s="139"/>
      <c r="AB1258" s="149"/>
      <c r="AC1258" s="119"/>
      <c r="AD1258" s="139"/>
      <c r="AE1258" s="139"/>
      <c r="AF1258" s="139"/>
      <c r="AG1258" s="139"/>
      <c r="AH1258" s="139"/>
      <c r="AI1258" s="139"/>
      <c r="AJ1258" s="139"/>
      <c r="AK1258" s="139"/>
      <c r="AL1258" s="139"/>
      <c r="AM1258" s="139"/>
      <c r="AN1258" s="139"/>
      <c r="AO1258" s="139"/>
      <c r="AP1258" s="139"/>
      <c r="AQ1258" s="174"/>
      <c r="AR1258" s="222"/>
    </row>
    <row r="1259" spans="2:44" s="22" customFormat="1" ht="18" customHeight="1" x14ac:dyDescent="0.25">
      <c r="B1259" s="145"/>
      <c r="C1259" s="139"/>
      <c r="D1259" s="146"/>
      <c r="E1259" s="139"/>
      <c r="F1259" s="139"/>
      <c r="G1259" s="139"/>
      <c r="H1259" s="139"/>
      <c r="I1259" s="139"/>
      <c r="J1259" s="139"/>
      <c r="K1259" s="139"/>
      <c r="L1259" s="243"/>
      <c r="M1259" s="243"/>
      <c r="N1259" s="139"/>
      <c r="O1259" s="139"/>
      <c r="P1259" s="139"/>
      <c r="Q1259" s="147"/>
      <c r="R1259" s="139"/>
      <c r="S1259" s="139"/>
      <c r="T1259" s="139"/>
      <c r="U1259" s="139"/>
      <c r="V1259" s="139"/>
      <c r="W1259" s="139"/>
      <c r="X1259" s="146"/>
      <c r="Y1259" s="148"/>
      <c r="Z1259" s="145"/>
      <c r="AA1259" s="139"/>
      <c r="AB1259" s="149"/>
      <c r="AC1259" s="119"/>
      <c r="AD1259" s="139"/>
      <c r="AE1259" s="139"/>
      <c r="AF1259" s="139"/>
      <c r="AG1259" s="139"/>
      <c r="AH1259" s="139"/>
      <c r="AI1259" s="139"/>
      <c r="AJ1259" s="139"/>
      <c r="AK1259" s="139"/>
      <c r="AL1259" s="139"/>
      <c r="AM1259" s="139"/>
      <c r="AN1259" s="139"/>
      <c r="AO1259" s="139"/>
      <c r="AP1259" s="139"/>
      <c r="AQ1259" s="174"/>
      <c r="AR1259" s="222"/>
    </row>
    <row r="1260" spans="2:44" s="22" customFormat="1" ht="18" customHeight="1" x14ac:dyDescent="0.25">
      <c r="B1260" s="145"/>
      <c r="C1260" s="139"/>
      <c r="D1260" s="146"/>
      <c r="E1260" s="139"/>
      <c r="F1260" s="139"/>
      <c r="G1260" s="139"/>
      <c r="H1260" s="139"/>
      <c r="I1260" s="139"/>
      <c r="J1260" s="139"/>
      <c r="K1260" s="139"/>
      <c r="L1260" s="243"/>
      <c r="M1260" s="243"/>
      <c r="N1260" s="139"/>
      <c r="O1260" s="139"/>
      <c r="P1260" s="139"/>
      <c r="Q1260" s="147"/>
      <c r="R1260" s="139"/>
      <c r="S1260" s="139"/>
      <c r="T1260" s="139"/>
      <c r="U1260" s="139"/>
      <c r="V1260" s="139"/>
      <c r="W1260" s="139"/>
      <c r="X1260" s="146"/>
      <c r="Y1260" s="148"/>
      <c r="Z1260" s="145"/>
      <c r="AA1260" s="139"/>
      <c r="AB1260" s="149"/>
      <c r="AC1260" s="119"/>
      <c r="AD1260" s="139"/>
      <c r="AE1260" s="139"/>
      <c r="AF1260" s="139"/>
      <c r="AG1260" s="139"/>
      <c r="AH1260" s="139"/>
      <c r="AI1260" s="139"/>
      <c r="AJ1260" s="139"/>
      <c r="AK1260" s="139"/>
      <c r="AL1260" s="139"/>
      <c r="AM1260" s="139"/>
      <c r="AN1260" s="139"/>
      <c r="AO1260" s="139"/>
      <c r="AP1260" s="139"/>
      <c r="AQ1260" s="174"/>
      <c r="AR1260" s="222"/>
    </row>
    <row r="1261" spans="2:44" s="22" customFormat="1" ht="18" customHeight="1" x14ac:dyDescent="0.25">
      <c r="B1261" s="145"/>
      <c r="C1261" s="139"/>
      <c r="D1261" s="146"/>
      <c r="E1261" s="139"/>
      <c r="F1261" s="139"/>
      <c r="G1261" s="139"/>
      <c r="H1261" s="139"/>
      <c r="I1261" s="139"/>
      <c r="J1261" s="139"/>
      <c r="K1261" s="139"/>
      <c r="L1261" s="243"/>
      <c r="M1261" s="243"/>
      <c r="N1261" s="139"/>
      <c r="O1261" s="139"/>
      <c r="P1261" s="139"/>
      <c r="Q1261" s="147"/>
      <c r="R1261" s="139"/>
      <c r="S1261" s="139"/>
      <c r="T1261" s="139"/>
      <c r="U1261" s="139"/>
      <c r="V1261" s="139"/>
      <c r="W1261" s="139"/>
      <c r="X1261" s="146"/>
      <c r="Y1261" s="148"/>
      <c r="Z1261" s="145"/>
      <c r="AA1261" s="139"/>
      <c r="AB1261" s="149"/>
      <c r="AC1261" s="119"/>
      <c r="AD1261" s="139"/>
      <c r="AE1261" s="139"/>
      <c r="AF1261" s="139"/>
      <c r="AG1261" s="139"/>
      <c r="AH1261" s="139"/>
      <c r="AI1261" s="139"/>
      <c r="AJ1261" s="139"/>
      <c r="AK1261" s="139"/>
      <c r="AL1261" s="139"/>
      <c r="AM1261" s="139"/>
      <c r="AN1261" s="139"/>
      <c r="AO1261" s="139"/>
      <c r="AP1261" s="139"/>
      <c r="AQ1261" s="174"/>
      <c r="AR1261" s="222"/>
    </row>
    <row r="1262" spans="2:44" s="22" customFormat="1" ht="18" customHeight="1" x14ac:dyDescent="0.25">
      <c r="B1262" s="145"/>
      <c r="C1262" s="139"/>
      <c r="D1262" s="146"/>
      <c r="E1262" s="139"/>
      <c r="F1262" s="139"/>
      <c r="G1262" s="139"/>
      <c r="H1262" s="139"/>
      <c r="I1262" s="139"/>
      <c r="J1262" s="139"/>
      <c r="K1262" s="139"/>
      <c r="L1262" s="243"/>
      <c r="M1262" s="243"/>
      <c r="N1262" s="139"/>
      <c r="O1262" s="139"/>
      <c r="P1262" s="139"/>
      <c r="Q1262" s="147"/>
      <c r="R1262" s="139"/>
      <c r="S1262" s="139"/>
      <c r="T1262" s="139"/>
      <c r="U1262" s="139"/>
      <c r="V1262" s="139"/>
      <c r="W1262" s="139"/>
      <c r="X1262" s="146"/>
      <c r="Y1262" s="148"/>
      <c r="Z1262" s="145"/>
      <c r="AA1262" s="139"/>
      <c r="AB1262" s="149"/>
      <c r="AC1262" s="119"/>
      <c r="AD1262" s="139"/>
      <c r="AE1262" s="139"/>
      <c r="AF1262" s="139"/>
      <c r="AG1262" s="139"/>
      <c r="AH1262" s="139"/>
      <c r="AI1262" s="139"/>
      <c r="AJ1262" s="139"/>
      <c r="AK1262" s="139"/>
      <c r="AL1262" s="139"/>
      <c r="AM1262" s="139"/>
      <c r="AN1262" s="139"/>
      <c r="AO1262" s="139"/>
      <c r="AP1262" s="139"/>
      <c r="AQ1262" s="174"/>
      <c r="AR1262" s="222"/>
    </row>
    <row r="1263" spans="2:44" s="22" customFormat="1" ht="18" customHeight="1" x14ac:dyDescent="0.25">
      <c r="B1263" s="145"/>
      <c r="C1263" s="139"/>
      <c r="D1263" s="146"/>
      <c r="E1263" s="139"/>
      <c r="F1263" s="139"/>
      <c r="G1263" s="139"/>
      <c r="H1263" s="139"/>
      <c r="I1263" s="139"/>
      <c r="J1263" s="139"/>
      <c r="K1263" s="139"/>
      <c r="L1263" s="243"/>
      <c r="M1263" s="243"/>
      <c r="N1263" s="139"/>
      <c r="O1263" s="139"/>
      <c r="P1263" s="139"/>
      <c r="Q1263" s="147"/>
      <c r="R1263" s="139"/>
      <c r="S1263" s="139"/>
      <c r="T1263" s="139"/>
      <c r="U1263" s="139"/>
      <c r="V1263" s="139"/>
      <c r="W1263" s="139"/>
      <c r="X1263" s="146"/>
      <c r="Y1263" s="148"/>
      <c r="Z1263" s="145"/>
      <c r="AA1263" s="139"/>
      <c r="AB1263" s="149"/>
      <c r="AC1263" s="119"/>
      <c r="AD1263" s="139"/>
      <c r="AE1263" s="139"/>
      <c r="AF1263" s="139"/>
      <c r="AG1263" s="139"/>
      <c r="AH1263" s="139"/>
      <c r="AI1263" s="139"/>
      <c r="AJ1263" s="139"/>
      <c r="AK1263" s="139"/>
      <c r="AL1263" s="139"/>
      <c r="AM1263" s="139"/>
      <c r="AN1263" s="139"/>
      <c r="AO1263" s="139"/>
      <c r="AP1263" s="139"/>
      <c r="AQ1263" s="174"/>
      <c r="AR1263" s="222"/>
    </row>
    <row r="1264" spans="2:44" s="22" customFormat="1" ht="18" customHeight="1" x14ac:dyDescent="0.25">
      <c r="B1264" s="145"/>
      <c r="C1264" s="139"/>
      <c r="D1264" s="146"/>
      <c r="E1264" s="139"/>
      <c r="F1264" s="139"/>
      <c r="G1264" s="139"/>
      <c r="H1264" s="139"/>
      <c r="I1264" s="139"/>
      <c r="J1264" s="139"/>
      <c r="K1264" s="139"/>
      <c r="L1264" s="243"/>
      <c r="M1264" s="243"/>
      <c r="N1264" s="139"/>
      <c r="O1264" s="139"/>
      <c r="P1264" s="139"/>
      <c r="Q1264" s="147"/>
      <c r="R1264" s="139"/>
      <c r="S1264" s="139"/>
      <c r="T1264" s="139"/>
      <c r="U1264" s="139"/>
      <c r="V1264" s="139"/>
      <c r="W1264" s="139"/>
      <c r="X1264" s="146"/>
      <c r="Y1264" s="148"/>
      <c r="Z1264" s="145"/>
      <c r="AA1264" s="139"/>
      <c r="AB1264" s="149"/>
      <c r="AC1264" s="119"/>
      <c r="AD1264" s="139"/>
      <c r="AE1264" s="139"/>
      <c r="AF1264" s="139"/>
      <c r="AG1264" s="139"/>
      <c r="AH1264" s="139"/>
      <c r="AI1264" s="139"/>
      <c r="AJ1264" s="139"/>
      <c r="AK1264" s="139"/>
      <c r="AL1264" s="139"/>
      <c r="AM1264" s="139"/>
      <c r="AN1264" s="139"/>
      <c r="AO1264" s="139"/>
      <c r="AP1264" s="139"/>
      <c r="AQ1264" s="174"/>
      <c r="AR1264" s="222"/>
    </row>
    <row r="1265" spans="2:44" s="22" customFormat="1" ht="18" customHeight="1" x14ac:dyDescent="0.25">
      <c r="B1265" s="145"/>
      <c r="C1265" s="139"/>
      <c r="D1265" s="146"/>
      <c r="E1265" s="139"/>
      <c r="F1265" s="139"/>
      <c r="G1265" s="139"/>
      <c r="H1265" s="139"/>
      <c r="I1265" s="139"/>
      <c r="J1265" s="139"/>
      <c r="K1265" s="139"/>
      <c r="L1265" s="243"/>
      <c r="M1265" s="243"/>
      <c r="N1265" s="139"/>
      <c r="O1265" s="139"/>
      <c r="P1265" s="139"/>
      <c r="Q1265" s="147"/>
      <c r="R1265" s="139"/>
      <c r="S1265" s="139"/>
      <c r="T1265" s="139"/>
      <c r="U1265" s="139"/>
      <c r="V1265" s="139"/>
      <c r="W1265" s="139"/>
      <c r="X1265" s="146"/>
      <c r="Y1265" s="148"/>
      <c r="Z1265" s="145"/>
      <c r="AA1265" s="139"/>
      <c r="AB1265" s="149"/>
      <c r="AC1265" s="119"/>
      <c r="AD1265" s="139"/>
      <c r="AE1265" s="139"/>
      <c r="AF1265" s="139"/>
      <c r="AG1265" s="139"/>
      <c r="AH1265" s="139"/>
      <c r="AI1265" s="139"/>
      <c r="AJ1265" s="139"/>
      <c r="AK1265" s="139"/>
      <c r="AL1265" s="139"/>
      <c r="AM1265" s="139"/>
      <c r="AN1265" s="139"/>
      <c r="AO1265" s="139"/>
      <c r="AP1265" s="139"/>
      <c r="AQ1265" s="174"/>
      <c r="AR1265" s="222"/>
    </row>
    <row r="1266" spans="2:44" s="22" customFormat="1" ht="18" customHeight="1" x14ac:dyDescent="0.25">
      <c r="B1266" s="145"/>
      <c r="C1266" s="139"/>
      <c r="D1266" s="146"/>
      <c r="E1266" s="139"/>
      <c r="F1266" s="139"/>
      <c r="G1266" s="139"/>
      <c r="H1266" s="139"/>
      <c r="I1266" s="139"/>
      <c r="J1266" s="139"/>
      <c r="K1266" s="139"/>
      <c r="L1266" s="243"/>
      <c r="M1266" s="243"/>
      <c r="N1266" s="139"/>
      <c r="O1266" s="139"/>
      <c r="P1266" s="139"/>
      <c r="Q1266" s="147"/>
      <c r="R1266" s="139"/>
      <c r="S1266" s="139"/>
      <c r="T1266" s="139"/>
      <c r="U1266" s="139"/>
      <c r="V1266" s="139"/>
      <c r="W1266" s="139"/>
      <c r="X1266" s="146"/>
      <c r="Y1266" s="148"/>
      <c r="Z1266" s="145"/>
      <c r="AA1266" s="139"/>
      <c r="AB1266" s="149"/>
      <c r="AC1266" s="119"/>
      <c r="AD1266" s="139"/>
      <c r="AE1266" s="139"/>
      <c r="AF1266" s="139"/>
      <c r="AG1266" s="139"/>
      <c r="AH1266" s="139"/>
      <c r="AI1266" s="139"/>
      <c r="AJ1266" s="139"/>
      <c r="AK1266" s="139"/>
      <c r="AL1266" s="139"/>
      <c r="AM1266" s="139"/>
      <c r="AN1266" s="139"/>
      <c r="AO1266" s="139"/>
      <c r="AP1266" s="139"/>
      <c r="AQ1266" s="174"/>
      <c r="AR1266" s="222"/>
    </row>
    <row r="1267" spans="2:44" s="22" customFormat="1" ht="18" customHeight="1" x14ac:dyDescent="0.25">
      <c r="B1267" s="145"/>
      <c r="C1267" s="139"/>
      <c r="D1267" s="146"/>
      <c r="E1267" s="139"/>
      <c r="F1267" s="139"/>
      <c r="G1267" s="139"/>
      <c r="H1267" s="139"/>
      <c r="I1267" s="139"/>
      <c r="J1267" s="139"/>
      <c r="K1267" s="139"/>
      <c r="L1267" s="243"/>
      <c r="M1267" s="243"/>
      <c r="N1267" s="139"/>
      <c r="O1267" s="139"/>
      <c r="P1267" s="139"/>
      <c r="Q1267" s="147"/>
      <c r="R1267" s="139"/>
      <c r="S1267" s="139"/>
      <c r="T1267" s="139"/>
      <c r="U1267" s="139"/>
      <c r="V1267" s="139"/>
      <c r="W1267" s="139"/>
      <c r="X1267" s="146"/>
      <c r="Y1267" s="148"/>
      <c r="Z1267" s="145"/>
      <c r="AA1267" s="139"/>
      <c r="AB1267" s="149"/>
      <c r="AC1267" s="119"/>
      <c r="AD1267" s="139"/>
      <c r="AE1267" s="139"/>
      <c r="AF1267" s="139"/>
      <c r="AG1267" s="139"/>
      <c r="AH1267" s="139"/>
      <c r="AI1267" s="139"/>
      <c r="AJ1267" s="139"/>
      <c r="AK1267" s="139"/>
      <c r="AL1267" s="139"/>
      <c r="AM1267" s="139"/>
      <c r="AN1267" s="139"/>
      <c r="AO1267" s="139"/>
      <c r="AP1267" s="139"/>
      <c r="AQ1267" s="174"/>
      <c r="AR1267" s="222"/>
    </row>
    <row r="1268" spans="2:44" s="22" customFormat="1" ht="18" customHeight="1" x14ac:dyDescent="0.25">
      <c r="B1268" s="145"/>
      <c r="C1268" s="139"/>
      <c r="D1268" s="146"/>
      <c r="E1268" s="139"/>
      <c r="F1268" s="139"/>
      <c r="G1268" s="139"/>
      <c r="H1268" s="139"/>
      <c r="I1268" s="139"/>
      <c r="J1268" s="139"/>
      <c r="K1268" s="139"/>
      <c r="L1268" s="243"/>
      <c r="M1268" s="243"/>
      <c r="N1268" s="139"/>
      <c r="O1268" s="139"/>
      <c r="P1268" s="139"/>
      <c r="Q1268" s="147"/>
      <c r="R1268" s="139"/>
      <c r="S1268" s="139"/>
      <c r="T1268" s="139"/>
      <c r="U1268" s="139"/>
      <c r="V1268" s="139"/>
      <c r="W1268" s="139"/>
      <c r="X1268" s="146"/>
      <c r="Y1268" s="148"/>
      <c r="Z1268" s="145"/>
      <c r="AA1268" s="139"/>
      <c r="AB1268" s="149"/>
      <c r="AC1268" s="119"/>
      <c r="AD1268" s="139"/>
      <c r="AE1268" s="139"/>
      <c r="AF1268" s="139"/>
      <c r="AG1268" s="139"/>
      <c r="AH1268" s="139"/>
      <c r="AI1268" s="139"/>
      <c r="AJ1268" s="139"/>
      <c r="AK1268" s="139"/>
      <c r="AL1268" s="139"/>
      <c r="AM1268" s="139"/>
      <c r="AN1268" s="139"/>
      <c r="AO1268" s="139"/>
      <c r="AP1268" s="139"/>
      <c r="AQ1268" s="174"/>
      <c r="AR1268" s="222"/>
    </row>
    <row r="1269" spans="2:44" s="22" customFormat="1" ht="18" customHeight="1" x14ac:dyDescent="0.25">
      <c r="B1269" s="145"/>
      <c r="C1269" s="139"/>
      <c r="D1269" s="146"/>
      <c r="E1269" s="139"/>
      <c r="F1269" s="139"/>
      <c r="G1269" s="139"/>
      <c r="H1269" s="139"/>
      <c r="I1269" s="139"/>
      <c r="J1269" s="139"/>
      <c r="K1269" s="139"/>
      <c r="L1269" s="243"/>
      <c r="M1269" s="243"/>
      <c r="N1269" s="139"/>
      <c r="O1269" s="139"/>
      <c r="P1269" s="139"/>
      <c r="Q1269" s="147"/>
      <c r="R1269" s="139"/>
      <c r="S1269" s="139"/>
      <c r="T1269" s="139"/>
      <c r="U1269" s="139"/>
      <c r="V1269" s="139"/>
      <c r="W1269" s="139"/>
      <c r="X1269" s="146"/>
      <c r="Y1269" s="148"/>
      <c r="Z1269" s="145"/>
      <c r="AA1269" s="139"/>
      <c r="AB1269" s="149"/>
      <c r="AC1269" s="119"/>
      <c r="AD1269" s="139"/>
      <c r="AE1269" s="139"/>
      <c r="AF1269" s="139"/>
      <c r="AG1269" s="139"/>
      <c r="AH1269" s="139"/>
      <c r="AI1269" s="139"/>
      <c r="AJ1269" s="139"/>
      <c r="AK1269" s="139"/>
      <c r="AL1269" s="139"/>
      <c r="AM1269" s="139"/>
      <c r="AN1269" s="139"/>
      <c r="AO1269" s="139"/>
      <c r="AP1269" s="139"/>
      <c r="AQ1269" s="174"/>
      <c r="AR1269" s="222"/>
    </row>
    <row r="1270" spans="2:44" s="22" customFormat="1" ht="18" customHeight="1" x14ac:dyDescent="0.25">
      <c r="B1270" s="145"/>
      <c r="C1270" s="139"/>
      <c r="D1270" s="146"/>
      <c r="E1270" s="139"/>
      <c r="F1270" s="139"/>
      <c r="G1270" s="139"/>
      <c r="H1270" s="139"/>
      <c r="I1270" s="139"/>
      <c r="J1270" s="139"/>
      <c r="K1270" s="139"/>
      <c r="L1270" s="243"/>
      <c r="M1270" s="243"/>
      <c r="N1270" s="139"/>
      <c r="O1270" s="139"/>
      <c r="P1270" s="139"/>
      <c r="Q1270" s="147"/>
      <c r="R1270" s="139"/>
      <c r="S1270" s="139"/>
      <c r="T1270" s="139"/>
      <c r="U1270" s="139"/>
      <c r="V1270" s="139"/>
      <c r="W1270" s="139"/>
      <c r="X1270" s="146"/>
      <c r="Y1270" s="148"/>
      <c r="Z1270" s="145"/>
      <c r="AA1270" s="139"/>
      <c r="AB1270" s="149"/>
      <c r="AC1270" s="119"/>
      <c r="AD1270" s="139"/>
      <c r="AE1270" s="139"/>
      <c r="AF1270" s="139"/>
      <c r="AG1270" s="139"/>
      <c r="AH1270" s="139"/>
      <c r="AI1270" s="139"/>
      <c r="AJ1270" s="139"/>
      <c r="AK1270" s="139"/>
      <c r="AL1270" s="139"/>
      <c r="AM1270" s="139"/>
      <c r="AN1270" s="139"/>
      <c r="AO1270" s="139"/>
      <c r="AP1270" s="139"/>
      <c r="AQ1270" s="174"/>
      <c r="AR1270" s="222"/>
    </row>
    <row r="1271" spans="2:44" s="22" customFormat="1" ht="18" customHeight="1" x14ac:dyDescent="0.25">
      <c r="B1271" s="145"/>
      <c r="C1271" s="139"/>
      <c r="D1271" s="146"/>
      <c r="E1271" s="139"/>
      <c r="F1271" s="139"/>
      <c r="G1271" s="139"/>
      <c r="H1271" s="139"/>
      <c r="I1271" s="139"/>
      <c r="J1271" s="139"/>
      <c r="K1271" s="139"/>
      <c r="L1271" s="243"/>
      <c r="M1271" s="243"/>
      <c r="N1271" s="139"/>
      <c r="O1271" s="139"/>
      <c r="P1271" s="139"/>
      <c r="Q1271" s="147"/>
      <c r="R1271" s="139"/>
      <c r="S1271" s="139"/>
      <c r="T1271" s="139"/>
      <c r="U1271" s="139"/>
      <c r="V1271" s="139"/>
      <c r="W1271" s="139"/>
      <c r="X1271" s="146"/>
      <c r="Y1271" s="148"/>
      <c r="Z1271" s="145"/>
      <c r="AA1271" s="139"/>
      <c r="AB1271" s="149"/>
      <c r="AC1271" s="119"/>
      <c r="AD1271" s="139"/>
      <c r="AE1271" s="139"/>
      <c r="AF1271" s="139"/>
      <c r="AG1271" s="139"/>
      <c r="AH1271" s="139"/>
      <c r="AI1271" s="139"/>
      <c r="AJ1271" s="139"/>
      <c r="AK1271" s="139"/>
      <c r="AL1271" s="139"/>
      <c r="AM1271" s="139"/>
      <c r="AN1271" s="139"/>
      <c r="AO1271" s="139"/>
      <c r="AP1271" s="139"/>
      <c r="AQ1271" s="174"/>
      <c r="AR1271" s="222"/>
    </row>
    <row r="1272" spans="2:44" s="140" customFormat="1" ht="18" customHeight="1" x14ac:dyDescent="0.25">
      <c r="B1272" s="145"/>
      <c r="C1272" s="139"/>
      <c r="D1272" s="146"/>
      <c r="E1272" s="139"/>
      <c r="F1272" s="139"/>
      <c r="G1272" s="139"/>
      <c r="H1272" s="139"/>
      <c r="I1272" s="139"/>
      <c r="J1272" s="139"/>
      <c r="K1272" s="139"/>
      <c r="L1272" s="243"/>
      <c r="M1272" s="243"/>
      <c r="N1272" s="139"/>
      <c r="O1272" s="139"/>
      <c r="P1272" s="139"/>
      <c r="Q1272" s="147"/>
      <c r="R1272" s="139"/>
      <c r="S1272" s="139"/>
      <c r="T1272" s="139"/>
      <c r="U1272" s="139"/>
      <c r="V1272" s="139"/>
      <c r="W1272" s="139"/>
      <c r="X1272" s="146"/>
      <c r="Y1272" s="148"/>
      <c r="Z1272" s="145"/>
      <c r="AA1272" s="139"/>
      <c r="AB1272" s="149"/>
      <c r="AC1272" s="119"/>
      <c r="AD1272" s="139"/>
      <c r="AE1272" s="139"/>
      <c r="AF1272" s="139"/>
      <c r="AG1272" s="139"/>
      <c r="AH1272" s="139"/>
      <c r="AI1272" s="139"/>
      <c r="AJ1272" s="139"/>
      <c r="AK1272" s="139"/>
      <c r="AL1272" s="139"/>
      <c r="AM1272" s="139"/>
      <c r="AN1272" s="139"/>
      <c r="AO1272" s="139"/>
      <c r="AP1272" s="139"/>
      <c r="AQ1272" s="174"/>
      <c r="AR1272" s="222"/>
    </row>
    <row r="1273" spans="2:44" s="22" customFormat="1" ht="18" customHeight="1" x14ac:dyDescent="0.25">
      <c r="B1273" s="145"/>
      <c r="C1273" s="139"/>
      <c r="D1273" s="146"/>
      <c r="E1273" s="139"/>
      <c r="F1273" s="139"/>
      <c r="G1273" s="139"/>
      <c r="H1273" s="139"/>
      <c r="I1273" s="139"/>
      <c r="J1273" s="139"/>
      <c r="K1273" s="139"/>
      <c r="L1273" s="243"/>
      <c r="M1273" s="243"/>
      <c r="N1273" s="139"/>
      <c r="O1273" s="139"/>
      <c r="P1273" s="139"/>
      <c r="Q1273" s="147"/>
      <c r="R1273" s="139"/>
      <c r="S1273" s="139"/>
      <c r="T1273" s="139"/>
      <c r="U1273" s="139"/>
      <c r="V1273" s="139"/>
      <c r="W1273" s="139"/>
      <c r="X1273" s="146"/>
      <c r="Y1273" s="148"/>
      <c r="Z1273" s="145"/>
      <c r="AA1273" s="139"/>
      <c r="AB1273" s="149"/>
      <c r="AC1273" s="119"/>
      <c r="AD1273" s="139"/>
      <c r="AE1273" s="139"/>
      <c r="AF1273" s="139"/>
      <c r="AG1273" s="139"/>
      <c r="AH1273" s="139"/>
      <c r="AI1273" s="139"/>
      <c r="AJ1273" s="139"/>
      <c r="AK1273" s="139"/>
      <c r="AL1273" s="139"/>
      <c r="AM1273" s="139"/>
      <c r="AN1273" s="139"/>
      <c r="AO1273" s="139"/>
      <c r="AP1273" s="139"/>
      <c r="AQ1273" s="174"/>
      <c r="AR1273" s="222"/>
    </row>
    <row r="1274" spans="2:44" s="22" customFormat="1" ht="18" customHeight="1" x14ac:dyDescent="0.25">
      <c r="B1274" s="145"/>
      <c r="C1274" s="139"/>
      <c r="D1274" s="146"/>
      <c r="E1274" s="139"/>
      <c r="F1274" s="139"/>
      <c r="G1274" s="139"/>
      <c r="H1274" s="139"/>
      <c r="I1274" s="139"/>
      <c r="J1274" s="139"/>
      <c r="K1274" s="139"/>
      <c r="L1274" s="243"/>
      <c r="M1274" s="243"/>
      <c r="N1274" s="139"/>
      <c r="O1274" s="139"/>
      <c r="P1274" s="139"/>
      <c r="Q1274" s="147"/>
      <c r="R1274" s="139"/>
      <c r="S1274" s="139"/>
      <c r="T1274" s="139"/>
      <c r="U1274" s="139"/>
      <c r="V1274" s="139"/>
      <c r="W1274" s="139"/>
      <c r="X1274" s="146"/>
      <c r="Y1274" s="148"/>
      <c r="Z1274" s="145"/>
      <c r="AA1274" s="139"/>
      <c r="AB1274" s="149"/>
      <c r="AC1274" s="119"/>
      <c r="AD1274" s="139"/>
      <c r="AE1274" s="139"/>
      <c r="AF1274" s="139"/>
      <c r="AG1274" s="139"/>
      <c r="AH1274" s="139"/>
      <c r="AI1274" s="139"/>
      <c r="AJ1274" s="139"/>
      <c r="AK1274" s="139"/>
      <c r="AL1274" s="139"/>
      <c r="AM1274" s="139"/>
      <c r="AN1274" s="139"/>
      <c r="AO1274" s="139"/>
      <c r="AP1274" s="139"/>
      <c r="AQ1274" s="174"/>
      <c r="AR1274" s="222"/>
    </row>
    <row r="1275" spans="2:44" s="22" customFormat="1" ht="18" customHeight="1" x14ac:dyDescent="0.25">
      <c r="B1275" s="145"/>
      <c r="C1275" s="139"/>
      <c r="D1275" s="146"/>
      <c r="E1275" s="139"/>
      <c r="F1275" s="139"/>
      <c r="G1275" s="139"/>
      <c r="H1275" s="139"/>
      <c r="I1275" s="139"/>
      <c r="J1275" s="139"/>
      <c r="K1275" s="139"/>
      <c r="L1275" s="243"/>
      <c r="M1275" s="243"/>
      <c r="N1275" s="139"/>
      <c r="O1275" s="139"/>
      <c r="P1275" s="139"/>
      <c r="Q1275" s="147"/>
      <c r="R1275" s="139"/>
      <c r="S1275" s="139"/>
      <c r="T1275" s="139"/>
      <c r="U1275" s="139"/>
      <c r="V1275" s="139"/>
      <c r="W1275" s="139"/>
      <c r="X1275" s="146"/>
      <c r="Y1275" s="148"/>
      <c r="Z1275" s="145"/>
      <c r="AA1275" s="139"/>
      <c r="AB1275" s="149"/>
      <c r="AC1275" s="119"/>
      <c r="AD1275" s="139"/>
      <c r="AE1275" s="139"/>
      <c r="AF1275" s="139"/>
      <c r="AG1275" s="139"/>
      <c r="AH1275" s="139"/>
      <c r="AI1275" s="139"/>
      <c r="AJ1275" s="139"/>
      <c r="AK1275" s="139"/>
      <c r="AL1275" s="139"/>
      <c r="AM1275" s="139"/>
      <c r="AN1275" s="139"/>
      <c r="AO1275" s="139"/>
      <c r="AP1275" s="139"/>
      <c r="AQ1275" s="174"/>
      <c r="AR1275" s="222"/>
    </row>
    <row r="1276" spans="2:44" s="22" customFormat="1" ht="18" customHeight="1" x14ac:dyDescent="0.25">
      <c r="B1276" s="145"/>
      <c r="C1276" s="139"/>
      <c r="D1276" s="146"/>
      <c r="E1276" s="139"/>
      <c r="F1276" s="139"/>
      <c r="G1276" s="139"/>
      <c r="H1276" s="139"/>
      <c r="I1276" s="139"/>
      <c r="J1276" s="139"/>
      <c r="K1276" s="139"/>
      <c r="L1276" s="243"/>
      <c r="M1276" s="243"/>
      <c r="N1276" s="139"/>
      <c r="O1276" s="139"/>
      <c r="P1276" s="139"/>
      <c r="Q1276" s="147"/>
      <c r="R1276" s="139"/>
      <c r="S1276" s="139"/>
      <c r="T1276" s="139"/>
      <c r="U1276" s="139"/>
      <c r="V1276" s="139"/>
      <c r="W1276" s="139"/>
      <c r="X1276" s="146"/>
      <c r="Y1276" s="148"/>
      <c r="Z1276" s="145"/>
      <c r="AA1276" s="139"/>
      <c r="AB1276" s="149"/>
      <c r="AC1276" s="119"/>
      <c r="AD1276" s="139"/>
      <c r="AE1276" s="139"/>
      <c r="AF1276" s="139"/>
      <c r="AG1276" s="139"/>
      <c r="AH1276" s="139"/>
      <c r="AI1276" s="139"/>
      <c r="AJ1276" s="139"/>
      <c r="AK1276" s="139"/>
      <c r="AL1276" s="139"/>
      <c r="AM1276" s="139"/>
      <c r="AN1276" s="139"/>
      <c r="AO1276" s="139"/>
      <c r="AP1276" s="139"/>
      <c r="AQ1276" s="174"/>
      <c r="AR1276" s="222"/>
    </row>
    <row r="1277" spans="2:44" s="22" customFormat="1" ht="18" customHeight="1" x14ac:dyDescent="0.25">
      <c r="B1277" s="145"/>
      <c r="C1277" s="139"/>
      <c r="D1277" s="146"/>
      <c r="E1277" s="139"/>
      <c r="F1277" s="139"/>
      <c r="G1277" s="139"/>
      <c r="H1277" s="139"/>
      <c r="I1277" s="139"/>
      <c r="J1277" s="139"/>
      <c r="K1277" s="139"/>
      <c r="L1277" s="243"/>
      <c r="M1277" s="243"/>
      <c r="N1277" s="139"/>
      <c r="O1277" s="139"/>
      <c r="P1277" s="139"/>
      <c r="Q1277" s="147"/>
      <c r="R1277" s="139"/>
      <c r="S1277" s="139"/>
      <c r="T1277" s="139"/>
      <c r="U1277" s="139"/>
      <c r="V1277" s="139"/>
      <c r="W1277" s="139"/>
      <c r="X1277" s="146"/>
      <c r="Y1277" s="148"/>
      <c r="Z1277" s="145"/>
      <c r="AA1277" s="139"/>
      <c r="AB1277" s="149"/>
      <c r="AC1277" s="119"/>
      <c r="AD1277" s="139"/>
      <c r="AE1277" s="139"/>
      <c r="AF1277" s="139"/>
      <c r="AG1277" s="139"/>
      <c r="AH1277" s="139"/>
      <c r="AI1277" s="139"/>
      <c r="AJ1277" s="139"/>
      <c r="AK1277" s="139"/>
      <c r="AL1277" s="139"/>
      <c r="AM1277" s="139"/>
      <c r="AN1277" s="139"/>
      <c r="AO1277" s="139"/>
      <c r="AP1277" s="139"/>
      <c r="AQ1277" s="174"/>
      <c r="AR1277" s="222"/>
    </row>
    <row r="1278" spans="2:44" s="22" customFormat="1" ht="18" customHeight="1" x14ac:dyDescent="0.25">
      <c r="B1278" s="145"/>
      <c r="C1278" s="139"/>
      <c r="D1278" s="146"/>
      <c r="E1278" s="139"/>
      <c r="F1278" s="139"/>
      <c r="G1278" s="139"/>
      <c r="H1278" s="139"/>
      <c r="I1278" s="139"/>
      <c r="J1278" s="139"/>
      <c r="K1278" s="139"/>
      <c r="L1278" s="243"/>
      <c r="M1278" s="243"/>
      <c r="N1278" s="139"/>
      <c r="O1278" s="139"/>
      <c r="P1278" s="139"/>
      <c r="Q1278" s="147"/>
      <c r="R1278" s="139"/>
      <c r="S1278" s="139"/>
      <c r="T1278" s="139"/>
      <c r="U1278" s="139"/>
      <c r="V1278" s="139"/>
      <c r="W1278" s="139"/>
      <c r="X1278" s="146"/>
      <c r="Y1278" s="148"/>
      <c r="Z1278" s="145"/>
      <c r="AA1278" s="139"/>
      <c r="AB1278" s="149"/>
      <c r="AC1278" s="119"/>
      <c r="AD1278" s="139"/>
      <c r="AE1278" s="139"/>
      <c r="AF1278" s="139"/>
      <c r="AG1278" s="139"/>
      <c r="AH1278" s="139"/>
      <c r="AI1278" s="139"/>
      <c r="AJ1278" s="139"/>
      <c r="AK1278" s="139"/>
      <c r="AL1278" s="139"/>
      <c r="AM1278" s="139"/>
      <c r="AN1278" s="139"/>
      <c r="AO1278" s="139"/>
      <c r="AP1278" s="139"/>
      <c r="AQ1278" s="174"/>
      <c r="AR1278" s="222"/>
    </row>
    <row r="1279" spans="2:44" s="22" customFormat="1" ht="18" customHeight="1" x14ac:dyDescent="0.25">
      <c r="B1279" s="145"/>
      <c r="C1279" s="139"/>
      <c r="D1279" s="146"/>
      <c r="E1279" s="139"/>
      <c r="F1279" s="139"/>
      <c r="G1279" s="139"/>
      <c r="H1279" s="139"/>
      <c r="I1279" s="139"/>
      <c r="J1279" s="139"/>
      <c r="K1279" s="139"/>
      <c r="L1279" s="243"/>
      <c r="M1279" s="243"/>
      <c r="N1279" s="139"/>
      <c r="O1279" s="139"/>
      <c r="P1279" s="139"/>
      <c r="Q1279" s="147"/>
      <c r="R1279" s="139"/>
      <c r="S1279" s="139"/>
      <c r="T1279" s="139"/>
      <c r="U1279" s="139"/>
      <c r="V1279" s="139"/>
      <c r="W1279" s="139"/>
      <c r="X1279" s="146"/>
      <c r="Y1279" s="148"/>
      <c r="Z1279" s="145"/>
      <c r="AA1279" s="139"/>
      <c r="AB1279" s="149"/>
      <c r="AC1279" s="119"/>
      <c r="AD1279" s="139"/>
      <c r="AE1279" s="139"/>
      <c r="AF1279" s="139"/>
      <c r="AG1279" s="139"/>
      <c r="AH1279" s="139"/>
      <c r="AI1279" s="139"/>
      <c r="AJ1279" s="139"/>
      <c r="AK1279" s="139"/>
      <c r="AL1279" s="139"/>
      <c r="AM1279" s="139"/>
      <c r="AN1279" s="139"/>
      <c r="AO1279" s="139"/>
      <c r="AP1279" s="139"/>
      <c r="AQ1279" s="174"/>
      <c r="AR1279" s="222"/>
    </row>
    <row r="1280" spans="2:44" s="22" customFormat="1" ht="18" customHeight="1" x14ac:dyDescent="0.25">
      <c r="B1280" s="145"/>
      <c r="C1280" s="139"/>
      <c r="D1280" s="146"/>
      <c r="E1280" s="139"/>
      <c r="F1280" s="139"/>
      <c r="G1280" s="139"/>
      <c r="H1280" s="139"/>
      <c r="I1280" s="139"/>
      <c r="J1280" s="139"/>
      <c r="K1280" s="139"/>
      <c r="L1280" s="243"/>
      <c r="M1280" s="243"/>
      <c r="N1280" s="139"/>
      <c r="O1280" s="139"/>
      <c r="P1280" s="139"/>
      <c r="Q1280" s="147"/>
      <c r="R1280" s="139"/>
      <c r="S1280" s="139"/>
      <c r="T1280" s="139"/>
      <c r="U1280" s="139"/>
      <c r="V1280" s="139"/>
      <c r="W1280" s="139"/>
      <c r="X1280" s="146"/>
      <c r="Y1280" s="148"/>
      <c r="Z1280" s="145"/>
      <c r="AA1280" s="139"/>
      <c r="AB1280" s="149"/>
      <c r="AC1280" s="119"/>
      <c r="AD1280" s="139"/>
      <c r="AE1280" s="139"/>
      <c r="AF1280" s="139"/>
      <c r="AG1280" s="139"/>
      <c r="AH1280" s="139"/>
      <c r="AI1280" s="139"/>
      <c r="AJ1280" s="139"/>
      <c r="AK1280" s="139"/>
      <c r="AL1280" s="139"/>
      <c r="AM1280" s="139"/>
      <c r="AN1280" s="139"/>
      <c r="AO1280" s="139"/>
      <c r="AP1280" s="139"/>
      <c r="AQ1280" s="174"/>
      <c r="AR1280" s="222"/>
    </row>
    <row r="1281" spans="2:44" s="22" customFormat="1" ht="18" customHeight="1" x14ac:dyDescent="0.25">
      <c r="B1281" s="145"/>
      <c r="C1281" s="139"/>
      <c r="D1281" s="146"/>
      <c r="E1281" s="139"/>
      <c r="F1281" s="139"/>
      <c r="G1281" s="139"/>
      <c r="H1281" s="139"/>
      <c r="I1281" s="139"/>
      <c r="J1281" s="139"/>
      <c r="K1281" s="139"/>
      <c r="L1281" s="243"/>
      <c r="M1281" s="243"/>
      <c r="N1281" s="139"/>
      <c r="O1281" s="139"/>
      <c r="P1281" s="139"/>
      <c r="Q1281" s="147"/>
      <c r="R1281" s="139"/>
      <c r="S1281" s="139"/>
      <c r="T1281" s="139"/>
      <c r="U1281" s="139"/>
      <c r="V1281" s="139"/>
      <c r="W1281" s="139"/>
      <c r="X1281" s="146"/>
      <c r="Y1281" s="148"/>
      <c r="Z1281" s="145"/>
      <c r="AA1281" s="139"/>
      <c r="AB1281" s="149"/>
      <c r="AC1281" s="119"/>
      <c r="AD1281" s="139"/>
      <c r="AE1281" s="139"/>
      <c r="AF1281" s="139"/>
      <c r="AG1281" s="139"/>
      <c r="AH1281" s="139"/>
      <c r="AI1281" s="139"/>
      <c r="AJ1281" s="139"/>
      <c r="AK1281" s="139"/>
      <c r="AL1281" s="139"/>
      <c r="AM1281" s="139"/>
      <c r="AN1281" s="139"/>
      <c r="AO1281" s="139"/>
      <c r="AP1281" s="139"/>
      <c r="AQ1281" s="174"/>
      <c r="AR1281" s="222"/>
    </row>
    <row r="1282" spans="2:44" s="22" customFormat="1" ht="18" customHeight="1" x14ac:dyDescent="0.25">
      <c r="B1282" s="145"/>
      <c r="C1282" s="139"/>
      <c r="D1282" s="146"/>
      <c r="E1282" s="139"/>
      <c r="F1282" s="139"/>
      <c r="G1282" s="139"/>
      <c r="H1282" s="139"/>
      <c r="I1282" s="139"/>
      <c r="J1282" s="139"/>
      <c r="K1282" s="139"/>
      <c r="L1282" s="243"/>
      <c r="M1282" s="243"/>
      <c r="N1282" s="139"/>
      <c r="O1282" s="139"/>
      <c r="P1282" s="139"/>
      <c r="Q1282" s="147"/>
      <c r="R1282" s="139"/>
      <c r="S1282" s="139"/>
      <c r="T1282" s="139"/>
      <c r="U1282" s="139"/>
      <c r="V1282" s="139"/>
      <c r="W1282" s="139"/>
      <c r="X1282" s="146"/>
      <c r="Y1282" s="148"/>
      <c r="Z1282" s="145"/>
      <c r="AA1282" s="139"/>
      <c r="AB1282" s="149"/>
      <c r="AC1282" s="119"/>
      <c r="AD1282" s="139"/>
      <c r="AE1282" s="139"/>
      <c r="AF1282" s="139"/>
      <c r="AG1282" s="139"/>
      <c r="AH1282" s="139"/>
      <c r="AI1282" s="139"/>
      <c r="AJ1282" s="139"/>
      <c r="AK1282" s="139"/>
      <c r="AL1282" s="139"/>
      <c r="AM1282" s="139"/>
      <c r="AN1282" s="139"/>
      <c r="AO1282" s="139"/>
      <c r="AP1282" s="139"/>
      <c r="AQ1282" s="174"/>
      <c r="AR1282" s="222"/>
    </row>
    <row r="1283" spans="2:44" s="22" customFormat="1" ht="18" customHeight="1" x14ac:dyDescent="0.25">
      <c r="B1283" s="145"/>
      <c r="C1283" s="139"/>
      <c r="D1283" s="146"/>
      <c r="E1283" s="139"/>
      <c r="F1283" s="139"/>
      <c r="G1283" s="139"/>
      <c r="H1283" s="139"/>
      <c r="I1283" s="139"/>
      <c r="J1283" s="139"/>
      <c r="K1283" s="139"/>
      <c r="L1283" s="243"/>
      <c r="M1283" s="243"/>
      <c r="N1283" s="139"/>
      <c r="O1283" s="139"/>
      <c r="P1283" s="139"/>
      <c r="Q1283" s="147"/>
      <c r="R1283" s="139"/>
      <c r="S1283" s="139"/>
      <c r="T1283" s="139"/>
      <c r="U1283" s="139"/>
      <c r="V1283" s="139"/>
      <c r="W1283" s="139"/>
      <c r="X1283" s="146"/>
      <c r="Y1283" s="148"/>
      <c r="Z1283" s="145"/>
      <c r="AA1283" s="139"/>
      <c r="AB1283" s="149"/>
      <c r="AC1283" s="119"/>
      <c r="AD1283" s="139"/>
      <c r="AE1283" s="139"/>
      <c r="AF1283" s="139"/>
      <c r="AG1283" s="139"/>
      <c r="AH1283" s="139"/>
      <c r="AI1283" s="139"/>
      <c r="AJ1283" s="139"/>
      <c r="AK1283" s="139"/>
      <c r="AL1283" s="139"/>
      <c r="AM1283" s="139"/>
      <c r="AN1283" s="139"/>
      <c r="AO1283" s="139"/>
      <c r="AP1283" s="139"/>
      <c r="AQ1283" s="174"/>
      <c r="AR1283" s="222"/>
    </row>
    <row r="1284" spans="2:44" s="22" customFormat="1" ht="18" customHeight="1" x14ac:dyDescent="0.25">
      <c r="B1284" s="145"/>
      <c r="C1284" s="139"/>
      <c r="D1284" s="146"/>
      <c r="E1284" s="139"/>
      <c r="F1284" s="139"/>
      <c r="G1284" s="139"/>
      <c r="H1284" s="139"/>
      <c r="I1284" s="139"/>
      <c r="J1284" s="139"/>
      <c r="K1284" s="139"/>
      <c r="L1284" s="243"/>
      <c r="M1284" s="243"/>
      <c r="N1284" s="139"/>
      <c r="O1284" s="139"/>
      <c r="P1284" s="139"/>
      <c r="Q1284" s="147"/>
      <c r="R1284" s="139"/>
      <c r="S1284" s="139"/>
      <c r="T1284" s="139"/>
      <c r="U1284" s="139"/>
      <c r="V1284" s="139"/>
      <c r="W1284" s="139"/>
      <c r="X1284" s="146"/>
      <c r="Y1284" s="148"/>
      <c r="Z1284" s="145"/>
      <c r="AA1284" s="139"/>
      <c r="AB1284" s="149"/>
      <c r="AC1284" s="119"/>
      <c r="AD1284" s="139"/>
      <c r="AE1284" s="139"/>
      <c r="AF1284" s="139"/>
      <c r="AG1284" s="139"/>
      <c r="AH1284" s="139"/>
      <c r="AI1284" s="139"/>
      <c r="AJ1284" s="139"/>
      <c r="AK1284" s="139"/>
      <c r="AL1284" s="139"/>
      <c r="AM1284" s="139"/>
      <c r="AN1284" s="139"/>
      <c r="AO1284" s="139"/>
      <c r="AP1284" s="139"/>
      <c r="AQ1284" s="174"/>
      <c r="AR1284" s="222"/>
    </row>
    <row r="1285" spans="2:44" s="22" customFormat="1" ht="18" customHeight="1" x14ac:dyDescent="0.25">
      <c r="B1285" s="145"/>
      <c r="C1285" s="139"/>
      <c r="D1285" s="146"/>
      <c r="E1285" s="139"/>
      <c r="F1285" s="139"/>
      <c r="G1285" s="139"/>
      <c r="H1285" s="139"/>
      <c r="I1285" s="139"/>
      <c r="J1285" s="139"/>
      <c r="K1285" s="139"/>
      <c r="L1285" s="243"/>
      <c r="M1285" s="243"/>
      <c r="N1285" s="139"/>
      <c r="O1285" s="139"/>
      <c r="P1285" s="139"/>
      <c r="Q1285" s="147"/>
      <c r="R1285" s="139"/>
      <c r="S1285" s="139"/>
      <c r="T1285" s="139"/>
      <c r="U1285" s="139"/>
      <c r="V1285" s="139"/>
      <c r="W1285" s="139"/>
      <c r="X1285" s="146"/>
      <c r="Y1285" s="148"/>
      <c r="Z1285" s="145"/>
      <c r="AA1285" s="139"/>
      <c r="AB1285" s="149"/>
      <c r="AC1285" s="119"/>
      <c r="AD1285" s="139"/>
      <c r="AE1285" s="139"/>
      <c r="AF1285" s="139"/>
      <c r="AG1285" s="139"/>
      <c r="AH1285" s="139"/>
      <c r="AI1285" s="139"/>
      <c r="AJ1285" s="139"/>
      <c r="AK1285" s="139"/>
      <c r="AL1285" s="139"/>
      <c r="AM1285" s="139"/>
      <c r="AN1285" s="139"/>
      <c r="AO1285" s="139"/>
      <c r="AP1285" s="139"/>
      <c r="AQ1285" s="174"/>
      <c r="AR1285" s="222"/>
    </row>
    <row r="1286" spans="2:44" s="22" customFormat="1" ht="18" customHeight="1" x14ac:dyDescent="0.25">
      <c r="B1286" s="145"/>
      <c r="C1286" s="139"/>
      <c r="D1286" s="146"/>
      <c r="E1286" s="139"/>
      <c r="F1286" s="139"/>
      <c r="G1286" s="139"/>
      <c r="H1286" s="139"/>
      <c r="I1286" s="139"/>
      <c r="J1286" s="139"/>
      <c r="K1286" s="139"/>
      <c r="L1286" s="243"/>
      <c r="M1286" s="243"/>
      <c r="N1286" s="139"/>
      <c r="O1286" s="139"/>
      <c r="P1286" s="139"/>
      <c r="Q1286" s="147"/>
      <c r="R1286" s="139"/>
      <c r="S1286" s="139"/>
      <c r="T1286" s="139"/>
      <c r="U1286" s="139"/>
      <c r="V1286" s="139"/>
      <c r="W1286" s="139"/>
      <c r="X1286" s="146"/>
      <c r="Y1286" s="148"/>
      <c r="Z1286" s="145"/>
      <c r="AA1286" s="139"/>
      <c r="AB1286" s="149"/>
      <c r="AC1286" s="119"/>
      <c r="AD1286" s="139"/>
      <c r="AE1286" s="139"/>
      <c r="AF1286" s="139"/>
      <c r="AG1286" s="139"/>
      <c r="AH1286" s="139"/>
      <c r="AI1286" s="139"/>
      <c r="AJ1286" s="139"/>
      <c r="AK1286" s="139"/>
      <c r="AL1286" s="139"/>
      <c r="AM1286" s="139"/>
      <c r="AN1286" s="139"/>
      <c r="AO1286" s="139"/>
      <c r="AP1286" s="139"/>
      <c r="AQ1286" s="174"/>
      <c r="AR1286" s="222"/>
    </row>
    <row r="1287" spans="2:44" s="22" customFormat="1" ht="18" customHeight="1" x14ac:dyDescent="0.25">
      <c r="B1287" s="145"/>
      <c r="C1287" s="139"/>
      <c r="D1287" s="146"/>
      <c r="E1287" s="139"/>
      <c r="F1287" s="139"/>
      <c r="G1287" s="139"/>
      <c r="H1287" s="139"/>
      <c r="I1287" s="139"/>
      <c r="J1287" s="139"/>
      <c r="K1287" s="139"/>
      <c r="L1287" s="243"/>
      <c r="M1287" s="243"/>
      <c r="N1287" s="139"/>
      <c r="O1287" s="139"/>
      <c r="P1287" s="139"/>
      <c r="Q1287" s="147"/>
      <c r="R1287" s="139"/>
      <c r="S1287" s="139"/>
      <c r="T1287" s="139"/>
      <c r="U1287" s="139"/>
      <c r="V1287" s="139"/>
      <c r="W1287" s="139"/>
      <c r="X1287" s="146"/>
      <c r="Y1287" s="148"/>
      <c r="Z1287" s="145"/>
      <c r="AA1287" s="139"/>
      <c r="AB1287" s="149"/>
      <c r="AC1287" s="119"/>
      <c r="AD1287" s="139"/>
      <c r="AE1287" s="139"/>
      <c r="AF1287" s="139"/>
      <c r="AG1287" s="139"/>
      <c r="AH1287" s="139"/>
      <c r="AI1287" s="139"/>
      <c r="AJ1287" s="139"/>
      <c r="AK1287" s="139"/>
      <c r="AL1287" s="139"/>
      <c r="AM1287" s="139"/>
      <c r="AN1287" s="139"/>
      <c r="AO1287" s="139"/>
      <c r="AP1287" s="139"/>
      <c r="AQ1287" s="174"/>
      <c r="AR1287" s="222"/>
    </row>
    <row r="1288" spans="2:44" s="141" customFormat="1" ht="18" customHeight="1" x14ac:dyDescent="0.25">
      <c r="B1288" s="145"/>
      <c r="C1288" s="139"/>
      <c r="D1288" s="146"/>
      <c r="E1288" s="139"/>
      <c r="F1288" s="139"/>
      <c r="G1288" s="139"/>
      <c r="H1288" s="139"/>
      <c r="I1288" s="139"/>
      <c r="J1288" s="139"/>
      <c r="K1288" s="139"/>
      <c r="L1288" s="243"/>
      <c r="M1288" s="243"/>
      <c r="N1288" s="139"/>
      <c r="O1288" s="139"/>
      <c r="P1288" s="139"/>
      <c r="Q1288" s="147"/>
      <c r="R1288" s="139"/>
      <c r="S1288" s="139"/>
      <c r="T1288" s="139"/>
      <c r="U1288" s="139"/>
      <c r="V1288" s="139"/>
      <c r="W1288" s="139"/>
      <c r="X1288" s="146"/>
      <c r="Y1288" s="148"/>
      <c r="Z1288" s="145"/>
      <c r="AA1288" s="139"/>
      <c r="AB1288" s="149"/>
      <c r="AC1288" s="119"/>
      <c r="AD1288" s="139"/>
      <c r="AE1288" s="139"/>
      <c r="AF1288" s="139"/>
      <c r="AG1288" s="139"/>
      <c r="AH1288" s="139"/>
      <c r="AI1288" s="139"/>
      <c r="AJ1288" s="139"/>
      <c r="AK1288" s="139"/>
      <c r="AL1288" s="139"/>
      <c r="AM1288" s="139"/>
      <c r="AN1288" s="139"/>
      <c r="AO1288" s="139"/>
      <c r="AP1288" s="139"/>
      <c r="AQ1288" s="174"/>
      <c r="AR1288" s="222"/>
    </row>
    <row r="1289" spans="2:44" s="141" customFormat="1" ht="18" customHeight="1" x14ac:dyDescent="0.25">
      <c r="B1289" s="145"/>
      <c r="C1289" s="139"/>
      <c r="D1289" s="146"/>
      <c r="E1289" s="139"/>
      <c r="F1289" s="139"/>
      <c r="G1289" s="139"/>
      <c r="H1289" s="139"/>
      <c r="I1289" s="139"/>
      <c r="J1289" s="139"/>
      <c r="K1289" s="139"/>
      <c r="L1289" s="243"/>
      <c r="M1289" s="243"/>
      <c r="N1289" s="139"/>
      <c r="O1289" s="139"/>
      <c r="P1289" s="139"/>
      <c r="Q1289" s="147"/>
      <c r="R1289" s="139"/>
      <c r="S1289" s="139"/>
      <c r="T1289" s="139"/>
      <c r="U1289" s="139"/>
      <c r="V1289" s="139"/>
      <c r="W1289" s="139"/>
      <c r="X1289" s="146"/>
      <c r="Y1289" s="148"/>
      <c r="Z1289" s="145"/>
      <c r="AA1289" s="139"/>
      <c r="AB1289" s="149"/>
      <c r="AC1289" s="119"/>
      <c r="AD1289" s="139"/>
      <c r="AE1289" s="139"/>
      <c r="AF1289" s="139"/>
      <c r="AG1289" s="139"/>
      <c r="AH1289" s="139"/>
      <c r="AI1289" s="139"/>
      <c r="AJ1289" s="139"/>
      <c r="AK1289" s="139"/>
      <c r="AL1289" s="139"/>
      <c r="AM1289" s="139"/>
      <c r="AN1289" s="139"/>
      <c r="AO1289" s="139"/>
      <c r="AP1289" s="139"/>
      <c r="AQ1289" s="174"/>
      <c r="AR1289" s="222"/>
    </row>
    <row r="1290" spans="2:44" s="22" customFormat="1" ht="18" customHeight="1" x14ac:dyDescent="0.25">
      <c r="B1290" s="145"/>
      <c r="C1290" s="139"/>
      <c r="D1290" s="146"/>
      <c r="E1290" s="139"/>
      <c r="F1290" s="139"/>
      <c r="G1290" s="139"/>
      <c r="H1290" s="139"/>
      <c r="I1290" s="139"/>
      <c r="J1290" s="139"/>
      <c r="K1290" s="139"/>
      <c r="L1290" s="243"/>
      <c r="M1290" s="243"/>
      <c r="N1290" s="139"/>
      <c r="O1290" s="139"/>
      <c r="P1290" s="139"/>
      <c r="Q1290" s="147"/>
      <c r="R1290" s="139"/>
      <c r="S1290" s="139"/>
      <c r="T1290" s="139"/>
      <c r="U1290" s="139"/>
      <c r="V1290" s="139"/>
      <c r="W1290" s="139"/>
      <c r="X1290" s="146"/>
      <c r="Y1290" s="148"/>
      <c r="Z1290" s="145"/>
      <c r="AA1290" s="139"/>
      <c r="AB1290" s="149"/>
      <c r="AC1290" s="119"/>
      <c r="AD1290" s="139"/>
      <c r="AE1290" s="139"/>
      <c r="AF1290" s="139"/>
      <c r="AG1290" s="139"/>
      <c r="AH1290" s="139"/>
      <c r="AI1290" s="139"/>
      <c r="AJ1290" s="139"/>
      <c r="AK1290" s="139"/>
      <c r="AL1290" s="139"/>
      <c r="AM1290" s="139"/>
      <c r="AN1290" s="139"/>
      <c r="AO1290" s="139"/>
      <c r="AP1290" s="139"/>
      <c r="AQ1290" s="174"/>
      <c r="AR1290" s="222"/>
    </row>
    <row r="1291" spans="2:44" s="22" customFormat="1" ht="18" customHeight="1" x14ac:dyDescent="0.25">
      <c r="B1291" s="145"/>
      <c r="C1291" s="139"/>
      <c r="D1291" s="146"/>
      <c r="E1291" s="139"/>
      <c r="F1291" s="139"/>
      <c r="G1291" s="139"/>
      <c r="H1291" s="139"/>
      <c r="I1291" s="139"/>
      <c r="J1291" s="139"/>
      <c r="K1291" s="139"/>
      <c r="L1291" s="243"/>
      <c r="M1291" s="243"/>
      <c r="N1291" s="139"/>
      <c r="O1291" s="139"/>
      <c r="P1291" s="139"/>
      <c r="Q1291" s="147"/>
      <c r="R1291" s="139"/>
      <c r="S1291" s="139"/>
      <c r="T1291" s="139"/>
      <c r="U1291" s="139"/>
      <c r="V1291" s="139"/>
      <c r="W1291" s="139"/>
      <c r="X1291" s="146"/>
      <c r="Y1291" s="148"/>
      <c r="Z1291" s="145"/>
      <c r="AA1291" s="139"/>
      <c r="AB1291" s="149"/>
      <c r="AC1291" s="119"/>
      <c r="AD1291" s="139"/>
      <c r="AE1291" s="139"/>
      <c r="AF1291" s="139"/>
      <c r="AG1291" s="139"/>
      <c r="AH1291" s="139"/>
      <c r="AI1291" s="139"/>
      <c r="AJ1291" s="139"/>
      <c r="AK1291" s="139"/>
      <c r="AL1291" s="139"/>
      <c r="AM1291" s="139"/>
      <c r="AN1291" s="139"/>
      <c r="AO1291" s="139"/>
      <c r="AP1291" s="139"/>
      <c r="AQ1291" s="174"/>
      <c r="AR1291" s="222"/>
    </row>
    <row r="1292" spans="2:44" s="22" customFormat="1" ht="18" customHeight="1" x14ac:dyDescent="0.25">
      <c r="B1292" s="145"/>
      <c r="C1292" s="139"/>
      <c r="D1292" s="146"/>
      <c r="E1292" s="139"/>
      <c r="F1292" s="139"/>
      <c r="G1292" s="139"/>
      <c r="H1292" s="139"/>
      <c r="I1292" s="139"/>
      <c r="J1292" s="139"/>
      <c r="K1292" s="139"/>
      <c r="L1292" s="243"/>
      <c r="M1292" s="243"/>
      <c r="N1292" s="139"/>
      <c r="O1292" s="139"/>
      <c r="P1292" s="139"/>
      <c r="Q1292" s="147"/>
      <c r="R1292" s="139"/>
      <c r="S1292" s="139"/>
      <c r="T1292" s="139"/>
      <c r="U1292" s="139"/>
      <c r="V1292" s="139"/>
      <c r="W1292" s="139"/>
      <c r="X1292" s="146"/>
      <c r="Y1292" s="148"/>
      <c r="Z1292" s="145"/>
      <c r="AA1292" s="139"/>
      <c r="AB1292" s="149"/>
      <c r="AC1292" s="119"/>
      <c r="AD1292" s="139"/>
      <c r="AE1292" s="139"/>
      <c r="AF1292" s="139"/>
      <c r="AG1292" s="139"/>
      <c r="AH1292" s="139"/>
      <c r="AI1292" s="139"/>
      <c r="AJ1292" s="139"/>
      <c r="AK1292" s="139"/>
      <c r="AL1292" s="139"/>
      <c r="AM1292" s="139"/>
      <c r="AN1292" s="139"/>
      <c r="AO1292" s="139"/>
      <c r="AP1292" s="139"/>
      <c r="AQ1292" s="174"/>
      <c r="AR1292" s="222"/>
    </row>
    <row r="1293" spans="2:44" s="22" customFormat="1" ht="18" customHeight="1" x14ac:dyDescent="0.25">
      <c r="B1293" s="145"/>
      <c r="C1293" s="139"/>
      <c r="D1293" s="146"/>
      <c r="E1293" s="139"/>
      <c r="F1293" s="139"/>
      <c r="G1293" s="139"/>
      <c r="H1293" s="139"/>
      <c r="I1293" s="139"/>
      <c r="J1293" s="139"/>
      <c r="K1293" s="139"/>
      <c r="L1293" s="243"/>
      <c r="M1293" s="243"/>
      <c r="N1293" s="139"/>
      <c r="O1293" s="139"/>
      <c r="P1293" s="139"/>
      <c r="Q1293" s="147"/>
      <c r="R1293" s="139"/>
      <c r="S1293" s="139"/>
      <c r="T1293" s="139"/>
      <c r="U1293" s="139"/>
      <c r="V1293" s="139"/>
      <c r="W1293" s="139"/>
      <c r="X1293" s="146"/>
      <c r="Y1293" s="148"/>
      <c r="Z1293" s="145"/>
      <c r="AA1293" s="139"/>
      <c r="AB1293" s="149"/>
      <c r="AC1293" s="119"/>
      <c r="AD1293" s="139"/>
      <c r="AE1293" s="139"/>
      <c r="AF1293" s="139"/>
      <c r="AG1293" s="139"/>
      <c r="AH1293" s="139"/>
      <c r="AI1293" s="139"/>
      <c r="AJ1293" s="139"/>
      <c r="AK1293" s="139"/>
      <c r="AL1293" s="139"/>
      <c r="AM1293" s="139"/>
      <c r="AN1293" s="139"/>
      <c r="AO1293" s="139"/>
      <c r="AP1293" s="139"/>
      <c r="AQ1293" s="174"/>
      <c r="AR1293" s="222"/>
    </row>
    <row r="1294" spans="2:44" s="22" customFormat="1" ht="18" customHeight="1" x14ac:dyDescent="0.25">
      <c r="B1294" s="145"/>
      <c r="C1294" s="139"/>
      <c r="D1294" s="146"/>
      <c r="E1294" s="139"/>
      <c r="F1294" s="139"/>
      <c r="G1294" s="139"/>
      <c r="H1294" s="139"/>
      <c r="I1294" s="139"/>
      <c r="J1294" s="139"/>
      <c r="K1294" s="139"/>
      <c r="L1294" s="243"/>
      <c r="M1294" s="243"/>
      <c r="N1294" s="139"/>
      <c r="O1294" s="139"/>
      <c r="P1294" s="139"/>
      <c r="Q1294" s="147"/>
      <c r="R1294" s="139"/>
      <c r="S1294" s="139"/>
      <c r="T1294" s="139"/>
      <c r="U1294" s="139"/>
      <c r="V1294" s="139"/>
      <c r="W1294" s="139"/>
      <c r="X1294" s="146"/>
      <c r="Y1294" s="148"/>
      <c r="Z1294" s="145"/>
      <c r="AA1294" s="139"/>
      <c r="AB1294" s="149"/>
      <c r="AC1294" s="119"/>
      <c r="AD1294" s="139"/>
      <c r="AE1294" s="139"/>
      <c r="AF1294" s="139"/>
      <c r="AG1294" s="139"/>
      <c r="AH1294" s="139"/>
      <c r="AI1294" s="139"/>
      <c r="AJ1294" s="139"/>
      <c r="AK1294" s="139"/>
      <c r="AL1294" s="139"/>
      <c r="AM1294" s="139"/>
      <c r="AN1294" s="139"/>
      <c r="AO1294" s="139"/>
      <c r="AP1294" s="139"/>
      <c r="AQ1294" s="174"/>
      <c r="AR1294" s="222"/>
    </row>
    <row r="1295" spans="2:44" s="22" customFormat="1" ht="18" customHeight="1" x14ac:dyDescent="0.25">
      <c r="B1295" s="145"/>
      <c r="C1295" s="139"/>
      <c r="D1295" s="146"/>
      <c r="E1295" s="139"/>
      <c r="F1295" s="139"/>
      <c r="G1295" s="139"/>
      <c r="H1295" s="139"/>
      <c r="I1295" s="139"/>
      <c r="J1295" s="139"/>
      <c r="K1295" s="139"/>
      <c r="L1295" s="243"/>
      <c r="M1295" s="243"/>
      <c r="N1295" s="139"/>
      <c r="O1295" s="139"/>
      <c r="P1295" s="139"/>
      <c r="Q1295" s="147"/>
      <c r="R1295" s="139"/>
      <c r="S1295" s="139"/>
      <c r="T1295" s="139"/>
      <c r="U1295" s="139"/>
      <c r="V1295" s="139"/>
      <c r="W1295" s="139"/>
      <c r="X1295" s="146"/>
      <c r="Y1295" s="148"/>
      <c r="Z1295" s="145"/>
      <c r="AA1295" s="139"/>
      <c r="AB1295" s="149"/>
      <c r="AC1295" s="119"/>
      <c r="AD1295" s="139"/>
      <c r="AE1295" s="139"/>
      <c r="AF1295" s="139"/>
      <c r="AG1295" s="139"/>
      <c r="AH1295" s="139"/>
      <c r="AI1295" s="139"/>
      <c r="AJ1295" s="139"/>
      <c r="AK1295" s="139"/>
      <c r="AL1295" s="139"/>
      <c r="AM1295" s="139"/>
      <c r="AN1295" s="139"/>
      <c r="AO1295" s="139"/>
      <c r="AP1295" s="139"/>
      <c r="AQ1295" s="174"/>
      <c r="AR1295" s="222"/>
    </row>
    <row r="1296" spans="2:44" s="22" customFormat="1" ht="18" customHeight="1" x14ac:dyDescent="0.25">
      <c r="B1296" s="145"/>
      <c r="C1296" s="139"/>
      <c r="D1296" s="146"/>
      <c r="E1296" s="139"/>
      <c r="F1296" s="139"/>
      <c r="G1296" s="139"/>
      <c r="H1296" s="139"/>
      <c r="I1296" s="139"/>
      <c r="J1296" s="139"/>
      <c r="K1296" s="139"/>
      <c r="L1296" s="243"/>
      <c r="M1296" s="243"/>
      <c r="N1296" s="139"/>
      <c r="O1296" s="139"/>
      <c r="P1296" s="139"/>
      <c r="Q1296" s="147"/>
      <c r="R1296" s="139"/>
      <c r="S1296" s="139"/>
      <c r="T1296" s="139"/>
      <c r="U1296" s="139"/>
      <c r="V1296" s="139"/>
      <c r="W1296" s="139"/>
      <c r="X1296" s="146"/>
      <c r="Y1296" s="148"/>
      <c r="Z1296" s="145"/>
      <c r="AA1296" s="139"/>
      <c r="AB1296" s="149"/>
      <c r="AC1296" s="119"/>
      <c r="AD1296" s="139"/>
      <c r="AE1296" s="139"/>
      <c r="AF1296" s="139"/>
      <c r="AG1296" s="139"/>
      <c r="AH1296" s="139"/>
      <c r="AI1296" s="139"/>
      <c r="AJ1296" s="139"/>
      <c r="AK1296" s="139"/>
      <c r="AL1296" s="139"/>
      <c r="AM1296" s="139"/>
      <c r="AN1296" s="139"/>
      <c r="AO1296" s="139"/>
      <c r="AP1296" s="139"/>
      <c r="AQ1296" s="174"/>
      <c r="AR1296" s="222"/>
    </row>
    <row r="1297" spans="2:44" s="22" customFormat="1" ht="18" customHeight="1" x14ac:dyDescent="0.25">
      <c r="B1297" s="145"/>
      <c r="C1297" s="139"/>
      <c r="D1297" s="146"/>
      <c r="E1297" s="139"/>
      <c r="F1297" s="139"/>
      <c r="G1297" s="139"/>
      <c r="H1297" s="139"/>
      <c r="I1297" s="139"/>
      <c r="J1297" s="139"/>
      <c r="K1297" s="139"/>
      <c r="L1297" s="243"/>
      <c r="M1297" s="243"/>
      <c r="N1297" s="139"/>
      <c r="O1297" s="139"/>
      <c r="P1297" s="139"/>
      <c r="Q1297" s="147"/>
      <c r="R1297" s="139"/>
      <c r="S1297" s="139"/>
      <c r="T1297" s="139"/>
      <c r="U1297" s="139"/>
      <c r="V1297" s="139"/>
      <c r="W1297" s="139"/>
      <c r="X1297" s="146"/>
      <c r="Y1297" s="148"/>
      <c r="Z1297" s="145"/>
      <c r="AA1297" s="139"/>
      <c r="AB1297" s="149"/>
      <c r="AC1297" s="119"/>
      <c r="AD1297" s="139"/>
      <c r="AE1297" s="139"/>
      <c r="AF1297" s="139"/>
      <c r="AG1297" s="139"/>
      <c r="AH1297" s="139"/>
      <c r="AI1297" s="139"/>
      <c r="AJ1297" s="139"/>
      <c r="AK1297" s="139"/>
      <c r="AL1297" s="139"/>
      <c r="AM1297" s="139"/>
      <c r="AN1297" s="139"/>
      <c r="AO1297" s="139"/>
      <c r="AP1297" s="139"/>
      <c r="AQ1297" s="174"/>
      <c r="AR1297" s="222"/>
    </row>
    <row r="1298" spans="2:44" s="22" customFormat="1" ht="18" customHeight="1" x14ac:dyDescent="0.25">
      <c r="B1298" s="145"/>
      <c r="C1298" s="139"/>
      <c r="D1298" s="146"/>
      <c r="E1298" s="139"/>
      <c r="F1298" s="139"/>
      <c r="G1298" s="139"/>
      <c r="H1298" s="139"/>
      <c r="I1298" s="139"/>
      <c r="J1298" s="139"/>
      <c r="K1298" s="139"/>
      <c r="L1298" s="243"/>
      <c r="M1298" s="243"/>
      <c r="N1298" s="139"/>
      <c r="O1298" s="139"/>
      <c r="P1298" s="139"/>
      <c r="Q1298" s="147"/>
      <c r="R1298" s="139"/>
      <c r="S1298" s="139"/>
      <c r="T1298" s="139"/>
      <c r="U1298" s="139"/>
      <c r="V1298" s="139"/>
      <c r="W1298" s="139"/>
      <c r="X1298" s="146"/>
      <c r="Y1298" s="148"/>
      <c r="Z1298" s="145"/>
      <c r="AA1298" s="139"/>
      <c r="AB1298" s="149"/>
      <c r="AC1298" s="119"/>
      <c r="AD1298" s="139"/>
      <c r="AE1298" s="139"/>
      <c r="AF1298" s="139"/>
      <c r="AG1298" s="139"/>
      <c r="AH1298" s="139"/>
      <c r="AI1298" s="139"/>
      <c r="AJ1298" s="139"/>
      <c r="AK1298" s="139"/>
      <c r="AL1298" s="139"/>
      <c r="AM1298" s="139"/>
      <c r="AN1298" s="139"/>
      <c r="AO1298" s="139"/>
      <c r="AP1298" s="139"/>
      <c r="AQ1298" s="174"/>
      <c r="AR1298" s="222"/>
    </row>
    <row r="1299" spans="2:44" s="22" customFormat="1" ht="18" customHeight="1" x14ac:dyDescent="0.25">
      <c r="B1299" s="145"/>
      <c r="C1299" s="139"/>
      <c r="D1299" s="146"/>
      <c r="E1299" s="139"/>
      <c r="F1299" s="139"/>
      <c r="G1299" s="139"/>
      <c r="H1299" s="139"/>
      <c r="I1299" s="139"/>
      <c r="J1299" s="139"/>
      <c r="K1299" s="139"/>
      <c r="L1299" s="243"/>
      <c r="M1299" s="243"/>
      <c r="N1299" s="139"/>
      <c r="O1299" s="139"/>
      <c r="P1299" s="139"/>
      <c r="Q1299" s="147"/>
      <c r="R1299" s="139"/>
      <c r="S1299" s="139"/>
      <c r="T1299" s="139"/>
      <c r="U1299" s="139"/>
      <c r="V1299" s="139"/>
      <c r="W1299" s="139"/>
      <c r="X1299" s="146"/>
      <c r="Y1299" s="148"/>
      <c r="Z1299" s="145"/>
      <c r="AA1299" s="139"/>
      <c r="AB1299" s="149"/>
      <c r="AC1299" s="119"/>
      <c r="AD1299" s="139"/>
      <c r="AE1299" s="139"/>
      <c r="AF1299" s="139"/>
      <c r="AG1299" s="139"/>
      <c r="AH1299" s="139"/>
      <c r="AI1299" s="139"/>
      <c r="AJ1299" s="139"/>
      <c r="AK1299" s="139"/>
      <c r="AL1299" s="139"/>
      <c r="AM1299" s="139"/>
      <c r="AN1299" s="139"/>
      <c r="AO1299" s="139"/>
      <c r="AP1299" s="139"/>
      <c r="AQ1299" s="174"/>
      <c r="AR1299" s="222"/>
    </row>
    <row r="1300" spans="2:44" s="141" customFormat="1" ht="18" customHeight="1" x14ac:dyDescent="0.25">
      <c r="B1300" s="145"/>
      <c r="C1300" s="139"/>
      <c r="D1300" s="146"/>
      <c r="E1300" s="139"/>
      <c r="F1300" s="139"/>
      <c r="G1300" s="139"/>
      <c r="H1300" s="139"/>
      <c r="I1300" s="139"/>
      <c r="J1300" s="139"/>
      <c r="K1300" s="139"/>
      <c r="L1300" s="243"/>
      <c r="M1300" s="243"/>
      <c r="N1300" s="139"/>
      <c r="O1300" s="139"/>
      <c r="P1300" s="139"/>
      <c r="Q1300" s="147"/>
      <c r="R1300" s="139"/>
      <c r="S1300" s="139"/>
      <c r="T1300" s="139"/>
      <c r="U1300" s="139"/>
      <c r="V1300" s="139"/>
      <c r="W1300" s="139"/>
      <c r="X1300" s="146"/>
      <c r="Y1300" s="148"/>
      <c r="Z1300" s="145"/>
      <c r="AA1300" s="139"/>
      <c r="AB1300" s="149"/>
      <c r="AC1300" s="119"/>
      <c r="AD1300" s="139"/>
      <c r="AE1300" s="139"/>
      <c r="AF1300" s="139"/>
      <c r="AG1300" s="139"/>
      <c r="AH1300" s="139"/>
      <c r="AI1300" s="139"/>
      <c r="AJ1300" s="139"/>
      <c r="AK1300" s="139"/>
      <c r="AL1300" s="139"/>
      <c r="AM1300" s="139"/>
      <c r="AN1300" s="139"/>
      <c r="AO1300" s="139"/>
      <c r="AP1300" s="139"/>
      <c r="AQ1300" s="174"/>
      <c r="AR1300" s="222"/>
    </row>
    <row r="1301" spans="2:44" s="22" customFormat="1" ht="18" customHeight="1" x14ac:dyDescent="0.25">
      <c r="B1301" s="145"/>
      <c r="C1301" s="139"/>
      <c r="D1301" s="146"/>
      <c r="E1301" s="139"/>
      <c r="F1301" s="139"/>
      <c r="G1301" s="139"/>
      <c r="H1301" s="139"/>
      <c r="I1301" s="139"/>
      <c r="J1301" s="139"/>
      <c r="K1301" s="139"/>
      <c r="L1301" s="243"/>
      <c r="M1301" s="243"/>
      <c r="N1301" s="139"/>
      <c r="O1301" s="139"/>
      <c r="P1301" s="139"/>
      <c r="Q1301" s="147"/>
      <c r="R1301" s="139"/>
      <c r="S1301" s="139"/>
      <c r="T1301" s="139"/>
      <c r="U1301" s="139"/>
      <c r="V1301" s="139"/>
      <c r="W1301" s="139"/>
      <c r="X1301" s="146"/>
      <c r="Y1301" s="148"/>
      <c r="Z1301" s="145"/>
      <c r="AA1301" s="139"/>
      <c r="AB1301" s="149"/>
      <c r="AC1301" s="119"/>
      <c r="AD1301" s="139"/>
      <c r="AE1301" s="139"/>
      <c r="AF1301" s="139"/>
      <c r="AG1301" s="139"/>
      <c r="AH1301" s="139"/>
      <c r="AI1301" s="139"/>
      <c r="AJ1301" s="139"/>
      <c r="AK1301" s="139"/>
      <c r="AL1301" s="139"/>
      <c r="AM1301" s="139"/>
      <c r="AN1301" s="139"/>
      <c r="AO1301" s="139"/>
      <c r="AP1301" s="139"/>
      <c r="AQ1301" s="174"/>
      <c r="AR1301" s="222"/>
    </row>
    <row r="1302" spans="2:44" s="22" customFormat="1" ht="18" customHeight="1" x14ac:dyDescent="0.25">
      <c r="B1302" s="145"/>
      <c r="C1302" s="139"/>
      <c r="D1302" s="146"/>
      <c r="E1302" s="139"/>
      <c r="F1302" s="139"/>
      <c r="G1302" s="139"/>
      <c r="H1302" s="139"/>
      <c r="I1302" s="139"/>
      <c r="J1302" s="139"/>
      <c r="K1302" s="139"/>
      <c r="L1302" s="243"/>
      <c r="M1302" s="243"/>
      <c r="N1302" s="139"/>
      <c r="O1302" s="139"/>
      <c r="P1302" s="139"/>
      <c r="Q1302" s="147"/>
      <c r="R1302" s="139"/>
      <c r="S1302" s="139"/>
      <c r="T1302" s="139"/>
      <c r="U1302" s="139"/>
      <c r="V1302" s="139"/>
      <c r="W1302" s="139"/>
      <c r="X1302" s="146"/>
      <c r="Y1302" s="148"/>
      <c r="Z1302" s="145"/>
      <c r="AA1302" s="139"/>
      <c r="AB1302" s="149"/>
      <c r="AC1302" s="119"/>
      <c r="AD1302" s="139"/>
      <c r="AE1302" s="139"/>
      <c r="AF1302" s="139"/>
      <c r="AG1302" s="139"/>
      <c r="AH1302" s="139"/>
      <c r="AI1302" s="139"/>
      <c r="AJ1302" s="139"/>
      <c r="AK1302" s="139"/>
      <c r="AL1302" s="139"/>
      <c r="AM1302" s="139"/>
      <c r="AN1302" s="139"/>
      <c r="AO1302" s="139"/>
      <c r="AP1302" s="139"/>
      <c r="AQ1302" s="174"/>
      <c r="AR1302" s="222"/>
    </row>
    <row r="1303" spans="2:44" s="22" customFormat="1" ht="18" customHeight="1" x14ac:dyDescent="0.25">
      <c r="B1303" s="145"/>
      <c r="C1303" s="139"/>
      <c r="D1303" s="146"/>
      <c r="E1303" s="139"/>
      <c r="F1303" s="139"/>
      <c r="G1303" s="139"/>
      <c r="H1303" s="139"/>
      <c r="I1303" s="139"/>
      <c r="J1303" s="139"/>
      <c r="K1303" s="139"/>
      <c r="L1303" s="243"/>
      <c r="M1303" s="243"/>
      <c r="N1303" s="139"/>
      <c r="O1303" s="139"/>
      <c r="P1303" s="139"/>
      <c r="Q1303" s="147"/>
      <c r="R1303" s="139"/>
      <c r="S1303" s="139"/>
      <c r="T1303" s="139"/>
      <c r="U1303" s="139"/>
      <c r="V1303" s="139"/>
      <c r="W1303" s="139"/>
      <c r="X1303" s="146"/>
      <c r="Y1303" s="148"/>
      <c r="Z1303" s="145"/>
      <c r="AA1303" s="139"/>
      <c r="AB1303" s="149"/>
      <c r="AC1303" s="119"/>
      <c r="AD1303" s="139"/>
      <c r="AE1303" s="139"/>
      <c r="AF1303" s="139"/>
      <c r="AG1303" s="139"/>
      <c r="AH1303" s="139"/>
      <c r="AI1303" s="139"/>
      <c r="AJ1303" s="139"/>
      <c r="AK1303" s="139"/>
      <c r="AL1303" s="139"/>
      <c r="AM1303" s="139"/>
      <c r="AN1303" s="139"/>
      <c r="AO1303" s="139"/>
      <c r="AP1303" s="139"/>
      <c r="AQ1303" s="174"/>
      <c r="AR1303" s="222"/>
    </row>
    <row r="1304" spans="2:44" s="22" customFormat="1" ht="18" customHeight="1" x14ac:dyDescent="0.25">
      <c r="B1304" s="145"/>
      <c r="C1304" s="139"/>
      <c r="D1304" s="146"/>
      <c r="E1304" s="139"/>
      <c r="F1304" s="139"/>
      <c r="G1304" s="139"/>
      <c r="H1304" s="139"/>
      <c r="I1304" s="139"/>
      <c r="J1304" s="139"/>
      <c r="K1304" s="139"/>
      <c r="L1304" s="243"/>
      <c r="M1304" s="243"/>
      <c r="N1304" s="139"/>
      <c r="O1304" s="139"/>
      <c r="P1304" s="139"/>
      <c r="Q1304" s="147"/>
      <c r="R1304" s="139"/>
      <c r="S1304" s="139"/>
      <c r="T1304" s="139"/>
      <c r="U1304" s="139"/>
      <c r="V1304" s="139"/>
      <c r="W1304" s="139"/>
      <c r="X1304" s="146"/>
      <c r="Y1304" s="148"/>
      <c r="Z1304" s="145"/>
      <c r="AA1304" s="139"/>
      <c r="AB1304" s="149"/>
      <c r="AC1304" s="119"/>
      <c r="AD1304" s="139"/>
      <c r="AE1304" s="139"/>
      <c r="AF1304" s="139"/>
      <c r="AG1304" s="139"/>
      <c r="AH1304" s="139"/>
      <c r="AI1304" s="139"/>
      <c r="AJ1304" s="139"/>
      <c r="AK1304" s="139"/>
      <c r="AL1304" s="139"/>
      <c r="AM1304" s="139"/>
      <c r="AN1304" s="139"/>
      <c r="AO1304" s="139"/>
      <c r="AP1304" s="139"/>
      <c r="AQ1304" s="174"/>
      <c r="AR1304" s="222"/>
    </row>
    <row r="1305" spans="2:44" s="22" customFormat="1" ht="18" customHeight="1" x14ac:dyDescent="0.25">
      <c r="B1305" s="145"/>
      <c r="C1305" s="139"/>
      <c r="D1305" s="146"/>
      <c r="E1305" s="139"/>
      <c r="F1305" s="139"/>
      <c r="G1305" s="139"/>
      <c r="H1305" s="139"/>
      <c r="I1305" s="139"/>
      <c r="J1305" s="139"/>
      <c r="K1305" s="139"/>
      <c r="L1305" s="243"/>
      <c r="M1305" s="243"/>
      <c r="N1305" s="139"/>
      <c r="O1305" s="139"/>
      <c r="P1305" s="139"/>
      <c r="Q1305" s="147"/>
      <c r="R1305" s="139"/>
      <c r="S1305" s="139"/>
      <c r="T1305" s="139"/>
      <c r="U1305" s="139"/>
      <c r="V1305" s="139"/>
      <c r="W1305" s="139"/>
      <c r="X1305" s="146"/>
      <c r="Y1305" s="148"/>
      <c r="Z1305" s="145"/>
      <c r="AA1305" s="139"/>
      <c r="AB1305" s="149"/>
      <c r="AC1305" s="119"/>
      <c r="AD1305" s="139"/>
      <c r="AE1305" s="139"/>
      <c r="AF1305" s="139"/>
      <c r="AG1305" s="139"/>
      <c r="AH1305" s="139"/>
      <c r="AI1305" s="139"/>
      <c r="AJ1305" s="139"/>
      <c r="AK1305" s="139"/>
      <c r="AL1305" s="139"/>
      <c r="AM1305" s="139"/>
      <c r="AN1305" s="139"/>
      <c r="AO1305" s="139"/>
      <c r="AP1305" s="139"/>
      <c r="AQ1305" s="174"/>
      <c r="AR1305" s="222"/>
    </row>
    <row r="1306" spans="2:44" s="22" customFormat="1" ht="18" customHeight="1" x14ac:dyDescent="0.25">
      <c r="B1306" s="145"/>
      <c r="C1306" s="139"/>
      <c r="D1306" s="146"/>
      <c r="E1306" s="139"/>
      <c r="F1306" s="139"/>
      <c r="G1306" s="139"/>
      <c r="H1306" s="139"/>
      <c r="I1306" s="139"/>
      <c r="J1306" s="139"/>
      <c r="K1306" s="139"/>
      <c r="L1306" s="243"/>
      <c r="M1306" s="243"/>
      <c r="N1306" s="139"/>
      <c r="O1306" s="139"/>
      <c r="P1306" s="139"/>
      <c r="Q1306" s="147"/>
      <c r="R1306" s="139"/>
      <c r="S1306" s="139"/>
      <c r="T1306" s="139"/>
      <c r="U1306" s="139"/>
      <c r="V1306" s="139"/>
      <c r="W1306" s="139"/>
      <c r="X1306" s="146"/>
      <c r="Y1306" s="148"/>
      <c r="Z1306" s="145"/>
      <c r="AA1306" s="139"/>
      <c r="AB1306" s="149"/>
      <c r="AC1306" s="119"/>
      <c r="AD1306" s="139"/>
      <c r="AE1306" s="139"/>
      <c r="AF1306" s="139"/>
      <c r="AG1306" s="139"/>
      <c r="AH1306" s="139"/>
      <c r="AI1306" s="139"/>
      <c r="AJ1306" s="139"/>
      <c r="AK1306" s="139"/>
      <c r="AL1306" s="139"/>
      <c r="AM1306" s="139"/>
      <c r="AN1306" s="139"/>
      <c r="AO1306" s="139"/>
      <c r="AP1306" s="139"/>
      <c r="AQ1306" s="174"/>
      <c r="AR1306" s="222"/>
    </row>
    <row r="1307" spans="2:44" s="22" customFormat="1" ht="18" customHeight="1" x14ac:dyDescent="0.25">
      <c r="B1307" s="145"/>
      <c r="C1307" s="139"/>
      <c r="D1307" s="146"/>
      <c r="E1307" s="139"/>
      <c r="F1307" s="139"/>
      <c r="G1307" s="139"/>
      <c r="H1307" s="139"/>
      <c r="I1307" s="139"/>
      <c r="J1307" s="139"/>
      <c r="K1307" s="139"/>
      <c r="L1307" s="243"/>
      <c r="M1307" s="243"/>
      <c r="N1307" s="139"/>
      <c r="O1307" s="139"/>
      <c r="P1307" s="139"/>
      <c r="Q1307" s="147"/>
      <c r="R1307" s="139"/>
      <c r="S1307" s="139"/>
      <c r="T1307" s="139"/>
      <c r="U1307" s="139"/>
      <c r="V1307" s="139"/>
      <c r="W1307" s="139"/>
      <c r="X1307" s="146"/>
      <c r="Y1307" s="148"/>
      <c r="Z1307" s="145"/>
      <c r="AA1307" s="139"/>
      <c r="AB1307" s="149"/>
      <c r="AC1307" s="119"/>
      <c r="AD1307" s="139"/>
      <c r="AE1307" s="139"/>
      <c r="AF1307" s="139"/>
      <c r="AG1307" s="139"/>
      <c r="AH1307" s="139"/>
      <c r="AI1307" s="139"/>
      <c r="AJ1307" s="139"/>
      <c r="AK1307" s="139"/>
      <c r="AL1307" s="139"/>
      <c r="AM1307" s="139"/>
      <c r="AN1307" s="139"/>
      <c r="AO1307" s="139"/>
      <c r="AP1307" s="139"/>
      <c r="AQ1307" s="174"/>
      <c r="AR1307" s="222"/>
    </row>
    <row r="1308" spans="2:44" s="22" customFormat="1" ht="18" customHeight="1" x14ac:dyDescent="0.25">
      <c r="B1308" s="145"/>
      <c r="C1308" s="139"/>
      <c r="D1308" s="146"/>
      <c r="E1308" s="139"/>
      <c r="F1308" s="139"/>
      <c r="G1308" s="139"/>
      <c r="H1308" s="139"/>
      <c r="I1308" s="139"/>
      <c r="J1308" s="139"/>
      <c r="K1308" s="139"/>
      <c r="L1308" s="243"/>
      <c r="M1308" s="243"/>
      <c r="N1308" s="139"/>
      <c r="O1308" s="139"/>
      <c r="P1308" s="139"/>
      <c r="Q1308" s="147"/>
      <c r="R1308" s="139"/>
      <c r="S1308" s="139"/>
      <c r="T1308" s="139"/>
      <c r="U1308" s="139"/>
      <c r="V1308" s="139"/>
      <c r="W1308" s="139"/>
      <c r="X1308" s="146"/>
      <c r="Y1308" s="148"/>
      <c r="Z1308" s="145"/>
      <c r="AA1308" s="139"/>
      <c r="AB1308" s="149"/>
      <c r="AC1308" s="119"/>
      <c r="AD1308" s="139"/>
      <c r="AE1308" s="139"/>
      <c r="AF1308" s="139"/>
      <c r="AG1308" s="139"/>
      <c r="AH1308" s="139"/>
      <c r="AI1308" s="139"/>
      <c r="AJ1308" s="139"/>
      <c r="AK1308" s="139"/>
      <c r="AL1308" s="139"/>
      <c r="AM1308" s="139"/>
      <c r="AN1308" s="139"/>
      <c r="AO1308" s="139"/>
      <c r="AP1308" s="139"/>
      <c r="AQ1308" s="174"/>
      <c r="AR1308" s="222"/>
    </row>
    <row r="1309" spans="2:44" s="140" customFormat="1" ht="18" customHeight="1" x14ac:dyDescent="0.25">
      <c r="B1309" s="145"/>
      <c r="C1309" s="139"/>
      <c r="D1309" s="146"/>
      <c r="E1309" s="139"/>
      <c r="F1309" s="139"/>
      <c r="G1309" s="139"/>
      <c r="H1309" s="139"/>
      <c r="I1309" s="139"/>
      <c r="J1309" s="139"/>
      <c r="K1309" s="139"/>
      <c r="L1309" s="243"/>
      <c r="M1309" s="243"/>
      <c r="N1309" s="139"/>
      <c r="O1309" s="139"/>
      <c r="P1309" s="139"/>
      <c r="Q1309" s="147"/>
      <c r="R1309" s="139"/>
      <c r="S1309" s="139"/>
      <c r="T1309" s="139"/>
      <c r="U1309" s="139"/>
      <c r="V1309" s="139"/>
      <c r="W1309" s="139"/>
      <c r="X1309" s="146"/>
      <c r="Y1309" s="148"/>
      <c r="Z1309" s="145"/>
      <c r="AA1309" s="139"/>
      <c r="AB1309" s="149"/>
      <c r="AC1309" s="119"/>
      <c r="AD1309" s="139"/>
      <c r="AE1309" s="139"/>
      <c r="AF1309" s="139"/>
      <c r="AG1309" s="139"/>
      <c r="AH1309" s="139"/>
      <c r="AI1309" s="139"/>
      <c r="AJ1309" s="139"/>
      <c r="AK1309" s="139"/>
      <c r="AL1309" s="139"/>
      <c r="AM1309" s="139"/>
      <c r="AN1309" s="139"/>
      <c r="AO1309" s="139"/>
      <c r="AP1309" s="139"/>
      <c r="AQ1309" s="174"/>
      <c r="AR1309" s="222"/>
    </row>
    <row r="1310" spans="2:44" s="22" customFormat="1" ht="18" customHeight="1" x14ac:dyDescent="0.25">
      <c r="B1310" s="145"/>
      <c r="C1310" s="139"/>
      <c r="D1310" s="146"/>
      <c r="E1310" s="139"/>
      <c r="F1310" s="139"/>
      <c r="G1310" s="139"/>
      <c r="H1310" s="139"/>
      <c r="I1310" s="139"/>
      <c r="J1310" s="139"/>
      <c r="K1310" s="139"/>
      <c r="L1310" s="243"/>
      <c r="M1310" s="243"/>
      <c r="N1310" s="139"/>
      <c r="O1310" s="139"/>
      <c r="P1310" s="139"/>
      <c r="Q1310" s="147"/>
      <c r="R1310" s="139"/>
      <c r="S1310" s="139"/>
      <c r="T1310" s="139"/>
      <c r="U1310" s="139"/>
      <c r="V1310" s="139"/>
      <c r="W1310" s="139"/>
      <c r="X1310" s="146"/>
      <c r="Y1310" s="148"/>
      <c r="Z1310" s="145"/>
      <c r="AA1310" s="139"/>
      <c r="AB1310" s="149"/>
      <c r="AC1310" s="119"/>
      <c r="AD1310" s="139"/>
      <c r="AE1310" s="139"/>
      <c r="AF1310" s="139"/>
      <c r="AG1310" s="139"/>
      <c r="AH1310" s="139"/>
      <c r="AI1310" s="139"/>
      <c r="AJ1310" s="139"/>
      <c r="AK1310" s="139"/>
      <c r="AL1310" s="139"/>
      <c r="AM1310" s="139"/>
      <c r="AN1310" s="139"/>
      <c r="AO1310" s="139"/>
      <c r="AP1310" s="139"/>
      <c r="AQ1310" s="174"/>
      <c r="AR1310" s="222"/>
    </row>
    <row r="1311" spans="2:44" s="22" customFormat="1" ht="18" customHeight="1" x14ac:dyDescent="0.25">
      <c r="B1311" s="145"/>
      <c r="C1311" s="139"/>
      <c r="D1311" s="146"/>
      <c r="E1311" s="139"/>
      <c r="F1311" s="139"/>
      <c r="G1311" s="139"/>
      <c r="H1311" s="139"/>
      <c r="I1311" s="139"/>
      <c r="J1311" s="139"/>
      <c r="K1311" s="139"/>
      <c r="L1311" s="243"/>
      <c r="M1311" s="243"/>
      <c r="N1311" s="139"/>
      <c r="O1311" s="139"/>
      <c r="P1311" s="139"/>
      <c r="Q1311" s="147"/>
      <c r="R1311" s="139"/>
      <c r="S1311" s="139"/>
      <c r="T1311" s="139"/>
      <c r="U1311" s="139"/>
      <c r="V1311" s="139"/>
      <c r="W1311" s="139"/>
      <c r="X1311" s="146"/>
      <c r="Y1311" s="148"/>
      <c r="Z1311" s="145"/>
      <c r="AA1311" s="139"/>
      <c r="AB1311" s="149"/>
      <c r="AC1311" s="119"/>
      <c r="AD1311" s="139"/>
      <c r="AE1311" s="139"/>
      <c r="AF1311" s="139"/>
      <c r="AG1311" s="139"/>
      <c r="AH1311" s="139"/>
      <c r="AI1311" s="139"/>
      <c r="AJ1311" s="139"/>
      <c r="AK1311" s="139"/>
      <c r="AL1311" s="139"/>
      <c r="AM1311" s="139"/>
      <c r="AN1311" s="139"/>
      <c r="AO1311" s="139"/>
      <c r="AP1311" s="139"/>
      <c r="AQ1311" s="174"/>
      <c r="AR1311" s="222"/>
    </row>
    <row r="1312" spans="2:44" s="22" customFormat="1" ht="18" customHeight="1" x14ac:dyDescent="0.25">
      <c r="B1312" s="145"/>
      <c r="C1312" s="139"/>
      <c r="D1312" s="146"/>
      <c r="E1312" s="139"/>
      <c r="F1312" s="139"/>
      <c r="G1312" s="139"/>
      <c r="H1312" s="139"/>
      <c r="I1312" s="139"/>
      <c r="J1312" s="139"/>
      <c r="K1312" s="139"/>
      <c r="L1312" s="243"/>
      <c r="M1312" s="243"/>
      <c r="N1312" s="139"/>
      <c r="O1312" s="139"/>
      <c r="P1312" s="139"/>
      <c r="Q1312" s="147"/>
      <c r="R1312" s="139"/>
      <c r="S1312" s="139"/>
      <c r="T1312" s="139"/>
      <c r="U1312" s="139"/>
      <c r="V1312" s="139"/>
      <c r="W1312" s="139"/>
      <c r="X1312" s="146"/>
      <c r="Y1312" s="148"/>
      <c r="Z1312" s="145"/>
      <c r="AA1312" s="139"/>
      <c r="AB1312" s="149"/>
      <c r="AC1312" s="119"/>
      <c r="AD1312" s="139"/>
      <c r="AE1312" s="139"/>
      <c r="AF1312" s="139"/>
      <c r="AG1312" s="139"/>
      <c r="AH1312" s="139"/>
      <c r="AI1312" s="139"/>
      <c r="AJ1312" s="139"/>
      <c r="AK1312" s="139"/>
      <c r="AL1312" s="139"/>
      <c r="AM1312" s="139"/>
      <c r="AN1312" s="139"/>
      <c r="AO1312" s="139"/>
      <c r="AP1312" s="139"/>
      <c r="AQ1312" s="174"/>
      <c r="AR1312" s="222"/>
    </row>
    <row r="1313" spans="2:44" s="22" customFormat="1" ht="18" customHeight="1" x14ac:dyDescent="0.25">
      <c r="B1313" s="145"/>
      <c r="C1313" s="139"/>
      <c r="D1313" s="146"/>
      <c r="E1313" s="139"/>
      <c r="F1313" s="139"/>
      <c r="G1313" s="139"/>
      <c r="H1313" s="139"/>
      <c r="I1313" s="139"/>
      <c r="J1313" s="139"/>
      <c r="K1313" s="139"/>
      <c r="L1313" s="243"/>
      <c r="M1313" s="243"/>
      <c r="N1313" s="139"/>
      <c r="O1313" s="139"/>
      <c r="P1313" s="139"/>
      <c r="Q1313" s="147"/>
      <c r="R1313" s="139"/>
      <c r="S1313" s="139"/>
      <c r="T1313" s="139"/>
      <c r="U1313" s="139"/>
      <c r="V1313" s="139"/>
      <c r="W1313" s="139"/>
      <c r="X1313" s="146"/>
      <c r="Y1313" s="148"/>
      <c r="Z1313" s="145"/>
      <c r="AA1313" s="139"/>
      <c r="AB1313" s="149"/>
      <c r="AC1313" s="119"/>
      <c r="AD1313" s="139"/>
      <c r="AE1313" s="139"/>
      <c r="AF1313" s="139"/>
      <c r="AG1313" s="139"/>
      <c r="AH1313" s="139"/>
      <c r="AI1313" s="139"/>
      <c r="AJ1313" s="139"/>
      <c r="AK1313" s="139"/>
      <c r="AL1313" s="139"/>
      <c r="AM1313" s="139"/>
      <c r="AN1313" s="139"/>
      <c r="AO1313" s="139"/>
      <c r="AP1313" s="139"/>
      <c r="AQ1313" s="174"/>
      <c r="AR1313" s="222"/>
    </row>
    <row r="1314" spans="2:44" s="22" customFormat="1" ht="18" customHeight="1" x14ac:dyDescent="0.25">
      <c r="B1314" s="145"/>
      <c r="C1314" s="139"/>
      <c r="D1314" s="146"/>
      <c r="E1314" s="139"/>
      <c r="F1314" s="139"/>
      <c r="G1314" s="139"/>
      <c r="H1314" s="139"/>
      <c r="I1314" s="139"/>
      <c r="J1314" s="139"/>
      <c r="K1314" s="139"/>
      <c r="L1314" s="243"/>
      <c r="M1314" s="243"/>
      <c r="N1314" s="139"/>
      <c r="O1314" s="139"/>
      <c r="P1314" s="139"/>
      <c r="Q1314" s="147"/>
      <c r="R1314" s="139"/>
      <c r="S1314" s="139"/>
      <c r="T1314" s="139"/>
      <c r="U1314" s="139"/>
      <c r="V1314" s="139"/>
      <c r="W1314" s="139"/>
      <c r="X1314" s="146"/>
      <c r="Y1314" s="148"/>
      <c r="Z1314" s="145"/>
      <c r="AA1314" s="139"/>
      <c r="AB1314" s="149"/>
      <c r="AC1314" s="119"/>
      <c r="AD1314" s="139"/>
      <c r="AE1314" s="139"/>
      <c r="AF1314" s="139"/>
      <c r="AG1314" s="139"/>
      <c r="AH1314" s="139"/>
      <c r="AI1314" s="139"/>
      <c r="AJ1314" s="139"/>
      <c r="AK1314" s="139"/>
      <c r="AL1314" s="139"/>
      <c r="AM1314" s="139"/>
      <c r="AN1314" s="139"/>
      <c r="AO1314" s="139"/>
      <c r="AP1314" s="139"/>
      <c r="AQ1314" s="174"/>
      <c r="AR1314" s="222"/>
    </row>
    <row r="1315" spans="2:44" s="22" customFormat="1" ht="18" customHeight="1" x14ac:dyDescent="0.25">
      <c r="B1315" s="145"/>
      <c r="C1315" s="139"/>
      <c r="D1315" s="146"/>
      <c r="E1315" s="139"/>
      <c r="F1315" s="139"/>
      <c r="G1315" s="139"/>
      <c r="H1315" s="139"/>
      <c r="I1315" s="139"/>
      <c r="J1315" s="139"/>
      <c r="K1315" s="139"/>
      <c r="L1315" s="243"/>
      <c r="M1315" s="243"/>
      <c r="N1315" s="139"/>
      <c r="O1315" s="139"/>
      <c r="P1315" s="139"/>
      <c r="Q1315" s="147"/>
      <c r="R1315" s="139"/>
      <c r="S1315" s="139"/>
      <c r="T1315" s="139"/>
      <c r="U1315" s="139"/>
      <c r="V1315" s="139"/>
      <c r="W1315" s="139"/>
      <c r="X1315" s="146"/>
      <c r="Y1315" s="148"/>
      <c r="Z1315" s="145"/>
      <c r="AA1315" s="139"/>
      <c r="AB1315" s="149"/>
      <c r="AC1315" s="119"/>
      <c r="AD1315" s="139"/>
      <c r="AE1315" s="139"/>
      <c r="AF1315" s="139"/>
      <c r="AG1315" s="139"/>
      <c r="AH1315" s="139"/>
      <c r="AI1315" s="139"/>
      <c r="AJ1315" s="139"/>
      <c r="AK1315" s="139"/>
      <c r="AL1315" s="139"/>
      <c r="AM1315" s="139"/>
      <c r="AN1315" s="139"/>
      <c r="AO1315" s="139"/>
      <c r="AP1315" s="139"/>
      <c r="AQ1315" s="174"/>
      <c r="AR1315" s="222"/>
    </row>
    <row r="1316" spans="2:44" s="22" customFormat="1" ht="18" customHeight="1" x14ac:dyDescent="0.25">
      <c r="B1316" s="145"/>
      <c r="C1316" s="139"/>
      <c r="D1316" s="146"/>
      <c r="E1316" s="139"/>
      <c r="F1316" s="139"/>
      <c r="G1316" s="139"/>
      <c r="H1316" s="139"/>
      <c r="I1316" s="139"/>
      <c r="J1316" s="139"/>
      <c r="K1316" s="139"/>
      <c r="L1316" s="243"/>
      <c r="M1316" s="243"/>
      <c r="N1316" s="139"/>
      <c r="O1316" s="139"/>
      <c r="P1316" s="139"/>
      <c r="Q1316" s="147"/>
      <c r="R1316" s="139"/>
      <c r="S1316" s="139"/>
      <c r="T1316" s="139"/>
      <c r="U1316" s="139"/>
      <c r="V1316" s="139"/>
      <c r="W1316" s="139"/>
      <c r="X1316" s="146"/>
      <c r="Y1316" s="148"/>
      <c r="Z1316" s="145"/>
      <c r="AA1316" s="139"/>
      <c r="AB1316" s="149"/>
      <c r="AC1316" s="119"/>
      <c r="AD1316" s="139"/>
      <c r="AE1316" s="139"/>
      <c r="AF1316" s="139"/>
      <c r="AG1316" s="139"/>
      <c r="AH1316" s="139"/>
      <c r="AI1316" s="139"/>
      <c r="AJ1316" s="139"/>
      <c r="AK1316" s="139"/>
      <c r="AL1316" s="139"/>
      <c r="AM1316" s="139"/>
      <c r="AN1316" s="139"/>
      <c r="AO1316" s="139"/>
      <c r="AP1316" s="139"/>
      <c r="AQ1316" s="174"/>
      <c r="AR1316" s="222"/>
    </row>
    <row r="1317" spans="2:44" s="22" customFormat="1" ht="18" customHeight="1" x14ac:dyDescent="0.25">
      <c r="B1317" s="145"/>
      <c r="C1317" s="139"/>
      <c r="D1317" s="146"/>
      <c r="E1317" s="139"/>
      <c r="F1317" s="139"/>
      <c r="G1317" s="139"/>
      <c r="H1317" s="139"/>
      <c r="I1317" s="139"/>
      <c r="J1317" s="139"/>
      <c r="K1317" s="139"/>
      <c r="L1317" s="243"/>
      <c r="M1317" s="243"/>
      <c r="N1317" s="139"/>
      <c r="O1317" s="139"/>
      <c r="P1317" s="139"/>
      <c r="Q1317" s="147"/>
      <c r="R1317" s="139"/>
      <c r="S1317" s="139"/>
      <c r="T1317" s="139"/>
      <c r="U1317" s="139"/>
      <c r="V1317" s="139"/>
      <c r="W1317" s="139"/>
      <c r="X1317" s="146"/>
      <c r="Y1317" s="148"/>
      <c r="Z1317" s="145"/>
      <c r="AA1317" s="139"/>
      <c r="AB1317" s="149"/>
      <c r="AC1317" s="119"/>
      <c r="AD1317" s="139"/>
      <c r="AE1317" s="139"/>
      <c r="AF1317" s="139"/>
      <c r="AG1317" s="139"/>
      <c r="AH1317" s="139"/>
      <c r="AI1317" s="139"/>
      <c r="AJ1317" s="139"/>
      <c r="AK1317" s="139"/>
      <c r="AL1317" s="139"/>
      <c r="AM1317" s="139"/>
      <c r="AN1317" s="139"/>
      <c r="AO1317" s="139"/>
      <c r="AP1317" s="139"/>
      <c r="AQ1317" s="174"/>
      <c r="AR1317" s="222"/>
    </row>
    <row r="1318" spans="2:44" s="22" customFormat="1" ht="18" customHeight="1" x14ac:dyDescent="0.25">
      <c r="B1318" s="145"/>
      <c r="C1318" s="139"/>
      <c r="D1318" s="146"/>
      <c r="E1318" s="139"/>
      <c r="F1318" s="139"/>
      <c r="G1318" s="139"/>
      <c r="H1318" s="139"/>
      <c r="I1318" s="139"/>
      <c r="J1318" s="139"/>
      <c r="K1318" s="139"/>
      <c r="L1318" s="243"/>
      <c r="M1318" s="243"/>
      <c r="N1318" s="139"/>
      <c r="O1318" s="139"/>
      <c r="P1318" s="139"/>
      <c r="Q1318" s="147"/>
      <c r="R1318" s="139"/>
      <c r="S1318" s="139"/>
      <c r="T1318" s="139"/>
      <c r="U1318" s="139"/>
      <c r="V1318" s="139"/>
      <c r="W1318" s="139"/>
      <c r="X1318" s="146"/>
      <c r="Y1318" s="148"/>
      <c r="Z1318" s="145"/>
      <c r="AA1318" s="139"/>
      <c r="AB1318" s="149"/>
      <c r="AC1318" s="119"/>
      <c r="AD1318" s="139"/>
      <c r="AE1318" s="139"/>
      <c r="AF1318" s="139"/>
      <c r="AG1318" s="139"/>
      <c r="AH1318" s="139"/>
      <c r="AI1318" s="139"/>
      <c r="AJ1318" s="139"/>
      <c r="AK1318" s="139"/>
      <c r="AL1318" s="139"/>
      <c r="AM1318" s="139"/>
      <c r="AN1318" s="139"/>
      <c r="AO1318" s="139"/>
      <c r="AP1318" s="139"/>
      <c r="AQ1318" s="174"/>
      <c r="AR1318" s="222"/>
    </row>
    <row r="1319" spans="2:44" s="22" customFormat="1" ht="18" customHeight="1" x14ac:dyDescent="0.25">
      <c r="B1319" s="145"/>
      <c r="C1319" s="139"/>
      <c r="D1319" s="146"/>
      <c r="E1319" s="139"/>
      <c r="F1319" s="139"/>
      <c r="G1319" s="139"/>
      <c r="H1319" s="139"/>
      <c r="I1319" s="139"/>
      <c r="J1319" s="139"/>
      <c r="K1319" s="139"/>
      <c r="L1319" s="243"/>
      <c r="M1319" s="243"/>
      <c r="N1319" s="139"/>
      <c r="O1319" s="139"/>
      <c r="P1319" s="139"/>
      <c r="Q1319" s="147"/>
      <c r="R1319" s="139"/>
      <c r="S1319" s="139"/>
      <c r="T1319" s="139"/>
      <c r="U1319" s="139"/>
      <c r="V1319" s="139"/>
      <c r="W1319" s="139"/>
      <c r="X1319" s="146"/>
      <c r="Y1319" s="148"/>
      <c r="Z1319" s="145"/>
      <c r="AA1319" s="139"/>
      <c r="AB1319" s="149"/>
      <c r="AC1319" s="119"/>
      <c r="AD1319" s="139"/>
      <c r="AE1319" s="139"/>
      <c r="AF1319" s="139"/>
      <c r="AG1319" s="139"/>
      <c r="AH1319" s="139"/>
      <c r="AI1319" s="139"/>
      <c r="AJ1319" s="139"/>
      <c r="AK1319" s="139"/>
      <c r="AL1319" s="139"/>
      <c r="AM1319" s="139"/>
      <c r="AN1319" s="139"/>
      <c r="AO1319" s="139"/>
      <c r="AP1319" s="139"/>
      <c r="AQ1319" s="174"/>
      <c r="AR1319" s="222"/>
    </row>
    <row r="1320" spans="2:44" s="22" customFormat="1" ht="18" customHeight="1" x14ac:dyDescent="0.25">
      <c r="B1320" s="145"/>
      <c r="C1320" s="139"/>
      <c r="D1320" s="146"/>
      <c r="E1320" s="139"/>
      <c r="F1320" s="139"/>
      <c r="G1320" s="139"/>
      <c r="H1320" s="139"/>
      <c r="I1320" s="139"/>
      <c r="J1320" s="139"/>
      <c r="K1320" s="139"/>
      <c r="L1320" s="243"/>
      <c r="M1320" s="243"/>
      <c r="N1320" s="139"/>
      <c r="O1320" s="139"/>
      <c r="P1320" s="139"/>
      <c r="Q1320" s="147"/>
      <c r="R1320" s="139"/>
      <c r="S1320" s="139"/>
      <c r="T1320" s="139"/>
      <c r="U1320" s="139"/>
      <c r="V1320" s="139"/>
      <c r="W1320" s="139"/>
      <c r="X1320" s="146"/>
      <c r="Y1320" s="148"/>
      <c r="Z1320" s="145"/>
      <c r="AA1320" s="139"/>
      <c r="AB1320" s="149"/>
      <c r="AC1320" s="119"/>
      <c r="AD1320" s="139"/>
      <c r="AE1320" s="139"/>
      <c r="AF1320" s="139"/>
      <c r="AG1320" s="139"/>
      <c r="AH1320" s="139"/>
      <c r="AI1320" s="139"/>
      <c r="AJ1320" s="139"/>
      <c r="AK1320" s="139"/>
      <c r="AL1320" s="139"/>
      <c r="AM1320" s="139"/>
      <c r="AN1320" s="139"/>
      <c r="AO1320" s="139"/>
      <c r="AP1320" s="139"/>
      <c r="AQ1320" s="174"/>
      <c r="AR1320" s="222"/>
    </row>
    <row r="1321" spans="2:44" s="22" customFormat="1" ht="18" customHeight="1" x14ac:dyDescent="0.25">
      <c r="B1321" s="145"/>
      <c r="C1321" s="139"/>
      <c r="D1321" s="146"/>
      <c r="E1321" s="139"/>
      <c r="F1321" s="139"/>
      <c r="G1321" s="139"/>
      <c r="H1321" s="139"/>
      <c r="I1321" s="139"/>
      <c r="J1321" s="139"/>
      <c r="K1321" s="139"/>
      <c r="L1321" s="243"/>
      <c r="M1321" s="243"/>
      <c r="N1321" s="139"/>
      <c r="O1321" s="139"/>
      <c r="P1321" s="139"/>
      <c r="Q1321" s="147"/>
      <c r="R1321" s="139"/>
      <c r="S1321" s="139"/>
      <c r="T1321" s="139"/>
      <c r="U1321" s="139"/>
      <c r="V1321" s="139"/>
      <c r="W1321" s="139"/>
      <c r="X1321" s="146"/>
      <c r="Y1321" s="148"/>
      <c r="Z1321" s="145"/>
      <c r="AA1321" s="139"/>
      <c r="AB1321" s="149"/>
      <c r="AC1321" s="119"/>
      <c r="AD1321" s="139"/>
      <c r="AE1321" s="139"/>
      <c r="AF1321" s="139"/>
      <c r="AG1321" s="139"/>
      <c r="AH1321" s="139"/>
      <c r="AI1321" s="139"/>
      <c r="AJ1321" s="139"/>
      <c r="AK1321" s="139"/>
      <c r="AL1321" s="139"/>
      <c r="AM1321" s="139"/>
      <c r="AN1321" s="139"/>
      <c r="AO1321" s="139"/>
      <c r="AP1321" s="139"/>
      <c r="AQ1321" s="174"/>
      <c r="AR1321" s="222"/>
    </row>
    <row r="1322" spans="2:44" s="22" customFormat="1" ht="18" customHeight="1" x14ac:dyDescent="0.25">
      <c r="B1322" s="145"/>
      <c r="C1322" s="139"/>
      <c r="D1322" s="146"/>
      <c r="E1322" s="139"/>
      <c r="F1322" s="139"/>
      <c r="G1322" s="139"/>
      <c r="H1322" s="139"/>
      <c r="I1322" s="139"/>
      <c r="J1322" s="139"/>
      <c r="K1322" s="139"/>
      <c r="L1322" s="243"/>
      <c r="M1322" s="243"/>
      <c r="N1322" s="139"/>
      <c r="O1322" s="139"/>
      <c r="P1322" s="139"/>
      <c r="Q1322" s="147"/>
      <c r="R1322" s="139"/>
      <c r="S1322" s="139"/>
      <c r="T1322" s="139"/>
      <c r="U1322" s="139"/>
      <c r="V1322" s="139"/>
      <c r="W1322" s="139"/>
      <c r="X1322" s="146"/>
      <c r="Y1322" s="148"/>
      <c r="Z1322" s="145"/>
      <c r="AA1322" s="139"/>
      <c r="AB1322" s="149"/>
      <c r="AC1322" s="119"/>
      <c r="AD1322" s="139"/>
      <c r="AE1322" s="139"/>
      <c r="AF1322" s="139"/>
      <c r="AG1322" s="139"/>
      <c r="AH1322" s="139"/>
      <c r="AI1322" s="139"/>
      <c r="AJ1322" s="139"/>
      <c r="AK1322" s="139"/>
      <c r="AL1322" s="139"/>
      <c r="AM1322" s="139"/>
      <c r="AN1322" s="139"/>
      <c r="AO1322" s="139"/>
      <c r="AP1322" s="139"/>
      <c r="AQ1322" s="174"/>
      <c r="AR1322" s="222"/>
    </row>
    <row r="1323" spans="2:44" s="22" customFormat="1" ht="18" customHeight="1" x14ac:dyDescent="0.25">
      <c r="B1323" s="145"/>
      <c r="C1323" s="139"/>
      <c r="D1323" s="146"/>
      <c r="E1323" s="139"/>
      <c r="F1323" s="139"/>
      <c r="G1323" s="139"/>
      <c r="H1323" s="139"/>
      <c r="I1323" s="139"/>
      <c r="J1323" s="139"/>
      <c r="K1323" s="139"/>
      <c r="L1323" s="243"/>
      <c r="M1323" s="243"/>
      <c r="N1323" s="139"/>
      <c r="O1323" s="139"/>
      <c r="P1323" s="139"/>
      <c r="Q1323" s="147"/>
      <c r="R1323" s="139"/>
      <c r="S1323" s="139"/>
      <c r="T1323" s="139"/>
      <c r="U1323" s="139"/>
      <c r="V1323" s="139"/>
      <c r="W1323" s="139"/>
      <c r="X1323" s="146"/>
      <c r="Y1323" s="148"/>
      <c r="Z1323" s="145"/>
      <c r="AA1323" s="139"/>
      <c r="AB1323" s="149"/>
      <c r="AC1323" s="119"/>
      <c r="AD1323" s="139"/>
      <c r="AE1323" s="139"/>
      <c r="AF1323" s="139"/>
      <c r="AG1323" s="139"/>
      <c r="AH1323" s="139"/>
      <c r="AI1323" s="139"/>
      <c r="AJ1323" s="139"/>
      <c r="AK1323" s="139"/>
      <c r="AL1323" s="139"/>
      <c r="AM1323" s="139"/>
      <c r="AN1323" s="139"/>
      <c r="AO1323" s="139"/>
      <c r="AP1323" s="139"/>
      <c r="AQ1323" s="174"/>
      <c r="AR1323" s="222"/>
    </row>
    <row r="1324" spans="2:44" s="141" customFormat="1" ht="18" customHeight="1" x14ac:dyDescent="0.25">
      <c r="B1324" s="145"/>
      <c r="C1324" s="139"/>
      <c r="D1324" s="146"/>
      <c r="E1324" s="139"/>
      <c r="F1324" s="139"/>
      <c r="G1324" s="139"/>
      <c r="H1324" s="139"/>
      <c r="I1324" s="139"/>
      <c r="J1324" s="139"/>
      <c r="K1324" s="139"/>
      <c r="L1324" s="243"/>
      <c r="M1324" s="243"/>
      <c r="N1324" s="139"/>
      <c r="O1324" s="139"/>
      <c r="P1324" s="139"/>
      <c r="Q1324" s="147"/>
      <c r="R1324" s="139"/>
      <c r="S1324" s="139"/>
      <c r="T1324" s="139"/>
      <c r="U1324" s="139"/>
      <c r="V1324" s="139"/>
      <c r="W1324" s="139"/>
      <c r="X1324" s="146"/>
      <c r="Y1324" s="148"/>
      <c r="Z1324" s="145"/>
      <c r="AA1324" s="139"/>
      <c r="AB1324" s="149"/>
      <c r="AC1324" s="119"/>
      <c r="AD1324" s="139"/>
      <c r="AE1324" s="139"/>
      <c r="AF1324" s="139"/>
      <c r="AG1324" s="139"/>
      <c r="AH1324" s="139"/>
      <c r="AI1324" s="139"/>
      <c r="AJ1324" s="139"/>
      <c r="AK1324" s="139"/>
      <c r="AL1324" s="139"/>
      <c r="AM1324" s="139"/>
      <c r="AN1324" s="139"/>
      <c r="AO1324" s="139"/>
      <c r="AP1324" s="139"/>
      <c r="AQ1324" s="174"/>
      <c r="AR1324" s="222"/>
    </row>
    <row r="1325" spans="2:44" s="22" customFormat="1" ht="18" customHeight="1" x14ac:dyDescent="0.25">
      <c r="B1325" s="145"/>
      <c r="C1325" s="139"/>
      <c r="D1325" s="146"/>
      <c r="E1325" s="139"/>
      <c r="F1325" s="139"/>
      <c r="G1325" s="139"/>
      <c r="H1325" s="139"/>
      <c r="I1325" s="139"/>
      <c r="J1325" s="139"/>
      <c r="K1325" s="139"/>
      <c r="L1325" s="243"/>
      <c r="M1325" s="243"/>
      <c r="N1325" s="139"/>
      <c r="O1325" s="139"/>
      <c r="P1325" s="139"/>
      <c r="Q1325" s="147"/>
      <c r="R1325" s="139"/>
      <c r="S1325" s="139"/>
      <c r="T1325" s="139"/>
      <c r="U1325" s="139"/>
      <c r="V1325" s="139"/>
      <c r="W1325" s="139"/>
      <c r="X1325" s="146"/>
      <c r="Y1325" s="148"/>
      <c r="Z1325" s="145"/>
      <c r="AA1325" s="139"/>
      <c r="AB1325" s="149"/>
      <c r="AC1325" s="119"/>
      <c r="AD1325" s="139"/>
      <c r="AE1325" s="139"/>
      <c r="AF1325" s="139"/>
      <c r="AG1325" s="139"/>
      <c r="AH1325" s="139"/>
      <c r="AI1325" s="139"/>
      <c r="AJ1325" s="139"/>
      <c r="AK1325" s="139"/>
      <c r="AL1325" s="139"/>
      <c r="AM1325" s="139"/>
      <c r="AN1325" s="139"/>
      <c r="AO1325" s="139"/>
      <c r="AP1325" s="139"/>
      <c r="AQ1325" s="174"/>
      <c r="AR1325" s="222"/>
    </row>
    <row r="1326" spans="2:44" s="22" customFormat="1" ht="18" customHeight="1" x14ac:dyDescent="0.25">
      <c r="B1326" s="145"/>
      <c r="C1326" s="139"/>
      <c r="D1326" s="146"/>
      <c r="E1326" s="139"/>
      <c r="F1326" s="139"/>
      <c r="G1326" s="139"/>
      <c r="H1326" s="139"/>
      <c r="I1326" s="139"/>
      <c r="J1326" s="139"/>
      <c r="K1326" s="139"/>
      <c r="L1326" s="243"/>
      <c r="M1326" s="243"/>
      <c r="N1326" s="139"/>
      <c r="O1326" s="139"/>
      <c r="P1326" s="139"/>
      <c r="Q1326" s="147"/>
      <c r="R1326" s="139"/>
      <c r="S1326" s="139"/>
      <c r="T1326" s="139"/>
      <c r="U1326" s="139"/>
      <c r="V1326" s="139"/>
      <c r="W1326" s="139"/>
      <c r="X1326" s="146"/>
      <c r="Y1326" s="148"/>
      <c r="Z1326" s="145"/>
      <c r="AA1326" s="139"/>
      <c r="AB1326" s="149"/>
      <c r="AC1326" s="119"/>
      <c r="AD1326" s="139"/>
      <c r="AE1326" s="139"/>
      <c r="AF1326" s="139"/>
      <c r="AG1326" s="139"/>
      <c r="AH1326" s="139"/>
      <c r="AI1326" s="139"/>
      <c r="AJ1326" s="139"/>
      <c r="AK1326" s="139"/>
      <c r="AL1326" s="139"/>
      <c r="AM1326" s="139"/>
      <c r="AN1326" s="139"/>
      <c r="AO1326" s="139"/>
      <c r="AP1326" s="139"/>
      <c r="AQ1326" s="174"/>
      <c r="AR1326" s="222"/>
    </row>
    <row r="1327" spans="2:44" s="22" customFormat="1" ht="18" customHeight="1" x14ac:dyDescent="0.25">
      <c r="B1327" s="145"/>
      <c r="C1327" s="139"/>
      <c r="D1327" s="146"/>
      <c r="E1327" s="139"/>
      <c r="F1327" s="139"/>
      <c r="G1327" s="139"/>
      <c r="H1327" s="139"/>
      <c r="I1327" s="139"/>
      <c r="J1327" s="139"/>
      <c r="K1327" s="139"/>
      <c r="L1327" s="243"/>
      <c r="M1327" s="243"/>
      <c r="N1327" s="139"/>
      <c r="O1327" s="139"/>
      <c r="P1327" s="139"/>
      <c r="Q1327" s="147"/>
      <c r="R1327" s="139"/>
      <c r="S1327" s="139"/>
      <c r="T1327" s="139"/>
      <c r="U1327" s="139"/>
      <c r="V1327" s="139"/>
      <c r="W1327" s="139"/>
      <c r="X1327" s="146"/>
      <c r="Y1327" s="148"/>
      <c r="Z1327" s="145"/>
      <c r="AA1327" s="139"/>
      <c r="AB1327" s="149"/>
      <c r="AC1327" s="119"/>
      <c r="AD1327" s="139"/>
      <c r="AE1327" s="139"/>
      <c r="AF1327" s="139"/>
      <c r="AG1327" s="139"/>
      <c r="AH1327" s="139"/>
      <c r="AI1327" s="139"/>
      <c r="AJ1327" s="139"/>
      <c r="AK1327" s="139"/>
      <c r="AL1327" s="139"/>
      <c r="AM1327" s="139"/>
      <c r="AN1327" s="139"/>
      <c r="AO1327" s="139"/>
      <c r="AP1327" s="139"/>
      <c r="AQ1327" s="174"/>
      <c r="AR1327" s="222"/>
    </row>
    <row r="1328" spans="2:44" s="22" customFormat="1" ht="18" customHeight="1" x14ac:dyDescent="0.25">
      <c r="B1328" s="145"/>
      <c r="C1328" s="139"/>
      <c r="D1328" s="146"/>
      <c r="E1328" s="139"/>
      <c r="F1328" s="139"/>
      <c r="G1328" s="139"/>
      <c r="H1328" s="139"/>
      <c r="I1328" s="139"/>
      <c r="J1328" s="139"/>
      <c r="K1328" s="139"/>
      <c r="L1328" s="243"/>
      <c r="M1328" s="243"/>
      <c r="N1328" s="139"/>
      <c r="O1328" s="139"/>
      <c r="P1328" s="139"/>
      <c r="Q1328" s="147"/>
      <c r="R1328" s="139"/>
      <c r="S1328" s="139"/>
      <c r="T1328" s="139"/>
      <c r="U1328" s="139"/>
      <c r="V1328" s="139"/>
      <c r="W1328" s="139"/>
      <c r="X1328" s="146"/>
      <c r="Y1328" s="148"/>
      <c r="Z1328" s="145"/>
      <c r="AA1328" s="139"/>
      <c r="AB1328" s="149"/>
      <c r="AC1328" s="119"/>
      <c r="AD1328" s="139"/>
      <c r="AE1328" s="139"/>
      <c r="AF1328" s="139"/>
      <c r="AG1328" s="139"/>
      <c r="AH1328" s="139"/>
      <c r="AI1328" s="139"/>
      <c r="AJ1328" s="139"/>
      <c r="AK1328" s="139"/>
      <c r="AL1328" s="139"/>
      <c r="AM1328" s="139"/>
      <c r="AN1328" s="139"/>
      <c r="AO1328" s="139"/>
      <c r="AP1328" s="139"/>
      <c r="AQ1328" s="174"/>
      <c r="AR1328" s="222"/>
    </row>
    <row r="1329" spans="2:44" s="22" customFormat="1" ht="18" customHeight="1" x14ac:dyDescent="0.25">
      <c r="B1329" s="145"/>
      <c r="C1329" s="139"/>
      <c r="D1329" s="146"/>
      <c r="E1329" s="139"/>
      <c r="F1329" s="139"/>
      <c r="G1329" s="139"/>
      <c r="H1329" s="139"/>
      <c r="I1329" s="139"/>
      <c r="J1329" s="139"/>
      <c r="K1329" s="139"/>
      <c r="L1329" s="243"/>
      <c r="M1329" s="243"/>
      <c r="N1329" s="139"/>
      <c r="O1329" s="139"/>
      <c r="P1329" s="139"/>
      <c r="Q1329" s="147"/>
      <c r="R1329" s="139"/>
      <c r="S1329" s="139"/>
      <c r="T1329" s="139"/>
      <c r="U1329" s="139"/>
      <c r="V1329" s="139"/>
      <c r="W1329" s="139"/>
      <c r="X1329" s="146"/>
      <c r="Y1329" s="148"/>
      <c r="Z1329" s="145"/>
      <c r="AA1329" s="139"/>
      <c r="AB1329" s="149"/>
      <c r="AC1329" s="119"/>
      <c r="AD1329" s="139"/>
      <c r="AE1329" s="139"/>
      <c r="AF1329" s="139"/>
      <c r="AG1329" s="139"/>
      <c r="AH1329" s="139"/>
      <c r="AI1329" s="139"/>
      <c r="AJ1329" s="139"/>
      <c r="AK1329" s="139"/>
      <c r="AL1329" s="139"/>
      <c r="AM1329" s="139"/>
      <c r="AN1329" s="139"/>
      <c r="AO1329" s="139"/>
      <c r="AP1329" s="139"/>
      <c r="AQ1329" s="174"/>
      <c r="AR1329" s="222"/>
    </row>
    <row r="1330" spans="2:44" s="22" customFormat="1" ht="18" customHeight="1" x14ac:dyDescent="0.25">
      <c r="B1330" s="145"/>
      <c r="C1330" s="139"/>
      <c r="D1330" s="146"/>
      <c r="E1330" s="139"/>
      <c r="F1330" s="139"/>
      <c r="G1330" s="139"/>
      <c r="H1330" s="139"/>
      <c r="I1330" s="139"/>
      <c r="J1330" s="139"/>
      <c r="K1330" s="139"/>
      <c r="L1330" s="243"/>
      <c r="M1330" s="243"/>
      <c r="N1330" s="139"/>
      <c r="O1330" s="139"/>
      <c r="P1330" s="139"/>
      <c r="Q1330" s="147"/>
      <c r="R1330" s="139"/>
      <c r="S1330" s="139"/>
      <c r="T1330" s="139"/>
      <c r="U1330" s="139"/>
      <c r="V1330" s="139"/>
      <c r="W1330" s="139"/>
      <c r="X1330" s="146"/>
      <c r="Y1330" s="148"/>
      <c r="Z1330" s="145"/>
      <c r="AA1330" s="139"/>
      <c r="AB1330" s="149"/>
      <c r="AC1330" s="119"/>
      <c r="AD1330" s="139"/>
      <c r="AE1330" s="139"/>
      <c r="AF1330" s="139"/>
      <c r="AG1330" s="139"/>
      <c r="AH1330" s="139"/>
      <c r="AI1330" s="139"/>
      <c r="AJ1330" s="139"/>
      <c r="AK1330" s="139"/>
      <c r="AL1330" s="139"/>
      <c r="AM1330" s="139"/>
      <c r="AN1330" s="139"/>
      <c r="AO1330" s="139"/>
      <c r="AP1330" s="139"/>
      <c r="AQ1330" s="174"/>
      <c r="AR1330" s="222"/>
    </row>
    <row r="1331" spans="2:44" s="141" customFormat="1" ht="18" customHeight="1" x14ac:dyDescent="0.25">
      <c r="B1331" s="145"/>
      <c r="C1331" s="139"/>
      <c r="D1331" s="146"/>
      <c r="E1331" s="139"/>
      <c r="F1331" s="139"/>
      <c r="G1331" s="139"/>
      <c r="H1331" s="139"/>
      <c r="I1331" s="139"/>
      <c r="J1331" s="139"/>
      <c r="K1331" s="139"/>
      <c r="L1331" s="243"/>
      <c r="M1331" s="243"/>
      <c r="N1331" s="139"/>
      <c r="O1331" s="139"/>
      <c r="P1331" s="139"/>
      <c r="Q1331" s="147"/>
      <c r="R1331" s="139"/>
      <c r="S1331" s="139"/>
      <c r="T1331" s="139"/>
      <c r="U1331" s="139"/>
      <c r="V1331" s="139"/>
      <c r="W1331" s="139"/>
      <c r="X1331" s="146"/>
      <c r="Y1331" s="148"/>
      <c r="Z1331" s="145"/>
      <c r="AA1331" s="139"/>
      <c r="AB1331" s="149"/>
      <c r="AC1331" s="119"/>
      <c r="AD1331" s="139"/>
      <c r="AE1331" s="139"/>
      <c r="AF1331" s="139"/>
      <c r="AG1331" s="139"/>
      <c r="AH1331" s="139"/>
      <c r="AI1331" s="139"/>
      <c r="AJ1331" s="139"/>
      <c r="AK1331" s="139"/>
      <c r="AL1331" s="139"/>
      <c r="AM1331" s="139"/>
      <c r="AN1331" s="139"/>
      <c r="AO1331" s="139"/>
      <c r="AP1331" s="139"/>
      <c r="AQ1331" s="174"/>
      <c r="AR1331" s="222"/>
    </row>
    <row r="1332" spans="2:44" s="22" customFormat="1" ht="18" customHeight="1" x14ac:dyDescent="0.25">
      <c r="B1332" s="145"/>
      <c r="C1332" s="139"/>
      <c r="D1332" s="146"/>
      <c r="E1332" s="139"/>
      <c r="F1332" s="139"/>
      <c r="G1332" s="139"/>
      <c r="H1332" s="139"/>
      <c r="I1332" s="139"/>
      <c r="J1332" s="139"/>
      <c r="K1332" s="139"/>
      <c r="L1332" s="243"/>
      <c r="M1332" s="243"/>
      <c r="N1332" s="139"/>
      <c r="O1332" s="139"/>
      <c r="P1332" s="139"/>
      <c r="Q1332" s="147"/>
      <c r="R1332" s="139"/>
      <c r="S1332" s="139"/>
      <c r="T1332" s="139"/>
      <c r="U1332" s="139"/>
      <c r="V1332" s="139"/>
      <c r="W1332" s="139"/>
      <c r="X1332" s="146"/>
      <c r="Y1332" s="148"/>
      <c r="Z1332" s="145"/>
      <c r="AA1332" s="139"/>
      <c r="AB1332" s="149"/>
      <c r="AC1332" s="119"/>
      <c r="AD1332" s="139"/>
      <c r="AE1332" s="139"/>
      <c r="AF1332" s="139"/>
      <c r="AG1332" s="139"/>
      <c r="AH1332" s="139"/>
      <c r="AI1332" s="139"/>
      <c r="AJ1332" s="139"/>
      <c r="AK1332" s="139"/>
      <c r="AL1332" s="139"/>
      <c r="AM1332" s="139"/>
      <c r="AN1332" s="139"/>
      <c r="AO1332" s="139"/>
      <c r="AP1332" s="139"/>
      <c r="AQ1332" s="174"/>
      <c r="AR1332" s="222"/>
    </row>
    <row r="1333" spans="2:44" s="22" customFormat="1" ht="18" customHeight="1" x14ac:dyDescent="0.25">
      <c r="B1333" s="145"/>
      <c r="C1333" s="139"/>
      <c r="D1333" s="146"/>
      <c r="E1333" s="139"/>
      <c r="F1333" s="139"/>
      <c r="G1333" s="139"/>
      <c r="H1333" s="139"/>
      <c r="I1333" s="139"/>
      <c r="J1333" s="139"/>
      <c r="K1333" s="139"/>
      <c r="L1333" s="243"/>
      <c r="M1333" s="243"/>
      <c r="N1333" s="139"/>
      <c r="O1333" s="139"/>
      <c r="P1333" s="139"/>
      <c r="Q1333" s="147"/>
      <c r="R1333" s="139"/>
      <c r="S1333" s="139"/>
      <c r="T1333" s="139"/>
      <c r="U1333" s="139"/>
      <c r="V1333" s="139"/>
      <c r="W1333" s="139"/>
      <c r="X1333" s="146"/>
      <c r="Y1333" s="148"/>
      <c r="Z1333" s="145"/>
      <c r="AA1333" s="139"/>
      <c r="AB1333" s="149"/>
      <c r="AC1333" s="119"/>
      <c r="AD1333" s="139"/>
      <c r="AE1333" s="139"/>
      <c r="AF1333" s="139"/>
      <c r="AG1333" s="139"/>
      <c r="AH1333" s="139"/>
      <c r="AI1333" s="139"/>
      <c r="AJ1333" s="139"/>
      <c r="AK1333" s="139"/>
      <c r="AL1333" s="139"/>
      <c r="AM1333" s="139"/>
      <c r="AN1333" s="139"/>
      <c r="AO1333" s="139"/>
      <c r="AP1333" s="139"/>
      <c r="AQ1333" s="174"/>
      <c r="AR1333" s="222"/>
    </row>
    <row r="1334" spans="2:44" s="22" customFormat="1" ht="18" customHeight="1" x14ac:dyDescent="0.25">
      <c r="B1334" s="145"/>
      <c r="C1334" s="139"/>
      <c r="D1334" s="146"/>
      <c r="E1334" s="139"/>
      <c r="F1334" s="139"/>
      <c r="G1334" s="139"/>
      <c r="H1334" s="139"/>
      <c r="I1334" s="139"/>
      <c r="J1334" s="139"/>
      <c r="K1334" s="139"/>
      <c r="L1334" s="243"/>
      <c r="M1334" s="243"/>
      <c r="N1334" s="139"/>
      <c r="O1334" s="139"/>
      <c r="P1334" s="139"/>
      <c r="Q1334" s="147"/>
      <c r="R1334" s="139"/>
      <c r="S1334" s="139"/>
      <c r="T1334" s="139"/>
      <c r="U1334" s="139"/>
      <c r="V1334" s="139"/>
      <c r="W1334" s="139"/>
      <c r="X1334" s="146"/>
      <c r="Y1334" s="148"/>
      <c r="Z1334" s="145"/>
      <c r="AA1334" s="139"/>
      <c r="AB1334" s="149"/>
      <c r="AC1334" s="119"/>
      <c r="AD1334" s="139"/>
      <c r="AE1334" s="139"/>
      <c r="AF1334" s="139"/>
      <c r="AG1334" s="139"/>
      <c r="AH1334" s="139"/>
      <c r="AI1334" s="139"/>
      <c r="AJ1334" s="139"/>
      <c r="AK1334" s="139"/>
      <c r="AL1334" s="139"/>
      <c r="AM1334" s="139"/>
      <c r="AN1334" s="139"/>
      <c r="AO1334" s="139"/>
      <c r="AP1334" s="139"/>
      <c r="AQ1334" s="174"/>
      <c r="AR1334" s="222"/>
    </row>
    <row r="1335" spans="2:44" s="22" customFormat="1" ht="18" customHeight="1" x14ac:dyDescent="0.25">
      <c r="B1335" s="145"/>
      <c r="C1335" s="139"/>
      <c r="D1335" s="146"/>
      <c r="E1335" s="139"/>
      <c r="F1335" s="139"/>
      <c r="G1335" s="139"/>
      <c r="H1335" s="139"/>
      <c r="I1335" s="139"/>
      <c r="J1335" s="139"/>
      <c r="K1335" s="139"/>
      <c r="L1335" s="243"/>
      <c r="M1335" s="243"/>
      <c r="N1335" s="139"/>
      <c r="O1335" s="139"/>
      <c r="P1335" s="139"/>
      <c r="Q1335" s="147"/>
      <c r="R1335" s="139"/>
      <c r="S1335" s="139"/>
      <c r="T1335" s="139"/>
      <c r="U1335" s="139"/>
      <c r="V1335" s="139"/>
      <c r="W1335" s="139"/>
      <c r="X1335" s="146"/>
      <c r="Y1335" s="148"/>
      <c r="Z1335" s="145"/>
      <c r="AA1335" s="139"/>
      <c r="AB1335" s="149"/>
      <c r="AC1335" s="119"/>
      <c r="AD1335" s="139"/>
      <c r="AE1335" s="139"/>
      <c r="AF1335" s="139"/>
      <c r="AG1335" s="139"/>
      <c r="AH1335" s="139"/>
      <c r="AI1335" s="139"/>
      <c r="AJ1335" s="139"/>
      <c r="AK1335" s="139"/>
      <c r="AL1335" s="139"/>
      <c r="AM1335" s="139"/>
      <c r="AN1335" s="139"/>
      <c r="AO1335" s="139"/>
      <c r="AP1335" s="139"/>
      <c r="AQ1335" s="174"/>
      <c r="AR1335" s="222"/>
    </row>
    <row r="1336" spans="2:44" s="22" customFormat="1" ht="18" customHeight="1" x14ac:dyDescent="0.25">
      <c r="B1336" s="145"/>
      <c r="C1336" s="139"/>
      <c r="D1336" s="146"/>
      <c r="E1336" s="139"/>
      <c r="F1336" s="139"/>
      <c r="G1336" s="139"/>
      <c r="H1336" s="139"/>
      <c r="I1336" s="139"/>
      <c r="J1336" s="139"/>
      <c r="K1336" s="139"/>
      <c r="L1336" s="243"/>
      <c r="M1336" s="243"/>
      <c r="N1336" s="139"/>
      <c r="O1336" s="139"/>
      <c r="P1336" s="139"/>
      <c r="Q1336" s="147"/>
      <c r="R1336" s="139"/>
      <c r="S1336" s="139"/>
      <c r="T1336" s="139"/>
      <c r="U1336" s="139"/>
      <c r="V1336" s="139"/>
      <c r="W1336" s="139"/>
      <c r="X1336" s="146"/>
      <c r="Y1336" s="148"/>
      <c r="Z1336" s="145"/>
      <c r="AA1336" s="139"/>
      <c r="AB1336" s="149"/>
      <c r="AC1336" s="119"/>
      <c r="AD1336" s="139"/>
      <c r="AE1336" s="139"/>
      <c r="AF1336" s="139"/>
      <c r="AG1336" s="139"/>
      <c r="AH1336" s="139"/>
      <c r="AI1336" s="139"/>
      <c r="AJ1336" s="139"/>
      <c r="AK1336" s="139"/>
      <c r="AL1336" s="139"/>
      <c r="AM1336" s="139"/>
      <c r="AN1336" s="139"/>
      <c r="AO1336" s="139"/>
      <c r="AP1336" s="139"/>
      <c r="AQ1336" s="174"/>
      <c r="AR1336" s="222"/>
    </row>
    <row r="1337" spans="2:44" s="22" customFormat="1" ht="18" customHeight="1" x14ac:dyDescent="0.25">
      <c r="B1337" s="145"/>
      <c r="C1337" s="139"/>
      <c r="D1337" s="146"/>
      <c r="E1337" s="139"/>
      <c r="F1337" s="139"/>
      <c r="G1337" s="139"/>
      <c r="H1337" s="139"/>
      <c r="I1337" s="139"/>
      <c r="J1337" s="139"/>
      <c r="K1337" s="139"/>
      <c r="L1337" s="243"/>
      <c r="M1337" s="243"/>
      <c r="N1337" s="139"/>
      <c r="O1337" s="139"/>
      <c r="P1337" s="139"/>
      <c r="Q1337" s="147"/>
      <c r="R1337" s="139"/>
      <c r="S1337" s="139"/>
      <c r="T1337" s="139"/>
      <c r="U1337" s="139"/>
      <c r="V1337" s="139"/>
      <c r="W1337" s="139"/>
      <c r="X1337" s="146"/>
      <c r="Y1337" s="148"/>
      <c r="Z1337" s="145"/>
      <c r="AA1337" s="139"/>
      <c r="AB1337" s="149"/>
      <c r="AC1337" s="119"/>
      <c r="AD1337" s="139"/>
      <c r="AE1337" s="139"/>
      <c r="AF1337" s="139"/>
      <c r="AG1337" s="139"/>
      <c r="AH1337" s="139"/>
      <c r="AI1337" s="139"/>
      <c r="AJ1337" s="139"/>
      <c r="AK1337" s="139"/>
      <c r="AL1337" s="139"/>
      <c r="AM1337" s="139"/>
      <c r="AN1337" s="139"/>
      <c r="AO1337" s="139"/>
      <c r="AP1337" s="139"/>
      <c r="AQ1337" s="174"/>
      <c r="AR1337" s="222"/>
    </row>
    <row r="1338" spans="2:44" s="22" customFormat="1" ht="18" customHeight="1" x14ac:dyDescent="0.25">
      <c r="B1338" s="145"/>
      <c r="C1338" s="139"/>
      <c r="D1338" s="146"/>
      <c r="E1338" s="139"/>
      <c r="F1338" s="139"/>
      <c r="G1338" s="139"/>
      <c r="H1338" s="139"/>
      <c r="I1338" s="139"/>
      <c r="J1338" s="139"/>
      <c r="K1338" s="139"/>
      <c r="L1338" s="243"/>
      <c r="M1338" s="243"/>
      <c r="N1338" s="139"/>
      <c r="O1338" s="139"/>
      <c r="P1338" s="139"/>
      <c r="Q1338" s="147"/>
      <c r="R1338" s="139"/>
      <c r="S1338" s="139"/>
      <c r="T1338" s="139"/>
      <c r="U1338" s="139"/>
      <c r="V1338" s="139"/>
      <c r="W1338" s="139"/>
      <c r="X1338" s="146"/>
      <c r="Y1338" s="148"/>
      <c r="Z1338" s="145"/>
      <c r="AA1338" s="139"/>
      <c r="AB1338" s="149"/>
      <c r="AC1338" s="119"/>
      <c r="AD1338" s="139"/>
      <c r="AE1338" s="139"/>
      <c r="AF1338" s="139"/>
      <c r="AG1338" s="139"/>
      <c r="AH1338" s="139"/>
      <c r="AI1338" s="139"/>
      <c r="AJ1338" s="139"/>
      <c r="AK1338" s="139"/>
      <c r="AL1338" s="139"/>
      <c r="AM1338" s="139"/>
      <c r="AN1338" s="139"/>
      <c r="AO1338" s="139"/>
      <c r="AP1338" s="139"/>
      <c r="AQ1338" s="174"/>
      <c r="AR1338" s="222"/>
    </row>
    <row r="1339" spans="2:44" s="22" customFormat="1" ht="18" customHeight="1" x14ac:dyDescent="0.25">
      <c r="B1339" s="145"/>
      <c r="C1339" s="139"/>
      <c r="D1339" s="146"/>
      <c r="E1339" s="139"/>
      <c r="F1339" s="139"/>
      <c r="G1339" s="139"/>
      <c r="H1339" s="139"/>
      <c r="I1339" s="139"/>
      <c r="J1339" s="139"/>
      <c r="K1339" s="139"/>
      <c r="L1339" s="243"/>
      <c r="M1339" s="243"/>
      <c r="N1339" s="139"/>
      <c r="O1339" s="139"/>
      <c r="P1339" s="139"/>
      <c r="Q1339" s="147"/>
      <c r="R1339" s="139"/>
      <c r="S1339" s="139"/>
      <c r="T1339" s="139"/>
      <c r="U1339" s="139"/>
      <c r="V1339" s="139"/>
      <c r="W1339" s="139"/>
      <c r="X1339" s="146"/>
      <c r="Y1339" s="148"/>
      <c r="Z1339" s="145"/>
      <c r="AA1339" s="139"/>
      <c r="AB1339" s="149"/>
      <c r="AC1339" s="119"/>
      <c r="AD1339" s="139"/>
      <c r="AE1339" s="139"/>
      <c r="AF1339" s="139"/>
      <c r="AG1339" s="139"/>
      <c r="AH1339" s="139"/>
      <c r="AI1339" s="139"/>
      <c r="AJ1339" s="139"/>
      <c r="AK1339" s="139"/>
      <c r="AL1339" s="139"/>
      <c r="AM1339" s="139"/>
      <c r="AN1339" s="139"/>
      <c r="AO1339" s="139"/>
      <c r="AP1339" s="139"/>
      <c r="AQ1339" s="174"/>
      <c r="AR1339" s="222"/>
    </row>
    <row r="1340" spans="2:44" s="22" customFormat="1" ht="18" customHeight="1" x14ac:dyDescent="0.25">
      <c r="B1340" s="145"/>
      <c r="C1340" s="139"/>
      <c r="D1340" s="146"/>
      <c r="E1340" s="139"/>
      <c r="F1340" s="139"/>
      <c r="G1340" s="139"/>
      <c r="H1340" s="139"/>
      <c r="I1340" s="139"/>
      <c r="J1340" s="139"/>
      <c r="K1340" s="139"/>
      <c r="L1340" s="243"/>
      <c r="M1340" s="243"/>
      <c r="N1340" s="139"/>
      <c r="O1340" s="139"/>
      <c r="P1340" s="139"/>
      <c r="Q1340" s="147"/>
      <c r="R1340" s="139"/>
      <c r="S1340" s="139"/>
      <c r="T1340" s="139"/>
      <c r="U1340" s="139"/>
      <c r="V1340" s="139"/>
      <c r="W1340" s="139"/>
      <c r="X1340" s="146"/>
      <c r="Y1340" s="148"/>
      <c r="Z1340" s="145"/>
      <c r="AA1340" s="139"/>
      <c r="AB1340" s="149"/>
      <c r="AC1340" s="119"/>
      <c r="AD1340" s="139"/>
      <c r="AE1340" s="139"/>
      <c r="AF1340" s="139"/>
      <c r="AG1340" s="139"/>
      <c r="AH1340" s="139"/>
      <c r="AI1340" s="139"/>
      <c r="AJ1340" s="139"/>
      <c r="AK1340" s="139"/>
      <c r="AL1340" s="139"/>
      <c r="AM1340" s="139"/>
      <c r="AN1340" s="139"/>
      <c r="AO1340" s="139"/>
      <c r="AP1340" s="139"/>
      <c r="AQ1340" s="174"/>
      <c r="AR1340" s="222"/>
    </row>
    <row r="1341" spans="2:44" s="22" customFormat="1" ht="18" customHeight="1" x14ac:dyDescent="0.25">
      <c r="B1341" s="145"/>
      <c r="C1341" s="139"/>
      <c r="D1341" s="146"/>
      <c r="E1341" s="139"/>
      <c r="F1341" s="139"/>
      <c r="G1341" s="139"/>
      <c r="H1341" s="139"/>
      <c r="I1341" s="139"/>
      <c r="J1341" s="139"/>
      <c r="K1341" s="139"/>
      <c r="L1341" s="243"/>
      <c r="M1341" s="243"/>
      <c r="N1341" s="139"/>
      <c r="O1341" s="139"/>
      <c r="P1341" s="139"/>
      <c r="Q1341" s="147"/>
      <c r="R1341" s="139"/>
      <c r="S1341" s="139"/>
      <c r="T1341" s="139"/>
      <c r="U1341" s="139"/>
      <c r="V1341" s="139"/>
      <c r="W1341" s="139"/>
      <c r="X1341" s="146"/>
      <c r="Y1341" s="148"/>
      <c r="Z1341" s="145"/>
      <c r="AA1341" s="139"/>
      <c r="AB1341" s="149"/>
      <c r="AC1341" s="119"/>
      <c r="AD1341" s="139"/>
      <c r="AE1341" s="139"/>
      <c r="AF1341" s="139"/>
      <c r="AG1341" s="139"/>
      <c r="AH1341" s="139"/>
      <c r="AI1341" s="139"/>
      <c r="AJ1341" s="139"/>
      <c r="AK1341" s="139"/>
      <c r="AL1341" s="139"/>
      <c r="AM1341" s="139"/>
      <c r="AN1341" s="139"/>
      <c r="AO1341" s="139"/>
      <c r="AP1341" s="139"/>
      <c r="AQ1341" s="174"/>
      <c r="AR1341" s="222"/>
    </row>
    <row r="1342" spans="2:44" s="22" customFormat="1" ht="18" customHeight="1" x14ac:dyDescent="0.25">
      <c r="B1342" s="145"/>
      <c r="C1342" s="139"/>
      <c r="D1342" s="146"/>
      <c r="E1342" s="139"/>
      <c r="F1342" s="139"/>
      <c r="G1342" s="139"/>
      <c r="H1342" s="139"/>
      <c r="I1342" s="139"/>
      <c r="J1342" s="139"/>
      <c r="K1342" s="139"/>
      <c r="L1342" s="243"/>
      <c r="M1342" s="243"/>
      <c r="N1342" s="139"/>
      <c r="O1342" s="139"/>
      <c r="P1342" s="139"/>
      <c r="Q1342" s="147"/>
      <c r="R1342" s="139"/>
      <c r="S1342" s="139"/>
      <c r="T1342" s="139"/>
      <c r="U1342" s="139"/>
      <c r="V1342" s="139"/>
      <c r="W1342" s="139"/>
      <c r="X1342" s="146"/>
      <c r="Y1342" s="148"/>
      <c r="Z1342" s="145"/>
      <c r="AA1342" s="139"/>
      <c r="AB1342" s="149"/>
      <c r="AC1342" s="119"/>
      <c r="AD1342" s="139"/>
      <c r="AE1342" s="139"/>
      <c r="AF1342" s="139"/>
      <c r="AG1342" s="139"/>
      <c r="AH1342" s="139"/>
      <c r="AI1342" s="139"/>
      <c r="AJ1342" s="139"/>
      <c r="AK1342" s="139"/>
      <c r="AL1342" s="139"/>
      <c r="AM1342" s="139"/>
      <c r="AN1342" s="139"/>
      <c r="AO1342" s="139"/>
      <c r="AP1342" s="139"/>
      <c r="AQ1342" s="174"/>
      <c r="AR1342" s="222"/>
    </row>
    <row r="1343" spans="2:44" s="22" customFormat="1" ht="18" customHeight="1" x14ac:dyDescent="0.25">
      <c r="B1343" s="145"/>
      <c r="C1343" s="139"/>
      <c r="D1343" s="146"/>
      <c r="E1343" s="139"/>
      <c r="F1343" s="139"/>
      <c r="G1343" s="139"/>
      <c r="H1343" s="139"/>
      <c r="I1343" s="139"/>
      <c r="J1343" s="139"/>
      <c r="K1343" s="139"/>
      <c r="L1343" s="243"/>
      <c r="M1343" s="243"/>
      <c r="N1343" s="139"/>
      <c r="O1343" s="139"/>
      <c r="P1343" s="139"/>
      <c r="Q1343" s="147"/>
      <c r="R1343" s="139"/>
      <c r="S1343" s="139"/>
      <c r="T1343" s="139"/>
      <c r="U1343" s="139"/>
      <c r="V1343" s="139"/>
      <c r="W1343" s="139"/>
      <c r="X1343" s="146"/>
      <c r="Y1343" s="148"/>
      <c r="Z1343" s="145"/>
      <c r="AA1343" s="139"/>
      <c r="AB1343" s="149"/>
      <c r="AC1343" s="119"/>
      <c r="AD1343" s="139"/>
      <c r="AE1343" s="139"/>
      <c r="AF1343" s="139"/>
      <c r="AG1343" s="139"/>
      <c r="AH1343" s="139"/>
      <c r="AI1343" s="139"/>
      <c r="AJ1343" s="139"/>
      <c r="AK1343" s="139"/>
      <c r="AL1343" s="139"/>
      <c r="AM1343" s="139"/>
      <c r="AN1343" s="139"/>
      <c r="AO1343" s="139"/>
      <c r="AP1343" s="139"/>
      <c r="AQ1343" s="174"/>
      <c r="AR1343" s="222"/>
    </row>
    <row r="1344" spans="2:44" s="22" customFormat="1" ht="18" customHeight="1" x14ac:dyDescent="0.25">
      <c r="B1344" s="145"/>
      <c r="C1344" s="139"/>
      <c r="D1344" s="146"/>
      <c r="E1344" s="139"/>
      <c r="F1344" s="139"/>
      <c r="G1344" s="139"/>
      <c r="H1344" s="139"/>
      <c r="I1344" s="139"/>
      <c r="J1344" s="139"/>
      <c r="K1344" s="139"/>
      <c r="L1344" s="243"/>
      <c r="M1344" s="243"/>
      <c r="N1344" s="139"/>
      <c r="O1344" s="139"/>
      <c r="P1344" s="139"/>
      <c r="Q1344" s="147"/>
      <c r="R1344" s="139"/>
      <c r="S1344" s="139"/>
      <c r="T1344" s="139"/>
      <c r="U1344" s="139"/>
      <c r="V1344" s="139"/>
      <c r="W1344" s="139"/>
      <c r="X1344" s="146"/>
      <c r="Y1344" s="148"/>
      <c r="Z1344" s="145"/>
      <c r="AA1344" s="139"/>
      <c r="AB1344" s="149"/>
      <c r="AC1344" s="119"/>
      <c r="AD1344" s="139"/>
      <c r="AE1344" s="139"/>
      <c r="AF1344" s="139"/>
      <c r="AG1344" s="139"/>
      <c r="AH1344" s="139"/>
      <c r="AI1344" s="139"/>
      <c r="AJ1344" s="139"/>
      <c r="AK1344" s="139"/>
      <c r="AL1344" s="139"/>
      <c r="AM1344" s="139"/>
      <c r="AN1344" s="139"/>
      <c r="AO1344" s="139"/>
      <c r="AP1344" s="139"/>
      <c r="AQ1344" s="174"/>
      <c r="AR1344" s="222"/>
    </row>
    <row r="1345" spans="2:44" s="140" customFormat="1" ht="18" customHeight="1" x14ac:dyDescent="0.25">
      <c r="B1345" s="145"/>
      <c r="C1345" s="139"/>
      <c r="D1345" s="146"/>
      <c r="E1345" s="139"/>
      <c r="F1345" s="139"/>
      <c r="G1345" s="139"/>
      <c r="H1345" s="139"/>
      <c r="I1345" s="139"/>
      <c r="J1345" s="139"/>
      <c r="K1345" s="139"/>
      <c r="L1345" s="243"/>
      <c r="M1345" s="243"/>
      <c r="N1345" s="139"/>
      <c r="O1345" s="139"/>
      <c r="P1345" s="139"/>
      <c r="Q1345" s="147"/>
      <c r="R1345" s="139"/>
      <c r="S1345" s="139"/>
      <c r="T1345" s="139"/>
      <c r="U1345" s="139"/>
      <c r="V1345" s="139"/>
      <c r="W1345" s="139"/>
      <c r="X1345" s="146"/>
      <c r="Y1345" s="148"/>
      <c r="Z1345" s="145"/>
      <c r="AA1345" s="139"/>
      <c r="AB1345" s="149"/>
      <c r="AC1345" s="119"/>
      <c r="AD1345" s="139"/>
      <c r="AE1345" s="139"/>
      <c r="AF1345" s="139"/>
      <c r="AG1345" s="139"/>
      <c r="AH1345" s="139"/>
      <c r="AI1345" s="139"/>
      <c r="AJ1345" s="139"/>
      <c r="AK1345" s="139"/>
      <c r="AL1345" s="139"/>
      <c r="AM1345" s="139"/>
      <c r="AN1345" s="139"/>
      <c r="AO1345" s="139"/>
      <c r="AP1345" s="139"/>
      <c r="AQ1345" s="174"/>
      <c r="AR1345" s="222"/>
    </row>
    <row r="1346" spans="2:44" s="22" customFormat="1" ht="18" customHeight="1" x14ac:dyDescent="0.25">
      <c r="B1346" s="145"/>
      <c r="C1346" s="139"/>
      <c r="D1346" s="146"/>
      <c r="E1346" s="139"/>
      <c r="F1346" s="139"/>
      <c r="G1346" s="139"/>
      <c r="H1346" s="139"/>
      <c r="I1346" s="139"/>
      <c r="J1346" s="139"/>
      <c r="K1346" s="139"/>
      <c r="L1346" s="243"/>
      <c r="M1346" s="243"/>
      <c r="N1346" s="139"/>
      <c r="O1346" s="139"/>
      <c r="P1346" s="139"/>
      <c r="Q1346" s="147"/>
      <c r="R1346" s="139"/>
      <c r="S1346" s="139"/>
      <c r="T1346" s="139"/>
      <c r="U1346" s="139"/>
      <c r="V1346" s="139"/>
      <c r="W1346" s="139"/>
      <c r="X1346" s="146"/>
      <c r="Y1346" s="148"/>
      <c r="Z1346" s="145"/>
      <c r="AA1346" s="139"/>
      <c r="AB1346" s="149"/>
      <c r="AC1346" s="119"/>
      <c r="AD1346" s="139"/>
      <c r="AE1346" s="139"/>
      <c r="AF1346" s="139"/>
      <c r="AG1346" s="139"/>
      <c r="AH1346" s="139"/>
      <c r="AI1346" s="139"/>
      <c r="AJ1346" s="139"/>
      <c r="AK1346" s="139"/>
      <c r="AL1346" s="139"/>
      <c r="AM1346" s="139"/>
      <c r="AN1346" s="139"/>
      <c r="AO1346" s="139"/>
      <c r="AP1346" s="139"/>
      <c r="AQ1346" s="174"/>
      <c r="AR1346" s="222"/>
    </row>
    <row r="1347" spans="2:44" s="22" customFormat="1" ht="18" customHeight="1" x14ac:dyDescent="0.25">
      <c r="B1347" s="145"/>
      <c r="C1347" s="139"/>
      <c r="D1347" s="146"/>
      <c r="E1347" s="139"/>
      <c r="F1347" s="139"/>
      <c r="G1347" s="139"/>
      <c r="H1347" s="139"/>
      <c r="I1347" s="139"/>
      <c r="J1347" s="139"/>
      <c r="K1347" s="139"/>
      <c r="L1347" s="243"/>
      <c r="M1347" s="243"/>
      <c r="N1347" s="139"/>
      <c r="O1347" s="139"/>
      <c r="P1347" s="139"/>
      <c r="Q1347" s="147"/>
      <c r="R1347" s="139"/>
      <c r="S1347" s="139"/>
      <c r="T1347" s="139"/>
      <c r="U1347" s="139"/>
      <c r="V1347" s="139"/>
      <c r="W1347" s="139"/>
      <c r="X1347" s="146"/>
      <c r="Y1347" s="148"/>
      <c r="Z1347" s="145"/>
      <c r="AA1347" s="139"/>
      <c r="AB1347" s="149"/>
      <c r="AC1347" s="119"/>
      <c r="AD1347" s="139"/>
      <c r="AE1347" s="139"/>
      <c r="AF1347" s="139"/>
      <c r="AG1347" s="139"/>
      <c r="AH1347" s="139"/>
      <c r="AI1347" s="139"/>
      <c r="AJ1347" s="139"/>
      <c r="AK1347" s="139"/>
      <c r="AL1347" s="139"/>
      <c r="AM1347" s="139"/>
      <c r="AN1347" s="139"/>
      <c r="AO1347" s="139"/>
      <c r="AP1347" s="139"/>
      <c r="AQ1347" s="174"/>
      <c r="AR1347" s="222"/>
    </row>
    <row r="1348" spans="2:44" s="22" customFormat="1" ht="18" customHeight="1" x14ac:dyDescent="0.25">
      <c r="B1348" s="145"/>
      <c r="C1348" s="139"/>
      <c r="D1348" s="146"/>
      <c r="E1348" s="139"/>
      <c r="F1348" s="139"/>
      <c r="G1348" s="139"/>
      <c r="H1348" s="139"/>
      <c r="I1348" s="139"/>
      <c r="J1348" s="139"/>
      <c r="K1348" s="139"/>
      <c r="L1348" s="243"/>
      <c r="M1348" s="243"/>
      <c r="N1348" s="139"/>
      <c r="O1348" s="139"/>
      <c r="P1348" s="139"/>
      <c r="Q1348" s="147"/>
      <c r="R1348" s="139"/>
      <c r="S1348" s="139"/>
      <c r="T1348" s="139"/>
      <c r="U1348" s="139"/>
      <c r="V1348" s="139"/>
      <c r="W1348" s="139"/>
      <c r="X1348" s="146"/>
      <c r="Y1348" s="148"/>
      <c r="Z1348" s="145"/>
      <c r="AA1348" s="139"/>
      <c r="AB1348" s="149"/>
      <c r="AC1348" s="119"/>
      <c r="AD1348" s="139"/>
      <c r="AE1348" s="139"/>
      <c r="AF1348" s="139"/>
      <c r="AG1348" s="139"/>
      <c r="AH1348" s="139"/>
      <c r="AI1348" s="139"/>
      <c r="AJ1348" s="139"/>
      <c r="AK1348" s="139"/>
      <c r="AL1348" s="139"/>
      <c r="AM1348" s="139"/>
      <c r="AN1348" s="139"/>
      <c r="AO1348" s="139"/>
      <c r="AP1348" s="139"/>
      <c r="AQ1348" s="174"/>
      <c r="AR1348" s="222"/>
    </row>
    <row r="1349" spans="2:44" s="22" customFormat="1" ht="18" customHeight="1" x14ac:dyDescent="0.25">
      <c r="B1349" s="145"/>
      <c r="C1349" s="139"/>
      <c r="D1349" s="146"/>
      <c r="E1349" s="139"/>
      <c r="F1349" s="139"/>
      <c r="G1349" s="139"/>
      <c r="H1349" s="139"/>
      <c r="I1349" s="139"/>
      <c r="J1349" s="139"/>
      <c r="K1349" s="139"/>
      <c r="L1349" s="243"/>
      <c r="M1349" s="243"/>
      <c r="N1349" s="139"/>
      <c r="O1349" s="139"/>
      <c r="P1349" s="139"/>
      <c r="Q1349" s="147"/>
      <c r="R1349" s="139"/>
      <c r="S1349" s="139"/>
      <c r="T1349" s="139"/>
      <c r="U1349" s="139"/>
      <c r="V1349" s="139"/>
      <c r="W1349" s="139"/>
      <c r="X1349" s="146"/>
      <c r="Y1349" s="148"/>
      <c r="Z1349" s="145"/>
      <c r="AA1349" s="139"/>
      <c r="AB1349" s="149"/>
      <c r="AC1349" s="119"/>
      <c r="AD1349" s="139"/>
      <c r="AE1349" s="139"/>
      <c r="AF1349" s="139"/>
      <c r="AG1349" s="139"/>
      <c r="AH1349" s="139"/>
      <c r="AI1349" s="139"/>
      <c r="AJ1349" s="139"/>
      <c r="AK1349" s="139"/>
      <c r="AL1349" s="139"/>
      <c r="AM1349" s="139"/>
      <c r="AN1349" s="139"/>
      <c r="AO1349" s="139"/>
      <c r="AP1349" s="139"/>
      <c r="AQ1349" s="174"/>
      <c r="AR1349" s="222"/>
    </row>
    <row r="1350" spans="2:44" s="22" customFormat="1" ht="18" customHeight="1" x14ac:dyDescent="0.25">
      <c r="B1350" s="145"/>
      <c r="C1350" s="139"/>
      <c r="D1350" s="146"/>
      <c r="E1350" s="139"/>
      <c r="F1350" s="139"/>
      <c r="G1350" s="139"/>
      <c r="H1350" s="139"/>
      <c r="I1350" s="139"/>
      <c r="J1350" s="139"/>
      <c r="K1350" s="139"/>
      <c r="L1350" s="243"/>
      <c r="M1350" s="243"/>
      <c r="N1350" s="139"/>
      <c r="O1350" s="139"/>
      <c r="P1350" s="139"/>
      <c r="Q1350" s="147"/>
      <c r="R1350" s="139"/>
      <c r="S1350" s="139"/>
      <c r="T1350" s="139"/>
      <c r="U1350" s="139"/>
      <c r="V1350" s="139"/>
      <c r="W1350" s="139"/>
      <c r="X1350" s="146"/>
      <c r="Y1350" s="148"/>
      <c r="Z1350" s="145"/>
      <c r="AA1350" s="139"/>
      <c r="AB1350" s="149"/>
      <c r="AC1350" s="119"/>
      <c r="AD1350" s="139"/>
      <c r="AE1350" s="139"/>
      <c r="AF1350" s="139"/>
      <c r="AG1350" s="139"/>
      <c r="AH1350" s="139"/>
      <c r="AI1350" s="139"/>
      <c r="AJ1350" s="139"/>
      <c r="AK1350" s="139"/>
      <c r="AL1350" s="139"/>
      <c r="AM1350" s="139"/>
      <c r="AN1350" s="139"/>
      <c r="AO1350" s="139"/>
      <c r="AP1350" s="139"/>
      <c r="AQ1350" s="174"/>
      <c r="AR1350" s="222"/>
    </row>
    <row r="1351" spans="2:44" s="22" customFormat="1" ht="18" customHeight="1" x14ac:dyDescent="0.25">
      <c r="B1351" s="145"/>
      <c r="C1351" s="139"/>
      <c r="D1351" s="146"/>
      <c r="E1351" s="139"/>
      <c r="F1351" s="139"/>
      <c r="G1351" s="139"/>
      <c r="H1351" s="139"/>
      <c r="I1351" s="139"/>
      <c r="J1351" s="139"/>
      <c r="K1351" s="139"/>
      <c r="L1351" s="243"/>
      <c r="M1351" s="243"/>
      <c r="N1351" s="139"/>
      <c r="O1351" s="139"/>
      <c r="P1351" s="139"/>
      <c r="Q1351" s="147"/>
      <c r="R1351" s="139"/>
      <c r="S1351" s="139"/>
      <c r="T1351" s="139"/>
      <c r="U1351" s="139"/>
      <c r="V1351" s="139"/>
      <c r="W1351" s="139"/>
      <c r="X1351" s="146"/>
      <c r="Y1351" s="148"/>
      <c r="Z1351" s="145"/>
      <c r="AA1351" s="139"/>
      <c r="AB1351" s="149"/>
      <c r="AC1351" s="119"/>
      <c r="AD1351" s="139"/>
      <c r="AE1351" s="139"/>
      <c r="AF1351" s="139"/>
      <c r="AG1351" s="139"/>
      <c r="AH1351" s="139"/>
      <c r="AI1351" s="139"/>
      <c r="AJ1351" s="139"/>
      <c r="AK1351" s="139"/>
      <c r="AL1351" s="139"/>
      <c r="AM1351" s="139"/>
      <c r="AN1351" s="139"/>
      <c r="AO1351" s="139"/>
      <c r="AP1351" s="139"/>
      <c r="AQ1351" s="174"/>
      <c r="AR1351" s="222"/>
    </row>
    <row r="1352" spans="2:44" s="22" customFormat="1" ht="18" customHeight="1" x14ac:dyDescent="0.25">
      <c r="B1352" s="145"/>
      <c r="C1352" s="139"/>
      <c r="D1352" s="146"/>
      <c r="E1352" s="139"/>
      <c r="F1352" s="139"/>
      <c r="G1352" s="139"/>
      <c r="H1352" s="139"/>
      <c r="I1352" s="139"/>
      <c r="J1352" s="139"/>
      <c r="K1352" s="139"/>
      <c r="L1352" s="243"/>
      <c r="M1352" s="243"/>
      <c r="N1352" s="139"/>
      <c r="O1352" s="139"/>
      <c r="P1352" s="139"/>
      <c r="Q1352" s="147"/>
      <c r="R1352" s="139"/>
      <c r="S1352" s="139"/>
      <c r="T1352" s="139"/>
      <c r="U1352" s="139"/>
      <c r="V1352" s="139"/>
      <c r="W1352" s="139"/>
      <c r="X1352" s="146"/>
      <c r="Y1352" s="148"/>
      <c r="Z1352" s="145"/>
      <c r="AA1352" s="139"/>
      <c r="AB1352" s="149"/>
      <c r="AC1352" s="119"/>
      <c r="AD1352" s="139"/>
      <c r="AE1352" s="139"/>
      <c r="AF1352" s="139"/>
      <c r="AG1352" s="139"/>
      <c r="AH1352" s="139"/>
      <c r="AI1352" s="139"/>
      <c r="AJ1352" s="139"/>
      <c r="AK1352" s="139"/>
      <c r="AL1352" s="139"/>
      <c r="AM1352" s="139"/>
      <c r="AN1352" s="139"/>
      <c r="AO1352" s="139"/>
      <c r="AP1352" s="139"/>
      <c r="AQ1352" s="174"/>
      <c r="AR1352" s="222"/>
    </row>
    <row r="1353" spans="2:44" s="22" customFormat="1" ht="18" customHeight="1" x14ac:dyDescent="0.25">
      <c r="B1353" s="145"/>
      <c r="C1353" s="139"/>
      <c r="D1353" s="146"/>
      <c r="E1353" s="139"/>
      <c r="F1353" s="139"/>
      <c r="G1353" s="139"/>
      <c r="H1353" s="139"/>
      <c r="I1353" s="139"/>
      <c r="J1353" s="139"/>
      <c r="K1353" s="139"/>
      <c r="L1353" s="243"/>
      <c r="M1353" s="243"/>
      <c r="N1353" s="139"/>
      <c r="O1353" s="139"/>
      <c r="P1353" s="139"/>
      <c r="Q1353" s="147"/>
      <c r="R1353" s="139"/>
      <c r="S1353" s="139"/>
      <c r="T1353" s="139"/>
      <c r="U1353" s="139"/>
      <c r="V1353" s="139"/>
      <c r="W1353" s="139"/>
      <c r="X1353" s="146"/>
      <c r="Y1353" s="148"/>
      <c r="Z1353" s="145"/>
      <c r="AA1353" s="139"/>
      <c r="AB1353" s="149"/>
      <c r="AC1353" s="119"/>
      <c r="AD1353" s="139"/>
      <c r="AE1353" s="139"/>
      <c r="AF1353" s="139"/>
      <c r="AG1353" s="139"/>
      <c r="AH1353" s="139"/>
      <c r="AI1353" s="139"/>
      <c r="AJ1353" s="139"/>
      <c r="AK1353" s="139"/>
      <c r="AL1353" s="139"/>
      <c r="AM1353" s="139"/>
      <c r="AN1353" s="139"/>
      <c r="AO1353" s="139"/>
      <c r="AP1353" s="139"/>
      <c r="AQ1353" s="174"/>
      <c r="AR1353" s="222"/>
    </row>
    <row r="1354" spans="2:44" s="22" customFormat="1" ht="18" customHeight="1" x14ac:dyDescent="0.25">
      <c r="B1354" s="145"/>
      <c r="C1354" s="139"/>
      <c r="D1354" s="146"/>
      <c r="E1354" s="139"/>
      <c r="F1354" s="139"/>
      <c r="G1354" s="139"/>
      <c r="H1354" s="139"/>
      <c r="I1354" s="139"/>
      <c r="J1354" s="139"/>
      <c r="K1354" s="139"/>
      <c r="L1354" s="243"/>
      <c r="M1354" s="243"/>
      <c r="N1354" s="139"/>
      <c r="O1354" s="139"/>
      <c r="P1354" s="139"/>
      <c r="Q1354" s="147"/>
      <c r="R1354" s="139"/>
      <c r="S1354" s="139"/>
      <c r="T1354" s="139"/>
      <c r="U1354" s="139"/>
      <c r="V1354" s="139"/>
      <c r="W1354" s="139"/>
      <c r="X1354" s="146"/>
      <c r="Y1354" s="148"/>
      <c r="Z1354" s="145"/>
      <c r="AA1354" s="139"/>
      <c r="AB1354" s="149"/>
      <c r="AC1354" s="119"/>
      <c r="AD1354" s="139"/>
      <c r="AE1354" s="139"/>
      <c r="AF1354" s="139"/>
      <c r="AG1354" s="139"/>
      <c r="AH1354" s="139"/>
      <c r="AI1354" s="139"/>
      <c r="AJ1354" s="139"/>
      <c r="AK1354" s="139"/>
      <c r="AL1354" s="139"/>
      <c r="AM1354" s="139"/>
      <c r="AN1354" s="139"/>
      <c r="AO1354" s="139"/>
      <c r="AP1354" s="139"/>
      <c r="AQ1354" s="174"/>
      <c r="AR1354" s="222"/>
    </row>
    <row r="1355" spans="2:44" s="22" customFormat="1" ht="18" customHeight="1" x14ac:dyDescent="0.25">
      <c r="B1355" s="145"/>
      <c r="C1355" s="139"/>
      <c r="D1355" s="146"/>
      <c r="E1355" s="139"/>
      <c r="F1355" s="139"/>
      <c r="G1355" s="139"/>
      <c r="H1355" s="139"/>
      <c r="I1355" s="139"/>
      <c r="J1355" s="139"/>
      <c r="K1355" s="139"/>
      <c r="L1355" s="243"/>
      <c r="M1355" s="243"/>
      <c r="N1355" s="139"/>
      <c r="O1355" s="139"/>
      <c r="P1355" s="139"/>
      <c r="Q1355" s="147"/>
      <c r="R1355" s="139"/>
      <c r="S1355" s="139"/>
      <c r="T1355" s="139"/>
      <c r="U1355" s="139"/>
      <c r="V1355" s="139"/>
      <c r="W1355" s="139"/>
      <c r="X1355" s="146"/>
      <c r="Y1355" s="148"/>
      <c r="Z1355" s="145"/>
      <c r="AA1355" s="139"/>
      <c r="AB1355" s="149"/>
      <c r="AC1355" s="119"/>
      <c r="AD1355" s="139"/>
      <c r="AE1355" s="139"/>
      <c r="AF1355" s="139"/>
      <c r="AG1355" s="139"/>
      <c r="AH1355" s="139"/>
      <c r="AI1355" s="139"/>
      <c r="AJ1355" s="139"/>
      <c r="AK1355" s="139"/>
      <c r="AL1355" s="139"/>
      <c r="AM1355" s="139"/>
      <c r="AN1355" s="139"/>
      <c r="AO1355" s="139"/>
      <c r="AP1355" s="139"/>
      <c r="AQ1355" s="174"/>
      <c r="AR1355" s="222"/>
    </row>
    <row r="1356" spans="2:44" s="22" customFormat="1" ht="18" customHeight="1" x14ac:dyDescent="0.25">
      <c r="B1356" s="145"/>
      <c r="C1356" s="139"/>
      <c r="D1356" s="146"/>
      <c r="E1356" s="139"/>
      <c r="F1356" s="139"/>
      <c r="G1356" s="139"/>
      <c r="H1356" s="139"/>
      <c r="I1356" s="139"/>
      <c r="J1356" s="139"/>
      <c r="K1356" s="139"/>
      <c r="L1356" s="243"/>
      <c r="M1356" s="243"/>
      <c r="N1356" s="139"/>
      <c r="O1356" s="139"/>
      <c r="P1356" s="139"/>
      <c r="Q1356" s="147"/>
      <c r="R1356" s="139"/>
      <c r="S1356" s="139"/>
      <c r="T1356" s="139"/>
      <c r="U1356" s="139"/>
      <c r="V1356" s="139"/>
      <c r="W1356" s="139"/>
      <c r="X1356" s="146"/>
      <c r="Y1356" s="148"/>
      <c r="Z1356" s="145"/>
      <c r="AA1356" s="139"/>
      <c r="AB1356" s="149"/>
      <c r="AC1356" s="119"/>
      <c r="AD1356" s="139"/>
      <c r="AE1356" s="139"/>
      <c r="AF1356" s="139"/>
      <c r="AG1356" s="139"/>
      <c r="AH1356" s="139"/>
      <c r="AI1356" s="139"/>
      <c r="AJ1356" s="139"/>
      <c r="AK1356" s="139"/>
      <c r="AL1356" s="139"/>
      <c r="AM1356" s="139"/>
      <c r="AN1356" s="139"/>
      <c r="AO1356" s="139"/>
      <c r="AP1356" s="139"/>
      <c r="AQ1356" s="174"/>
      <c r="AR1356" s="222"/>
    </row>
    <row r="1357" spans="2:44" s="22" customFormat="1" ht="18" customHeight="1" x14ac:dyDescent="0.25">
      <c r="B1357" s="145"/>
      <c r="C1357" s="139"/>
      <c r="D1357" s="146"/>
      <c r="E1357" s="139"/>
      <c r="F1357" s="139"/>
      <c r="G1357" s="139"/>
      <c r="H1357" s="139"/>
      <c r="I1357" s="139"/>
      <c r="J1357" s="139"/>
      <c r="K1357" s="139"/>
      <c r="L1357" s="243"/>
      <c r="M1357" s="243"/>
      <c r="N1357" s="139"/>
      <c r="O1357" s="139"/>
      <c r="P1357" s="139"/>
      <c r="Q1357" s="147"/>
      <c r="R1357" s="139"/>
      <c r="S1357" s="139"/>
      <c r="T1357" s="139"/>
      <c r="U1357" s="139"/>
      <c r="V1357" s="139"/>
      <c r="W1357" s="139"/>
      <c r="X1357" s="146"/>
      <c r="Y1357" s="148"/>
      <c r="Z1357" s="145"/>
      <c r="AA1357" s="139"/>
      <c r="AB1357" s="149"/>
      <c r="AC1357" s="119"/>
      <c r="AD1357" s="139"/>
      <c r="AE1357" s="139"/>
      <c r="AF1357" s="139"/>
      <c r="AG1357" s="139"/>
      <c r="AH1357" s="139"/>
      <c r="AI1357" s="139"/>
      <c r="AJ1357" s="139"/>
      <c r="AK1357" s="139"/>
      <c r="AL1357" s="139"/>
      <c r="AM1357" s="139"/>
      <c r="AN1357" s="139"/>
      <c r="AO1357" s="139"/>
      <c r="AP1357" s="139"/>
      <c r="AQ1357" s="174"/>
      <c r="AR1357" s="222"/>
    </row>
    <row r="1358" spans="2:44" s="22" customFormat="1" ht="18" customHeight="1" x14ac:dyDescent="0.25">
      <c r="B1358" s="145"/>
      <c r="C1358" s="139"/>
      <c r="D1358" s="146"/>
      <c r="E1358" s="139"/>
      <c r="F1358" s="139"/>
      <c r="G1358" s="139"/>
      <c r="H1358" s="139"/>
      <c r="I1358" s="139"/>
      <c r="J1358" s="139"/>
      <c r="K1358" s="139"/>
      <c r="L1358" s="243"/>
      <c r="M1358" s="243"/>
      <c r="N1358" s="139"/>
      <c r="O1358" s="139"/>
      <c r="P1358" s="139"/>
      <c r="Q1358" s="147"/>
      <c r="R1358" s="139"/>
      <c r="S1358" s="139"/>
      <c r="T1358" s="139"/>
      <c r="U1358" s="139"/>
      <c r="V1358" s="139"/>
      <c r="W1358" s="139"/>
      <c r="X1358" s="146"/>
      <c r="Y1358" s="148"/>
      <c r="Z1358" s="145"/>
      <c r="AA1358" s="139"/>
      <c r="AB1358" s="149"/>
      <c r="AC1358" s="119"/>
      <c r="AD1358" s="139"/>
      <c r="AE1358" s="139"/>
      <c r="AF1358" s="139"/>
      <c r="AG1358" s="139"/>
      <c r="AH1358" s="139"/>
      <c r="AI1358" s="139"/>
      <c r="AJ1358" s="139"/>
      <c r="AK1358" s="139"/>
      <c r="AL1358" s="139"/>
      <c r="AM1358" s="139"/>
      <c r="AN1358" s="139"/>
      <c r="AO1358" s="139"/>
      <c r="AP1358" s="139"/>
      <c r="AQ1358" s="174"/>
      <c r="AR1358" s="222"/>
    </row>
    <row r="1359" spans="2:44" s="22" customFormat="1" ht="18" customHeight="1" x14ac:dyDescent="0.25">
      <c r="B1359" s="145"/>
      <c r="C1359" s="139"/>
      <c r="D1359" s="146"/>
      <c r="E1359" s="139"/>
      <c r="F1359" s="139"/>
      <c r="G1359" s="139"/>
      <c r="H1359" s="139"/>
      <c r="I1359" s="139"/>
      <c r="J1359" s="139"/>
      <c r="K1359" s="139"/>
      <c r="L1359" s="243"/>
      <c r="M1359" s="243"/>
      <c r="N1359" s="139"/>
      <c r="O1359" s="139"/>
      <c r="P1359" s="139"/>
      <c r="Q1359" s="147"/>
      <c r="R1359" s="139"/>
      <c r="S1359" s="139"/>
      <c r="T1359" s="139"/>
      <c r="U1359" s="139"/>
      <c r="V1359" s="139"/>
      <c r="W1359" s="139"/>
      <c r="X1359" s="146"/>
      <c r="Y1359" s="148"/>
      <c r="Z1359" s="145"/>
      <c r="AA1359" s="139"/>
      <c r="AB1359" s="149"/>
      <c r="AC1359" s="119"/>
      <c r="AD1359" s="139"/>
      <c r="AE1359" s="139"/>
      <c r="AF1359" s="139"/>
      <c r="AG1359" s="139"/>
      <c r="AH1359" s="139"/>
      <c r="AI1359" s="139"/>
      <c r="AJ1359" s="139"/>
      <c r="AK1359" s="139"/>
      <c r="AL1359" s="139"/>
      <c r="AM1359" s="139"/>
      <c r="AN1359" s="139"/>
      <c r="AO1359" s="139"/>
      <c r="AP1359" s="139"/>
      <c r="AQ1359" s="174"/>
      <c r="AR1359" s="222"/>
    </row>
    <row r="1360" spans="2:44" s="22" customFormat="1" ht="18" customHeight="1" x14ac:dyDescent="0.25">
      <c r="B1360" s="145"/>
      <c r="C1360" s="139"/>
      <c r="D1360" s="146"/>
      <c r="E1360" s="139"/>
      <c r="F1360" s="139"/>
      <c r="G1360" s="139"/>
      <c r="H1360" s="139"/>
      <c r="I1360" s="139"/>
      <c r="J1360" s="139"/>
      <c r="K1360" s="139"/>
      <c r="L1360" s="243"/>
      <c r="M1360" s="243"/>
      <c r="N1360" s="139"/>
      <c r="O1360" s="139"/>
      <c r="P1360" s="139"/>
      <c r="Q1360" s="147"/>
      <c r="R1360" s="139"/>
      <c r="S1360" s="139"/>
      <c r="T1360" s="139"/>
      <c r="U1360" s="139"/>
      <c r="V1360" s="139"/>
      <c r="W1360" s="139"/>
      <c r="X1360" s="146"/>
      <c r="Y1360" s="148"/>
      <c r="Z1360" s="145"/>
      <c r="AA1360" s="139"/>
      <c r="AB1360" s="149"/>
      <c r="AC1360" s="119"/>
      <c r="AD1360" s="139"/>
      <c r="AE1360" s="139"/>
      <c r="AF1360" s="139"/>
      <c r="AG1360" s="139"/>
      <c r="AH1360" s="139"/>
      <c r="AI1360" s="139"/>
      <c r="AJ1360" s="139"/>
      <c r="AK1360" s="139"/>
      <c r="AL1360" s="139"/>
      <c r="AM1360" s="139"/>
      <c r="AN1360" s="139"/>
      <c r="AO1360" s="139"/>
      <c r="AP1360" s="139"/>
      <c r="AQ1360" s="174"/>
      <c r="AR1360" s="222"/>
    </row>
    <row r="1361" spans="2:44" s="141" customFormat="1" ht="18" customHeight="1" x14ac:dyDescent="0.25">
      <c r="B1361" s="145"/>
      <c r="C1361" s="139"/>
      <c r="D1361" s="146"/>
      <c r="E1361" s="139"/>
      <c r="F1361" s="139"/>
      <c r="G1361" s="139"/>
      <c r="H1361" s="139"/>
      <c r="I1361" s="139"/>
      <c r="J1361" s="139"/>
      <c r="K1361" s="139"/>
      <c r="L1361" s="243"/>
      <c r="M1361" s="243"/>
      <c r="N1361" s="139"/>
      <c r="O1361" s="139"/>
      <c r="P1361" s="139"/>
      <c r="Q1361" s="147"/>
      <c r="R1361" s="139"/>
      <c r="S1361" s="139"/>
      <c r="T1361" s="139"/>
      <c r="U1361" s="139"/>
      <c r="V1361" s="139"/>
      <c r="W1361" s="139"/>
      <c r="X1361" s="146"/>
      <c r="Y1361" s="148"/>
      <c r="Z1361" s="145"/>
      <c r="AA1361" s="139"/>
      <c r="AB1361" s="149"/>
      <c r="AC1361" s="119"/>
      <c r="AD1361" s="139"/>
      <c r="AE1361" s="139"/>
      <c r="AF1361" s="139"/>
      <c r="AG1361" s="139"/>
      <c r="AH1361" s="139"/>
      <c r="AI1361" s="139"/>
      <c r="AJ1361" s="139"/>
      <c r="AK1361" s="139"/>
      <c r="AL1361" s="139"/>
      <c r="AM1361" s="139"/>
      <c r="AN1361" s="139"/>
      <c r="AO1361" s="139"/>
      <c r="AP1361" s="139"/>
      <c r="AQ1361" s="174"/>
      <c r="AR1361" s="222"/>
    </row>
    <row r="1362" spans="2:44" s="22" customFormat="1" ht="18" customHeight="1" x14ac:dyDescent="0.25">
      <c r="B1362" s="145"/>
      <c r="C1362" s="139"/>
      <c r="D1362" s="146"/>
      <c r="E1362" s="139"/>
      <c r="F1362" s="139"/>
      <c r="G1362" s="139"/>
      <c r="H1362" s="139"/>
      <c r="I1362" s="139"/>
      <c r="J1362" s="139"/>
      <c r="K1362" s="139"/>
      <c r="L1362" s="243"/>
      <c r="M1362" s="243"/>
      <c r="N1362" s="139"/>
      <c r="O1362" s="139"/>
      <c r="P1362" s="139"/>
      <c r="Q1362" s="147"/>
      <c r="R1362" s="139"/>
      <c r="S1362" s="139"/>
      <c r="T1362" s="139"/>
      <c r="U1362" s="139"/>
      <c r="V1362" s="139"/>
      <c r="W1362" s="139"/>
      <c r="X1362" s="146"/>
      <c r="Y1362" s="148"/>
      <c r="Z1362" s="145"/>
      <c r="AA1362" s="139"/>
      <c r="AB1362" s="149"/>
      <c r="AC1362" s="119"/>
      <c r="AD1362" s="139"/>
      <c r="AE1362" s="139"/>
      <c r="AF1362" s="139"/>
      <c r="AG1362" s="139"/>
      <c r="AH1362" s="139"/>
      <c r="AI1362" s="139"/>
      <c r="AJ1362" s="139"/>
      <c r="AK1362" s="139"/>
      <c r="AL1362" s="139"/>
      <c r="AM1362" s="139"/>
      <c r="AN1362" s="139"/>
      <c r="AO1362" s="139"/>
      <c r="AP1362" s="139"/>
      <c r="AQ1362" s="174"/>
      <c r="AR1362" s="222"/>
    </row>
    <row r="1363" spans="2:44" s="22" customFormat="1" ht="18" customHeight="1" x14ac:dyDescent="0.25">
      <c r="B1363" s="145"/>
      <c r="C1363" s="139"/>
      <c r="D1363" s="146"/>
      <c r="E1363" s="139"/>
      <c r="F1363" s="139"/>
      <c r="G1363" s="139"/>
      <c r="H1363" s="139"/>
      <c r="I1363" s="139"/>
      <c r="J1363" s="139"/>
      <c r="K1363" s="139"/>
      <c r="L1363" s="243"/>
      <c r="M1363" s="243"/>
      <c r="N1363" s="139"/>
      <c r="O1363" s="139"/>
      <c r="P1363" s="139"/>
      <c r="Q1363" s="147"/>
      <c r="R1363" s="139"/>
      <c r="S1363" s="139"/>
      <c r="T1363" s="139"/>
      <c r="U1363" s="139"/>
      <c r="V1363" s="139"/>
      <c r="W1363" s="139"/>
      <c r="X1363" s="146"/>
      <c r="Y1363" s="148"/>
      <c r="Z1363" s="145"/>
      <c r="AA1363" s="139"/>
      <c r="AB1363" s="149"/>
      <c r="AC1363" s="119"/>
      <c r="AD1363" s="139"/>
      <c r="AE1363" s="139"/>
      <c r="AF1363" s="139"/>
      <c r="AG1363" s="139"/>
      <c r="AH1363" s="139"/>
      <c r="AI1363" s="139"/>
      <c r="AJ1363" s="139"/>
      <c r="AK1363" s="139"/>
      <c r="AL1363" s="139"/>
      <c r="AM1363" s="139"/>
      <c r="AN1363" s="139"/>
      <c r="AO1363" s="139"/>
      <c r="AP1363" s="139"/>
      <c r="AQ1363" s="174"/>
      <c r="AR1363" s="222"/>
    </row>
    <row r="1364" spans="2:44" s="22" customFormat="1" ht="18" customHeight="1" x14ac:dyDescent="0.25">
      <c r="B1364" s="145"/>
      <c r="C1364" s="139"/>
      <c r="D1364" s="146"/>
      <c r="E1364" s="139"/>
      <c r="F1364" s="139"/>
      <c r="G1364" s="139"/>
      <c r="H1364" s="139"/>
      <c r="I1364" s="139"/>
      <c r="J1364" s="139"/>
      <c r="K1364" s="139"/>
      <c r="L1364" s="243"/>
      <c r="M1364" s="243"/>
      <c r="N1364" s="139"/>
      <c r="O1364" s="139"/>
      <c r="P1364" s="139"/>
      <c r="Q1364" s="147"/>
      <c r="R1364" s="139"/>
      <c r="S1364" s="139"/>
      <c r="T1364" s="139"/>
      <c r="U1364" s="139"/>
      <c r="V1364" s="139"/>
      <c r="W1364" s="139"/>
      <c r="X1364" s="146"/>
      <c r="Y1364" s="148"/>
      <c r="Z1364" s="145"/>
      <c r="AA1364" s="139"/>
      <c r="AB1364" s="149"/>
      <c r="AC1364" s="119"/>
      <c r="AD1364" s="139"/>
      <c r="AE1364" s="139"/>
      <c r="AF1364" s="139"/>
      <c r="AG1364" s="139"/>
      <c r="AH1364" s="139"/>
      <c r="AI1364" s="139"/>
      <c r="AJ1364" s="139"/>
      <c r="AK1364" s="139"/>
      <c r="AL1364" s="139"/>
      <c r="AM1364" s="139"/>
      <c r="AN1364" s="139"/>
      <c r="AO1364" s="139"/>
      <c r="AP1364" s="139"/>
      <c r="AQ1364" s="174"/>
      <c r="AR1364" s="222"/>
    </row>
    <row r="1365" spans="2:44" s="22" customFormat="1" ht="18" customHeight="1" x14ac:dyDescent="0.25">
      <c r="B1365" s="145"/>
      <c r="C1365" s="139"/>
      <c r="D1365" s="146"/>
      <c r="E1365" s="139"/>
      <c r="F1365" s="139"/>
      <c r="G1365" s="139"/>
      <c r="H1365" s="139"/>
      <c r="I1365" s="139"/>
      <c r="J1365" s="139"/>
      <c r="K1365" s="139"/>
      <c r="L1365" s="243"/>
      <c r="M1365" s="243"/>
      <c r="N1365" s="139"/>
      <c r="O1365" s="139"/>
      <c r="P1365" s="139"/>
      <c r="Q1365" s="147"/>
      <c r="R1365" s="139"/>
      <c r="S1365" s="139"/>
      <c r="T1365" s="139"/>
      <c r="U1365" s="139"/>
      <c r="V1365" s="139"/>
      <c r="W1365" s="139"/>
      <c r="X1365" s="146"/>
      <c r="Y1365" s="148"/>
      <c r="Z1365" s="145"/>
      <c r="AA1365" s="139"/>
      <c r="AB1365" s="149"/>
      <c r="AC1365" s="119"/>
      <c r="AD1365" s="139"/>
      <c r="AE1365" s="139"/>
      <c r="AF1365" s="139"/>
      <c r="AG1365" s="139"/>
      <c r="AH1365" s="139"/>
      <c r="AI1365" s="139"/>
      <c r="AJ1365" s="139"/>
      <c r="AK1365" s="139"/>
      <c r="AL1365" s="139"/>
      <c r="AM1365" s="139"/>
      <c r="AN1365" s="139"/>
      <c r="AO1365" s="139"/>
      <c r="AP1365" s="139"/>
      <c r="AQ1365" s="174"/>
      <c r="AR1365" s="222"/>
    </row>
    <row r="1366" spans="2:44" s="22" customFormat="1" ht="18" customHeight="1" x14ac:dyDescent="0.25">
      <c r="B1366" s="145"/>
      <c r="C1366" s="139"/>
      <c r="D1366" s="146"/>
      <c r="E1366" s="139"/>
      <c r="F1366" s="139"/>
      <c r="G1366" s="139"/>
      <c r="H1366" s="139"/>
      <c r="I1366" s="139"/>
      <c r="J1366" s="139"/>
      <c r="K1366" s="139"/>
      <c r="L1366" s="243"/>
      <c r="M1366" s="243"/>
      <c r="N1366" s="139"/>
      <c r="O1366" s="139"/>
      <c r="P1366" s="139"/>
      <c r="Q1366" s="147"/>
      <c r="R1366" s="139"/>
      <c r="S1366" s="139"/>
      <c r="T1366" s="139"/>
      <c r="U1366" s="139"/>
      <c r="V1366" s="139"/>
      <c r="W1366" s="139"/>
      <c r="X1366" s="146"/>
      <c r="Y1366" s="148"/>
      <c r="Z1366" s="145"/>
      <c r="AA1366" s="139"/>
      <c r="AB1366" s="149"/>
      <c r="AC1366" s="119"/>
      <c r="AD1366" s="139"/>
      <c r="AE1366" s="139"/>
      <c r="AF1366" s="139"/>
      <c r="AG1366" s="139"/>
      <c r="AH1366" s="139"/>
      <c r="AI1366" s="139"/>
      <c r="AJ1366" s="139"/>
      <c r="AK1366" s="139"/>
      <c r="AL1366" s="139"/>
      <c r="AM1366" s="139"/>
      <c r="AN1366" s="139"/>
      <c r="AO1366" s="139"/>
      <c r="AP1366" s="139"/>
      <c r="AQ1366" s="174"/>
      <c r="AR1366" s="222"/>
    </row>
    <row r="1367" spans="2:44" s="22" customFormat="1" ht="18" customHeight="1" x14ac:dyDescent="0.25">
      <c r="B1367" s="145"/>
      <c r="C1367" s="139"/>
      <c r="D1367" s="146"/>
      <c r="E1367" s="139"/>
      <c r="F1367" s="139"/>
      <c r="G1367" s="139"/>
      <c r="H1367" s="139"/>
      <c r="I1367" s="139"/>
      <c r="J1367" s="139"/>
      <c r="K1367" s="139"/>
      <c r="L1367" s="243"/>
      <c r="M1367" s="243"/>
      <c r="N1367" s="139"/>
      <c r="O1367" s="139"/>
      <c r="P1367" s="139"/>
      <c r="Q1367" s="147"/>
      <c r="R1367" s="139"/>
      <c r="S1367" s="139"/>
      <c r="T1367" s="139"/>
      <c r="U1367" s="139"/>
      <c r="V1367" s="139"/>
      <c r="W1367" s="139"/>
      <c r="X1367" s="146"/>
      <c r="Y1367" s="148"/>
      <c r="Z1367" s="145"/>
      <c r="AA1367" s="139"/>
      <c r="AB1367" s="149"/>
      <c r="AC1367" s="119"/>
      <c r="AD1367" s="139"/>
      <c r="AE1367" s="139"/>
      <c r="AF1367" s="139"/>
      <c r="AG1367" s="139"/>
      <c r="AH1367" s="139"/>
      <c r="AI1367" s="139"/>
      <c r="AJ1367" s="139"/>
      <c r="AK1367" s="139"/>
      <c r="AL1367" s="139"/>
      <c r="AM1367" s="139"/>
      <c r="AN1367" s="139"/>
      <c r="AO1367" s="139"/>
      <c r="AP1367" s="139"/>
      <c r="AQ1367" s="174"/>
      <c r="AR1367" s="222"/>
    </row>
    <row r="1368" spans="2:44" s="22" customFormat="1" ht="18" customHeight="1" x14ac:dyDescent="0.25">
      <c r="B1368" s="145"/>
      <c r="C1368" s="139"/>
      <c r="D1368" s="146"/>
      <c r="E1368" s="139"/>
      <c r="F1368" s="139"/>
      <c r="G1368" s="139"/>
      <c r="H1368" s="139"/>
      <c r="I1368" s="139"/>
      <c r="J1368" s="139"/>
      <c r="K1368" s="139"/>
      <c r="L1368" s="243"/>
      <c r="M1368" s="243"/>
      <c r="N1368" s="139"/>
      <c r="O1368" s="139"/>
      <c r="P1368" s="139"/>
      <c r="Q1368" s="147"/>
      <c r="R1368" s="139"/>
      <c r="S1368" s="139"/>
      <c r="T1368" s="139"/>
      <c r="U1368" s="139"/>
      <c r="V1368" s="139"/>
      <c r="W1368" s="139"/>
      <c r="X1368" s="146"/>
      <c r="Y1368" s="148"/>
      <c r="Z1368" s="145"/>
      <c r="AA1368" s="139"/>
      <c r="AB1368" s="149"/>
      <c r="AC1368" s="119"/>
      <c r="AD1368" s="139"/>
      <c r="AE1368" s="139"/>
      <c r="AF1368" s="139"/>
      <c r="AG1368" s="139"/>
      <c r="AH1368" s="139"/>
      <c r="AI1368" s="139"/>
      <c r="AJ1368" s="139"/>
      <c r="AK1368" s="139"/>
      <c r="AL1368" s="139"/>
      <c r="AM1368" s="139"/>
      <c r="AN1368" s="139"/>
      <c r="AO1368" s="139"/>
      <c r="AP1368" s="139"/>
      <c r="AQ1368" s="174"/>
      <c r="AR1368" s="222"/>
    </row>
    <row r="1369" spans="2:44" s="22" customFormat="1" ht="18" customHeight="1" x14ac:dyDescent="0.25">
      <c r="B1369" s="145"/>
      <c r="C1369" s="139"/>
      <c r="D1369" s="146"/>
      <c r="E1369" s="139"/>
      <c r="F1369" s="139"/>
      <c r="G1369" s="139"/>
      <c r="H1369" s="139"/>
      <c r="I1369" s="139"/>
      <c r="J1369" s="139"/>
      <c r="K1369" s="139"/>
      <c r="L1369" s="243"/>
      <c r="M1369" s="243"/>
      <c r="N1369" s="139"/>
      <c r="O1369" s="139"/>
      <c r="P1369" s="139"/>
      <c r="Q1369" s="147"/>
      <c r="R1369" s="139"/>
      <c r="S1369" s="139"/>
      <c r="T1369" s="139"/>
      <c r="U1369" s="139"/>
      <c r="V1369" s="139"/>
      <c r="W1369" s="139"/>
      <c r="X1369" s="146"/>
      <c r="Y1369" s="148"/>
      <c r="Z1369" s="145"/>
      <c r="AA1369" s="139"/>
      <c r="AB1369" s="149"/>
      <c r="AC1369" s="119"/>
      <c r="AD1369" s="139"/>
      <c r="AE1369" s="139"/>
      <c r="AF1369" s="139"/>
      <c r="AG1369" s="139"/>
      <c r="AH1369" s="139"/>
      <c r="AI1369" s="139"/>
      <c r="AJ1369" s="139"/>
      <c r="AK1369" s="139"/>
      <c r="AL1369" s="139"/>
      <c r="AM1369" s="139"/>
      <c r="AN1369" s="139"/>
      <c r="AO1369" s="139"/>
      <c r="AP1369" s="139"/>
      <c r="AQ1369" s="174"/>
      <c r="AR1369" s="222"/>
    </row>
    <row r="1370" spans="2:44" s="22" customFormat="1" ht="18" customHeight="1" x14ac:dyDescent="0.25">
      <c r="B1370" s="145"/>
      <c r="C1370" s="139"/>
      <c r="D1370" s="146"/>
      <c r="E1370" s="139"/>
      <c r="F1370" s="139"/>
      <c r="G1370" s="139"/>
      <c r="H1370" s="139"/>
      <c r="I1370" s="139"/>
      <c r="J1370" s="139"/>
      <c r="K1370" s="139"/>
      <c r="L1370" s="243"/>
      <c r="M1370" s="243"/>
      <c r="N1370" s="139"/>
      <c r="O1370" s="139"/>
      <c r="P1370" s="139"/>
      <c r="Q1370" s="147"/>
      <c r="R1370" s="139"/>
      <c r="S1370" s="139"/>
      <c r="T1370" s="139"/>
      <c r="U1370" s="139"/>
      <c r="V1370" s="139"/>
      <c r="W1370" s="139"/>
      <c r="X1370" s="146"/>
      <c r="Y1370" s="148"/>
      <c r="Z1370" s="145"/>
      <c r="AA1370" s="139"/>
      <c r="AB1370" s="149"/>
      <c r="AC1370" s="119"/>
      <c r="AD1370" s="139"/>
      <c r="AE1370" s="139"/>
      <c r="AF1370" s="139"/>
      <c r="AG1370" s="139"/>
      <c r="AH1370" s="139"/>
      <c r="AI1370" s="139"/>
      <c r="AJ1370" s="139"/>
      <c r="AK1370" s="139"/>
      <c r="AL1370" s="139"/>
      <c r="AM1370" s="139"/>
      <c r="AN1370" s="139"/>
      <c r="AO1370" s="139"/>
      <c r="AP1370" s="139"/>
      <c r="AQ1370" s="174"/>
      <c r="AR1370" s="222"/>
    </row>
    <row r="1371" spans="2:44" s="22" customFormat="1" ht="18" customHeight="1" x14ac:dyDescent="0.25">
      <c r="B1371" s="145"/>
      <c r="C1371" s="139"/>
      <c r="D1371" s="146"/>
      <c r="E1371" s="139"/>
      <c r="F1371" s="139"/>
      <c r="G1371" s="139"/>
      <c r="H1371" s="139"/>
      <c r="I1371" s="139"/>
      <c r="J1371" s="139"/>
      <c r="K1371" s="139"/>
      <c r="L1371" s="243"/>
      <c r="M1371" s="243"/>
      <c r="N1371" s="139"/>
      <c r="O1371" s="139"/>
      <c r="P1371" s="139"/>
      <c r="Q1371" s="147"/>
      <c r="R1371" s="139"/>
      <c r="S1371" s="139"/>
      <c r="T1371" s="139"/>
      <c r="U1371" s="139"/>
      <c r="V1371" s="139"/>
      <c r="W1371" s="139"/>
      <c r="X1371" s="146"/>
      <c r="Y1371" s="148"/>
      <c r="Z1371" s="145"/>
      <c r="AA1371" s="139"/>
      <c r="AB1371" s="149"/>
      <c r="AC1371" s="119"/>
      <c r="AD1371" s="139"/>
      <c r="AE1371" s="139"/>
      <c r="AF1371" s="139"/>
      <c r="AG1371" s="139"/>
      <c r="AH1371" s="139"/>
      <c r="AI1371" s="139"/>
      <c r="AJ1371" s="139"/>
      <c r="AK1371" s="139"/>
      <c r="AL1371" s="139"/>
      <c r="AM1371" s="139"/>
      <c r="AN1371" s="139"/>
      <c r="AO1371" s="139"/>
      <c r="AP1371" s="139"/>
      <c r="AQ1371" s="174"/>
      <c r="AR1371" s="222"/>
    </row>
    <row r="1372" spans="2:44" s="22" customFormat="1" ht="18" customHeight="1" x14ac:dyDescent="0.25">
      <c r="B1372" s="145"/>
      <c r="C1372" s="139"/>
      <c r="D1372" s="146"/>
      <c r="E1372" s="139"/>
      <c r="F1372" s="139"/>
      <c r="G1372" s="139"/>
      <c r="H1372" s="139"/>
      <c r="I1372" s="139"/>
      <c r="J1372" s="139"/>
      <c r="K1372" s="139"/>
      <c r="L1372" s="243"/>
      <c r="M1372" s="243"/>
      <c r="N1372" s="139"/>
      <c r="O1372" s="139"/>
      <c r="P1372" s="139"/>
      <c r="Q1372" s="147"/>
      <c r="R1372" s="139"/>
      <c r="S1372" s="139"/>
      <c r="T1372" s="139"/>
      <c r="U1372" s="139"/>
      <c r="V1372" s="139"/>
      <c r="W1372" s="139"/>
      <c r="X1372" s="146"/>
      <c r="Y1372" s="148"/>
      <c r="Z1372" s="145"/>
      <c r="AA1372" s="139"/>
      <c r="AB1372" s="149"/>
      <c r="AC1372" s="119"/>
      <c r="AD1372" s="139"/>
      <c r="AE1372" s="139"/>
      <c r="AF1372" s="139"/>
      <c r="AG1372" s="139"/>
      <c r="AH1372" s="139"/>
      <c r="AI1372" s="139"/>
      <c r="AJ1372" s="139"/>
      <c r="AK1372" s="139"/>
      <c r="AL1372" s="139"/>
      <c r="AM1372" s="139"/>
      <c r="AN1372" s="139"/>
      <c r="AO1372" s="139"/>
      <c r="AP1372" s="139"/>
      <c r="AQ1372" s="174"/>
      <c r="AR1372" s="222"/>
    </row>
    <row r="1373" spans="2:44" s="22" customFormat="1" ht="18" customHeight="1" x14ac:dyDescent="0.25">
      <c r="B1373" s="145"/>
      <c r="C1373" s="139"/>
      <c r="D1373" s="146"/>
      <c r="E1373" s="139"/>
      <c r="F1373" s="139"/>
      <c r="G1373" s="139"/>
      <c r="H1373" s="139"/>
      <c r="I1373" s="139"/>
      <c r="J1373" s="139"/>
      <c r="K1373" s="139"/>
      <c r="L1373" s="243"/>
      <c r="M1373" s="243"/>
      <c r="N1373" s="139"/>
      <c r="O1373" s="139"/>
      <c r="P1373" s="139"/>
      <c r="Q1373" s="147"/>
      <c r="R1373" s="139"/>
      <c r="S1373" s="139"/>
      <c r="T1373" s="139"/>
      <c r="U1373" s="139"/>
      <c r="V1373" s="139"/>
      <c r="W1373" s="139"/>
      <c r="X1373" s="146"/>
      <c r="Y1373" s="148"/>
      <c r="Z1373" s="145"/>
      <c r="AA1373" s="139"/>
      <c r="AB1373" s="149"/>
      <c r="AC1373" s="119"/>
      <c r="AD1373" s="139"/>
      <c r="AE1373" s="139"/>
      <c r="AF1373" s="139"/>
      <c r="AG1373" s="139"/>
      <c r="AH1373" s="139"/>
      <c r="AI1373" s="139"/>
      <c r="AJ1373" s="139"/>
      <c r="AK1373" s="139"/>
      <c r="AL1373" s="139"/>
      <c r="AM1373" s="139"/>
      <c r="AN1373" s="139"/>
      <c r="AO1373" s="139"/>
      <c r="AP1373" s="139"/>
      <c r="AQ1373" s="174"/>
      <c r="AR1373" s="222"/>
    </row>
    <row r="1374" spans="2:44" s="141" customFormat="1" ht="18" customHeight="1" x14ac:dyDescent="0.25">
      <c r="B1374" s="145"/>
      <c r="C1374" s="139"/>
      <c r="D1374" s="146"/>
      <c r="E1374" s="139"/>
      <c r="F1374" s="139"/>
      <c r="G1374" s="139"/>
      <c r="H1374" s="139"/>
      <c r="I1374" s="139"/>
      <c r="J1374" s="139"/>
      <c r="K1374" s="139"/>
      <c r="L1374" s="243"/>
      <c r="M1374" s="243"/>
      <c r="N1374" s="139"/>
      <c r="O1374" s="139"/>
      <c r="P1374" s="139"/>
      <c r="Q1374" s="147"/>
      <c r="R1374" s="139"/>
      <c r="S1374" s="139"/>
      <c r="T1374" s="139"/>
      <c r="U1374" s="139"/>
      <c r="V1374" s="139"/>
      <c r="W1374" s="139"/>
      <c r="X1374" s="146"/>
      <c r="Y1374" s="148"/>
      <c r="Z1374" s="145"/>
      <c r="AA1374" s="139"/>
      <c r="AB1374" s="149"/>
      <c r="AC1374" s="119"/>
      <c r="AD1374" s="139"/>
      <c r="AE1374" s="139"/>
      <c r="AF1374" s="139"/>
      <c r="AG1374" s="139"/>
      <c r="AH1374" s="139"/>
      <c r="AI1374" s="139"/>
      <c r="AJ1374" s="139"/>
      <c r="AK1374" s="139"/>
      <c r="AL1374" s="139"/>
      <c r="AM1374" s="139"/>
      <c r="AN1374" s="139"/>
      <c r="AO1374" s="139"/>
      <c r="AP1374" s="139"/>
      <c r="AQ1374" s="174"/>
      <c r="AR1374" s="222"/>
    </row>
    <row r="1375" spans="2:44" s="22" customFormat="1" ht="18" customHeight="1" x14ac:dyDescent="0.25">
      <c r="B1375" s="145"/>
      <c r="C1375" s="139"/>
      <c r="D1375" s="146"/>
      <c r="E1375" s="139"/>
      <c r="F1375" s="139"/>
      <c r="G1375" s="139"/>
      <c r="H1375" s="139"/>
      <c r="I1375" s="139"/>
      <c r="J1375" s="139"/>
      <c r="K1375" s="139"/>
      <c r="L1375" s="243"/>
      <c r="M1375" s="243"/>
      <c r="N1375" s="139"/>
      <c r="O1375" s="139"/>
      <c r="P1375" s="139"/>
      <c r="Q1375" s="147"/>
      <c r="R1375" s="139"/>
      <c r="S1375" s="139"/>
      <c r="T1375" s="139"/>
      <c r="U1375" s="139"/>
      <c r="V1375" s="139"/>
      <c r="W1375" s="139"/>
      <c r="X1375" s="146"/>
      <c r="Y1375" s="148"/>
      <c r="Z1375" s="145"/>
      <c r="AA1375" s="139"/>
      <c r="AB1375" s="149"/>
      <c r="AC1375" s="119"/>
      <c r="AD1375" s="139"/>
      <c r="AE1375" s="139"/>
      <c r="AF1375" s="139"/>
      <c r="AG1375" s="139"/>
      <c r="AH1375" s="139"/>
      <c r="AI1375" s="139"/>
      <c r="AJ1375" s="139"/>
      <c r="AK1375" s="139"/>
      <c r="AL1375" s="139"/>
      <c r="AM1375" s="139"/>
      <c r="AN1375" s="139"/>
      <c r="AO1375" s="139"/>
      <c r="AP1375" s="139"/>
      <c r="AQ1375" s="174"/>
      <c r="AR1375" s="222"/>
    </row>
    <row r="1376" spans="2:44" s="22" customFormat="1" ht="18" customHeight="1" x14ac:dyDescent="0.25">
      <c r="B1376" s="145"/>
      <c r="C1376" s="139"/>
      <c r="D1376" s="146"/>
      <c r="E1376" s="139"/>
      <c r="F1376" s="139"/>
      <c r="G1376" s="139"/>
      <c r="H1376" s="139"/>
      <c r="I1376" s="139"/>
      <c r="J1376" s="139"/>
      <c r="K1376" s="139"/>
      <c r="L1376" s="243"/>
      <c r="M1376" s="243"/>
      <c r="N1376" s="139"/>
      <c r="O1376" s="139"/>
      <c r="P1376" s="139"/>
      <c r="Q1376" s="147"/>
      <c r="R1376" s="139"/>
      <c r="S1376" s="139"/>
      <c r="T1376" s="139"/>
      <c r="U1376" s="139"/>
      <c r="V1376" s="139"/>
      <c r="W1376" s="139"/>
      <c r="X1376" s="146"/>
      <c r="Y1376" s="148"/>
      <c r="Z1376" s="145"/>
      <c r="AA1376" s="139"/>
      <c r="AB1376" s="149"/>
      <c r="AC1376" s="119"/>
      <c r="AD1376" s="139"/>
      <c r="AE1376" s="139"/>
      <c r="AF1376" s="139"/>
      <c r="AG1376" s="139"/>
      <c r="AH1376" s="139"/>
      <c r="AI1376" s="139"/>
      <c r="AJ1376" s="139"/>
      <c r="AK1376" s="139"/>
      <c r="AL1376" s="139"/>
      <c r="AM1376" s="139"/>
      <c r="AN1376" s="139"/>
      <c r="AO1376" s="139"/>
      <c r="AP1376" s="139"/>
      <c r="AQ1376" s="174"/>
      <c r="AR1376" s="222"/>
    </row>
    <row r="1377" spans="2:44" s="140" customFormat="1" ht="18" customHeight="1" x14ac:dyDescent="0.25">
      <c r="B1377" s="145"/>
      <c r="C1377" s="139"/>
      <c r="D1377" s="146"/>
      <c r="E1377" s="139"/>
      <c r="F1377" s="139"/>
      <c r="G1377" s="139"/>
      <c r="H1377" s="139"/>
      <c r="I1377" s="139"/>
      <c r="J1377" s="139"/>
      <c r="K1377" s="139"/>
      <c r="L1377" s="243"/>
      <c r="M1377" s="243"/>
      <c r="N1377" s="139"/>
      <c r="O1377" s="139"/>
      <c r="P1377" s="139"/>
      <c r="Q1377" s="147"/>
      <c r="R1377" s="139"/>
      <c r="S1377" s="139"/>
      <c r="T1377" s="139"/>
      <c r="U1377" s="139"/>
      <c r="V1377" s="139"/>
      <c r="W1377" s="139"/>
      <c r="X1377" s="146"/>
      <c r="Y1377" s="148"/>
      <c r="Z1377" s="145"/>
      <c r="AA1377" s="139"/>
      <c r="AB1377" s="149"/>
      <c r="AC1377" s="119"/>
      <c r="AD1377" s="139"/>
      <c r="AE1377" s="139"/>
      <c r="AF1377" s="139"/>
      <c r="AG1377" s="139"/>
      <c r="AH1377" s="139"/>
      <c r="AI1377" s="139"/>
      <c r="AJ1377" s="139"/>
      <c r="AK1377" s="139"/>
      <c r="AL1377" s="139"/>
      <c r="AM1377" s="139"/>
      <c r="AN1377" s="139"/>
      <c r="AO1377" s="139"/>
      <c r="AP1377" s="139"/>
      <c r="AQ1377" s="174"/>
      <c r="AR1377" s="222"/>
    </row>
    <row r="1378" spans="2:44" s="22" customFormat="1" ht="18" customHeight="1" x14ac:dyDescent="0.25">
      <c r="B1378" s="145"/>
      <c r="C1378" s="139"/>
      <c r="D1378" s="146"/>
      <c r="E1378" s="139"/>
      <c r="F1378" s="139"/>
      <c r="G1378" s="139"/>
      <c r="H1378" s="139"/>
      <c r="I1378" s="139"/>
      <c r="J1378" s="139"/>
      <c r="K1378" s="139"/>
      <c r="L1378" s="243"/>
      <c r="M1378" s="243"/>
      <c r="N1378" s="139"/>
      <c r="O1378" s="139"/>
      <c r="P1378" s="139"/>
      <c r="Q1378" s="147"/>
      <c r="R1378" s="139"/>
      <c r="S1378" s="139"/>
      <c r="T1378" s="139"/>
      <c r="U1378" s="139"/>
      <c r="V1378" s="139"/>
      <c r="W1378" s="139"/>
      <c r="X1378" s="146"/>
      <c r="Y1378" s="148"/>
      <c r="Z1378" s="145"/>
      <c r="AA1378" s="139"/>
      <c r="AB1378" s="149"/>
      <c r="AC1378" s="119"/>
      <c r="AD1378" s="139"/>
      <c r="AE1378" s="139"/>
      <c r="AF1378" s="139"/>
      <c r="AG1378" s="139"/>
      <c r="AH1378" s="139"/>
      <c r="AI1378" s="139"/>
      <c r="AJ1378" s="139"/>
      <c r="AK1378" s="139"/>
      <c r="AL1378" s="139"/>
      <c r="AM1378" s="139"/>
      <c r="AN1378" s="139"/>
      <c r="AO1378" s="139"/>
      <c r="AP1378" s="139"/>
      <c r="AQ1378" s="174"/>
      <c r="AR1378" s="222"/>
    </row>
    <row r="1379" spans="2:44" s="141" customFormat="1" ht="18" customHeight="1" x14ac:dyDescent="0.25">
      <c r="B1379" s="145"/>
      <c r="C1379" s="139"/>
      <c r="D1379" s="146"/>
      <c r="E1379" s="139"/>
      <c r="F1379" s="139"/>
      <c r="G1379" s="139"/>
      <c r="H1379" s="139"/>
      <c r="I1379" s="139"/>
      <c r="J1379" s="139"/>
      <c r="K1379" s="139"/>
      <c r="L1379" s="243"/>
      <c r="M1379" s="243"/>
      <c r="N1379" s="139"/>
      <c r="O1379" s="139"/>
      <c r="P1379" s="139"/>
      <c r="Q1379" s="147"/>
      <c r="R1379" s="139"/>
      <c r="S1379" s="139"/>
      <c r="T1379" s="139"/>
      <c r="U1379" s="139"/>
      <c r="V1379" s="139"/>
      <c r="W1379" s="139"/>
      <c r="X1379" s="146"/>
      <c r="Y1379" s="148"/>
      <c r="Z1379" s="145"/>
      <c r="AA1379" s="139"/>
      <c r="AB1379" s="149"/>
      <c r="AC1379" s="119"/>
      <c r="AD1379" s="139"/>
      <c r="AE1379" s="139"/>
      <c r="AF1379" s="139"/>
      <c r="AG1379" s="139"/>
      <c r="AH1379" s="139"/>
      <c r="AI1379" s="139"/>
      <c r="AJ1379" s="139"/>
      <c r="AK1379" s="139"/>
      <c r="AL1379" s="139"/>
      <c r="AM1379" s="139"/>
      <c r="AN1379" s="139"/>
      <c r="AO1379" s="139"/>
      <c r="AP1379" s="139"/>
      <c r="AQ1379" s="174"/>
      <c r="AR1379" s="222"/>
    </row>
    <row r="1380" spans="2:44" s="22" customFormat="1" ht="18" customHeight="1" x14ac:dyDescent="0.25">
      <c r="B1380" s="145"/>
      <c r="C1380" s="139"/>
      <c r="D1380" s="146"/>
      <c r="E1380" s="139"/>
      <c r="F1380" s="139"/>
      <c r="G1380" s="139"/>
      <c r="H1380" s="139"/>
      <c r="I1380" s="139"/>
      <c r="J1380" s="139"/>
      <c r="K1380" s="139"/>
      <c r="L1380" s="243"/>
      <c r="M1380" s="243"/>
      <c r="N1380" s="139"/>
      <c r="O1380" s="139"/>
      <c r="P1380" s="139"/>
      <c r="Q1380" s="147"/>
      <c r="R1380" s="139"/>
      <c r="S1380" s="139"/>
      <c r="T1380" s="139"/>
      <c r="U1380" s="139"/>
      <c r="V1380" s="139"/>
      <c r="W1380" s="139"/>
      <c r="X1380" s="146"/>
      <c r="Y1380" s="148"/>
      <c r="Z1380" s="145"/>
      <c r="AA1380" s="139"/>
      <c r="AB1380" s="149"/>
      <c r="AC1380" s="119"/>
      <c r="AD1380" s="139"/>
      <c r="AE1380" s="139"/>
      <c r="AF1380" s="139"/>
      <c r="AG1380" s="139"/>
      <c r="AH1380" s="139"/>
      <c r="AI1380" s="139"/>
      <c r="AJ1380" s="139"/>
      <c r="AK1380" s="139"/>
      <c r="AL1380" s="139"/>
      <c r="AM1380" s="139"/>
      <c r="AN1380" s="139"/>
      <c r="AO1380" s="139"/>
      <c r="AP1380" s="139"/>
      <c r="AQ1380" s="174"/>
      <c r="AR1380" s="222"/>
    </row>
    <row r="1381" spans="2:44" s="140" customFormat="1" ht="18" customHeight="1" x14ac:dyDescent="0.25">
      <c r="B1381" s="145"/>
      <c r="C1381" s="139"/>
      <c r="D1381" s="146"/>
      <c r="E1381" s="139"/>
      <c r="F1381" s="139"/>
      <c r="G1381" s="139"/>
      <c r="H1381" s="139"/>
      <c r="I1381" s="139"/>
      <c r="J1381" s="139"/>
      <c r="K1381" s="139"/>
      <c r="L1381" s="243"/>
      <c r="M1381" s="243"/>
      <c r="N1381" s="139"/>
      <c r="O1381" s="139"/>
      <c r="P1381" s="139"/>
      <c r="Q1381" s="147"/>
      <c r="R1381" s="139"/>
      <c r="S1381" s="139"/>
      <c r="T1381" s="139"/>
      <c r="U1381" s="139"/>
      <c r="V1381" s="139"/>
      <c r="W1381" s="139"/>
      <c r="X1381" s="146"/>
      <c r="Y1381" s="148"/>
      <c r="Z1381" s="145"/>
      <c r="AA1381" s="139"/>
      <c r="AB1381" s="149"/>
      <c r="AC1381" s="119"/>
      <c r="AD1381" s="139"/>
      <c r="AE1381" s="139"/>
      <c r="AF1381" s="139"/>
      <c r="AG1381" s="139"/>
      <c r="AH1381" s="139"/>
      <c r="AI1381" s="139"/>
      <c r="AJ1381" s="139"/>
      <c r="AK1381" s="139"/>
      <c r="AL1381" s="139"/>
      <c r="AM1381" s="139"/>
      <c r="AN1381" s="139"/>
      <c r="AO1381" s="139"/>
      <c r="AP1381" s="139"/>
      <c r="AQ1381" s="174"/>
      <c r="AR1381" s="222"/>
    </row>
    <row r="1382" spans="2:44" s="140" customFormat="1" ht="18" customHeight="1" x14ac:dyDescent="0.25">
      <c r="B1382" s="145"/>
      <c r="C1382" s="139"/>
      <c r="D1382" s="146"/>
      <c r="E1382" s="139"/>
      <c r="F1382" s="139"/>
      <c r="G1382" s="139"/>
      <c r="H1382" s="139"/>
      <c r="I1382" s="139"/>
      <c r="J1382" s="139"/>
      <c r="K1382" s="139"/>
      <c r="L1382" s="243"/>
      <c r="M1382" s="243"/>
      <c r="N1382" s="139"/>
      <c r="O1382" s="139"/>
      <c r="P1382" s="139"/>
      <c r="Q1382" s="147"/>
      <c r="R1382" s="139"/>
      <c r="S1382" s="139"/>
      <c r="T1382" s="139"/>
      <c r="U1382" s="139"/>
      <c r="V1382" s="139"/>
      <c r="W1382" s="139"/>
      <c r="X1382" s="146"/>
      <c r="Y1382" s="148"/>
      <c r="Z1382" s="145"/>
      <c r="AA1382" s="139"/>
      <c r="AB1382" s="149"/>
      <c r="AC1382" s="119"/>
      <c r="AD1382" s="139"/>
      <c r="AE1382" s="139"/>
      <c r="AF1382" s="139"/>
      <c r="AG1382" s="139"/>
      <c r="AH1382" s="139"/>
      <c r="AI1382" s="139"/>
      <c r="AJ1382" s="139"/>
      <c r="AK1382" s="139"/>
      <c r="AL1382" s="139"/>
      <c r="AM1382" s="139"/>
      <c r="AN1382" s="139"/>
      <c r="AO1382" s="139"/>
      <c r="AP1382" s="139"/>
      <c r="AQ1382" s="174"/>
      <c r="AR1382" s="222"/>
    </row>
    <row r="1383" spans="2:44" s="140" customFormat="1" ht="18" customHeight="1" x14ac:dyDescent="0.25">
      <c r="B1383" s="145"/>
      <c r="C1383" s="139"/>
      <c r="D1383" s="146"/>
      <c r="E1383" s="139"/>
      <c r="F1383" s="139"/>
      <c r="G1383" s="139"/>
      <c r="H1383" s="139"/>
      <c r="I1383" s="139"/>
      <c r="J1383" s="139"/>
      <c r="K1383" s="139"/>
      <c r="L1383" s="243"/>
      <c r="M1383" s="243"/>
      <c r="N1383" s="139"/>
      <c r="O1383" s="139"/>
      <c r="P1383" s="139"/>
      <c r="Q1383" s="147"/>
      <c r="R1383" s="139"/>
      <c r="S1383" s="139"/>
      <c r="T1383" s="139"/>
      <c r="U1383" s="139"/>
      <c r="V1383" s="139"/>
      <c r="W1383" s="139"/>
      <c r="X1383" s="146"/>
      <c r="Y1383" s="148"/>
      <c r="Z1383" s="145"/>
      <c r="AA1383" s="139"/>
      <c r="AB1383" s="149"/>
      <c r="AC1383" s="119"/>
      <c r="AD1383" s="139"/>
      <c r="AE1383" s="139"/>
      <c r="AF1383" s="139"/>
      <c r="AG1383" s="139"/>
      <c r="AH1383" s="139"/>
      <c r="AI1383" s="139"/>
      <c r="AJ1383" s="139"/>
      <c r="AK1383" s="139"/>
      <c r="AL1383" s="139"/>
      <c r="AM1383" s="139"/>
      <c r="AN1383" s="139"/>
      <c r="AO1383" s="139"/>
      <c r="AP1383" s="139"/>
      <c r="AQ1383" s="174"/>
      <c r="AR1383" s="222"/>
    </row>
    <row r="1384" spans="2:44" s="140" customFormat="1" ht="18" customHeight="1" x14ac:dyDescent="0.25">
      <c r="B1384" s="145"/>
      <c r="C1384" s="139"/>
      <c r="D1384" s="146"/>
      <c r="E1384" s="139"/>
      <c r="F1384" s="139"/>
      <c r="G1384" s="139"/>
      <c r="H1384" s="139"/>
      <c r="I1384" s="139"/>
      <c r="J1384" s="139"/>
      <c r="K1384" s="139"/>
      <c r="L1384" s="243"/>
      <c r="M1384" s="243"/>
      <c r="N1384" s="139"/>
      <c r="O1384" s="139"/>
      <c r="P1384" s="139"/>
      <c r="Q1384" s="147"/>
      <c r="R1384" s="139"/>
      <c r="S1384" s="139"/>
      <c r="T1384" s="139"/>
      <c r="U1384" s="139"/>
      <c r="V1384" s="139"/>
      <c r="W1384" s="139"/>
      <c r="X1384" s="146"/>
      <c r="Y1384" s="148"/>
      <c r="Z1384" s="145"/>
      <c r="AA1384" s="139"/>
      <c r="AB1384" s="149"/>
      <c r="AC1384" s="119"/>
      <c r="AD1384" s="139"/>
      <c r="AE1384" s="139"/>
      <c r="AF1384" s="139"/>
      <c r="AG1384" s="139"/>
      <c r="AH1384" s="139"/>
      <c r="AI1384" s="139"/>
      <c r="AJ1384" s="139"/>
      <c r="AK1384" s="139"/>
      <c r="AL1384" s="139"/>
      <c r="AM1384" s="139"/>
      <c r="AN1384" s="139"/>
      <c r="AO1384" s="139"/>
      <c r="AP1384" s="139"/>
      <c r="AQ1384" s="174"/>
      <c r="AR1384" s="222"/>
    </row>
    <row r="1385" spans="2:44" s="140" customFormat="1" ht="18" customHeight="1" x14ac:dyDescent="0.25">
      <c r="B1385" s="145"/>
      <c r="C1385" s="139"/>
      <c r="D1385" s="146"/>
      <c r="E1385" s="139"/>
      <c r="F1385" s="139"/>
      <c r="G1385" s="139"/>
      <c r="H1385" s="139"/>
      <c r="I1385" s="139"/>
      <c r="J1385" s="139"/>
      <c r="K1385" s="139"/>
      <c r="L1385" s="243"/>
      <c r="M1385" s="243"/>
      <c r="N1385" s="139"/>
      <c r="O1385" s="139"/>
      <c r="P1385" s="139"/>
      <c r="Q1385" s="147"/>
      <c r="R1385" s="139"/>
      <c r="S1385" s="139"/>
      <c r="T1385" s="139"/>
      <c r="U1385" s="139"/>
      <c r="V1385" s="139"/>
      <c r="W1385" s="139"/>
      <c r="X1385" s="146"/>
      <c r="Y1385" s="148"/>
      <c r="Z1385" s="145"/>
      <c r="AA1385" s="139"/>
      <c r="AB1385" s="149"/>
      <c r="AC1385" s="119"/>
      <c r="AD1385" s="139"/>
      <c r="AE1385" s="139"/>
      <c r="AF1385" s="139"/>
      <c r="AG1385" s="139"/>
      <c r="AH1385" s="139"/>
      <c r="AI1385" s="139"/>
      <c r="AJ1385" s="139"/>
      <c r="AK1385" s="139"/>
      <c r="AL1385" s="139"/>
      <c r="AM1385" s="139"/>
      <c r="AN1385" s="139"/>
      <c r="AO1385" s="139"/>
      <c r="AP1385" s="139"/>
      <c r="AQ1385" s="174"/>
      <c r="AR1385" s="222"/>
    </row>
    <row r="1386" spans="2:44" s="140" customFormat="1" ht="18" customHeight="1" x14ac:dyDescent="0.25">
      <c r="B1386" s="145"/>
      <c r="C1386" s="139"/>
      <c r="D1386" s="146"/>
      <c r="E1386" s="139"/>
      <c r="F1386" s="139"/>
      <c r="G1386" s="139"/>
      <c r="H1386" s="139"/>
      <c r="I1386" s="139"/>
      <c r="J1386" s="139"/>
      <c r="K1386" s="139"/>
      <c r="L1386" s="243"/>
      <c r="M1386" s="243"/>
      <c r="N1386" s="139"/>
      <c r="O1386" s="139"/>
      <c r="P1386" s="139"/>
      <c r="Q1386" s="147"/>
      <c r="R1386" s="139"/>
      <c r="S1386" s="139"/>
      <c r="T1386" s="139"/>
      <c r="U1386" s="139"/>
      <c r="V1386" s="139"/>
      <c r="W1386" s="139"/>
      <c r="X1386" s="146"/>
      <c r="Y1386" s="148"/>
      <c r="Z1386" s="145"/>
      <c r="AA1386" s="139"/>
      <c r="AB1386" s="149"/>
      <c r="AC1386" s="119"/>
      <c r="AD1386" s="139"/>
      <c r="AE1386" s="139"/>
      <c r="AF1386" s="139"/>
      <c r="AG1386" s="139"/>
      <c r="AH1386" s="139"/>
      <c r="AI1386" s="139"/>
      <c r="AJ1386" s="139"/>
      <c r="AK1386" s="139"/>
      <c r="AL1386" s="139"/>
      <c r="AM1386" s="139"/>
      <c r="AN1386" s="139"/>
      <c r="AO1386" s="139"/>
      <c r="AP1386" s="139"/>
      <c r="AQ1386" s="174"/>
      <c r="AR1386" s="222"/>
    </row>
    <row r="1387" spans="2:44" s="22" customFormat="1" ht="18" customHeight="1" x14ac:dyDescent="0.25">
      <c r="B1387" s="145"/>
      <c r="C1387" s="139"/>
      <c r="D1387" s="146"/>
      <c r="E1387" s="139"/>
      <c r="F1387" s="139"/>
      <c r="G1387" s="139"/>
      <c r="H1387" s="139"/>
      <c r="I1387" s="139"/>
      <c r="J1387" s="139"/>
      <c r="K1387" s="139"/>
      <c r="L1387" s="243"/>
      <c r="M1387" s="243"/>
      <c r="N1387" s="139"/>
      <c r="O1387" s="139"/>
      <c r="P1387" s="139"/>
      <c r="Q1387" s="147"/>
      <c r="R1387" s="139"/>
      <c r="S1387" s="139"/>
      <c r="T1387" s="139"/>
      <c r="U1387" s="139"/>
      <c r="V1387" s="139"/>
      <c r="W1387" s="139"/>
      <c r="X1387" s="146"/>
      <c r="Y1387" s="148"/>
      <c r="Z1387" s="145"/>
      <c r="AA1387" s="139"/>
      <c r="AB1387" s="149"/>
      <c r="AC1387" s="119"/>
      <c r="AD1387" s="139"/>
      <c r="AE1387" s="139"/>
      <c r="AF1387" s="139"/>
      <c r="AG1387" s="139"/>
      <c r="AH1387" s="139"/>
      <c r="AI1387" s="139"/>
      <c r="AJ1387" s="139"/>
      <c r="AK1387" s="139"/>
      <c r="AL1387" s="139"/>
      <c r="AM1387" s="139"/>
      <c r="AN1387" s="139"/>
      <c r="AO1387" s="139"/>
      <c r="AP1387" s="139"/>
      <c r="AQ1387" s="174"/>
      <c r="AR1387" s="222"/>
    </row>
    <row r="1388" spans="2:44" s="22" customFormat="1" ht="18" customHeight="1" x14ac:dyDescent="0.25">
      <c r="B1388" s="145"/>
      <c r="C1388" s="139"/>
      <c r="D1388" s="146"/>
      <c r="E1388" s="139"/>
      <c r="F1388" s="139"/>
      <c r="G1388" s="139"/>
      <c r="H1388" s="139"/>
      <c r="I1388" s="139"/>
      <c r="J1388" s="139"/>
      <c r="K1388" s="139"/>
      <c r="L1388" s="243"/>
      <c r="M1388" s="243"/>
      <c r="N1388" s="139"/>
      <c r="O1388" s="139"/>
      <c r="P1388" s="139"/>
      <c r="Q1388" s="147"/>
      <c r="R1388" s="139"/>
      <c r="S1388" s="139"/>
      <c r="T1388" s="139"/>
      <c r="U1388" s="139"/>
      <c r="V1388" s="139"/>
      <c r="W1388" s="139"/>
      <c r="X1388" s="146"/>
      <c r="Y1388" s="148"/>
      <c r="Z1388" s="145"/>
      <c r="AA1388" s="139"/>
      <c r="AB1388" s="149"/>
      <c r="AC1388" s="119"/>
      <c r="AD1388" s="139"/>
      <c r="AE1388" s="139"/>
      <c r="AF1388" s="139"/>
      <c r="AG1388" s="139"/>
      <c r="AH1388" s="139"/>
      <c r="AI1388" s="139"/>
      <c r="AJ1388" s="139"/>
      <c r="AK1388" s="139"/>
      <c r="AL1388" s="139"/>
      <c r="AM1388" s="139"/>
      <c r="AN1388" s="139"/>
      <c r="AO1388" s="139"/>
      <c r="AP1388" s="139"/>
      <c r="AQ1388" s="174"/>
      <c r="AR1388" s="222"/>
    </row>
    <row r="1389" spans="2:44" s="22" customFormat="1" ht="18" customHeight="1" x14ac:dyDescent="0.25">
      <c r="B1389" s="145"/>
      <c r="C1389" s="139"/>
      <c r="D1389" s="146"/>
      <c r="E1389" s="139"/>
      <c r="F1389" s="139"/>
      <c r="G1389" s="139"/>
      <c r="H1389" s="139"/>
      <c r="I1389" s="139"/>
      <c r="J1389" s="139"/>
      <c r="K1389" s="139"/>
      <c r="L1389" s="243"/>
      <c r="M1389" s="243"/>
      <c r="N1389" s="139"/>
      <c r="O1389" s="139"/>
      <c r="P1389" s="139"/>
      <c r="Q1389" s="147"/>
      <c r="R1389" s="139"/>
      <c r="S1389" s="139"/>
      <c r="T1389" s="139"/>
      <c r="U1389" s="139"/>
      <c r="V1389" s="139"/>
      <c r="W1389" s="139"/>
      <c r="X1389" s="146"/>
      <c r="Y1389" s="148"/>
      <c r="Z1389" s="145"/>
      <c r="AA1389" s="139"/>
      <c r="AB1389" s="149"/>
      <c r="AC1389" s="119"/>
      <c r="AD1389" s="139"/>
      <c r="AE1389" s="139"/>
      <c r="AF1389" s="139"/>
      <c r="AG1389" s="139"/>
      <c r="AH1389" s="139"/>
      <c r="AI1389" s="139"/>
      <c r="AJ1389" s="139"/>
      <c r="AK1389" s="139"/>
      <c r="AL1389" s="139"/>
      <c r="AM1389" s="139"/>
      <c r="AN1389" s="139"/>
      <c r="AO1389" s="139"/>
      <c r="AP1389" s="139"/>
      <c r="AQ1389" s="174"/>
      <c r="AR1389" s="222"/>
    </row>
    <row r="1390" spans="2:44" s="22" customFormat="1" ht="18" customHeight="1" x14ac:dyDescent="0.25">
      <c r="B1390" s="145"/>
      <c r="C1390" s="139"/>
      <c r="D1390" s="146"/>
      <c r="E1390" s="139"/>
      <c r="F1390" s="139"/>
      <c r="G1390" s="139"/>
      <c r="H1390" s="139"/>
      <c r="I1390" s="139"/>
      <c r="J1390" s="139"/>
      <c r="K1390" s="139"/>
      <c r="L1390" s="243"/>
      <c r="M1390" s="243"/>
      <c r="N1390" s="139"/>
      <c r="O1390" s="139"/>
      <c r="P1390" s="139"/>
      <c r="Q1390" s="147"/>
      <c r="R1390" s="139"/>
      <c r="S1390" s="139"/>
      <c r="T1390" s="139"/>
      <c r="U1390" s="139"/>
      <c r="V1390" s="139"/>
      <c r="W1390" s="139"/>
      <c r="X1390" s="146"/>
      <c r="Y1390" s="148"/>
      <c r="Z1390" s="145"/>
      <c r="AA1390" s="139"/>
      <c r="AB1390" s="149"/>
      <c r="AC1390" s="119"/>
      <c r="AD1390" s="139"/>
      <c r="AE1390" s="139"/>
      <c r="AF1390" s="139"/>
      <c r="AG1390" s="139"/>
      <c r="AH1390" s="139"/>
      <c r="AI1390" s="139"/>
      <c r="AJ1390" s="139"/>
      <c r="AK1390" s="139"/>
      <c r="AL1390" s="139"/>
      <c r="AM1390" s="139"/>
      <c r="AN1390" s="139"/>
      <c r="AO1390" s="139"/>
      <c r="AP1390" s="139"/>
      <c r="AQ1390" s="174"/>
      <c r="AR1390" s="222"/>
    </row>
    <row r="1391" spans="2:44" s="22" customFormat="1" ht="18" customHeight="1" x14ac:dyDescent="0.25">
      <c r="B1391" s="145"/>
      <c r="C1391" s="139"/>
      <c r="D1391" s="146"/>
      <c r="E1391" s="139"/>
      <c r="F1391" s="139"/>
      <c r="G1391" s="139"/>
      <c r="H1391" s="139"/>
      <c r="I1391" s="139"/>
      <c r="J1391" s="139"/>
      <c r="K1391" s="139"/>
      <c r="L1391" s="243"/>
      <c r="M1391" s="243"/>
      <c r="N1391" s="139"/>
      <c r="O1391" s="139"/>
      <c r="P1391" s="139"/>
      <c r="Q1391" s="147"/>
      <c r="R1391" s="139"/>
      <c r="S1391" s="139"/>
      <c r="T1391" s="139"/>
      <c r="U1391" s="139"/>
      <c r="V1391" s="139"/>
      <c r="W1391" s="139"/>
      <c r="X1391" s="146"/>
      <c r="Y1391" s="148"/>
      <c r="Z1391" s="145"/>
      <c r="AA1391" s="139"/>
      <c r="AB1391" s="149"/>
      <c r="AC1391" s="119"/>
      <c r="AD1391" s="139"/>
      <c r="AE1391" s="139"/>
      <c r="AF1391" s="139"/>
      <c r="AG1391" s="139"/>
      <c r="AH1391" s="139"/>
      <c r="AI1391" s="139"/>
      <c r="AJ1391" s="139"/>
      <c r="AK1391" s="139"/>
      <c r="AL1391" s="139"/>
      <c r="AM1391" s="139"/>
      <c r="AN1391" s="139"/>
      <c r="AO1391" s="139"/>
      <c r="AP1391" s="139"/>
      <c r="AQ1391" s="174"/>
      <c r="AR1391" s="222"/>
    </row>
    <row r="1392" spans="2:44" s="22" customFormat="1" ht="18" customHeight="1" x14ac:dyDescent="0.25">
      <c r="B1392" s="145"/>
      <c r="C1392" s="139"/>
      <c r="D1392" s="146"/>
      <c r="E1392" s="139"/>
      <c r="F1392" s="139"/>
      <c r="G1392" s="139"/>
      <c r="H1392" s="139"/>
      <c r="I1392" s="139"/>
      <c r="J1392" s="139"/>
      <c r="K1392" s="139"/>
      <c r="L1392" s="243"/>
      <c r="M1392" s="243"/>
      <c r="N1392" s="139"/>
      <c r="O1392" s="139"/>
      <c r="P1392" s="139"/>
      <c r="Q1392" s="147"/>
      <c r="R1392" s="139"/>
      <c r="S1392" s="139"/>
      <c r="T1392" s="139"/>
      <c r="U1392" s="139"/>
      <c r="V1392" s="139"/>
      <c r="W1392" s="139"/>
      <c r="X1392" s="146"/>
      <c r="Y1392" s="148"/>
      <c r="Z1392" s="145"/>
      <c r="AA1392" s="139"/>
      <c r="AB1392" s="149"/>
      <c r="AC1392" s="119"/>
      <c r="AD1392" s="139"/>
      <c r="AE1392" s="139"/>
      <c r="AF1392" s="139"/>
      <c r="AG1392" s="139"/>
      <c r="AH1392" s="139"/>
      <c r="AI1392" s="139"/>
      <c r="AJ1392" s="139"/>
      <c r="AK1392" s="139"/>
      <c r="AL1392" s="139"/>
      <c r="AM1392" s="139"/>
      <c r="AN1392" s="139"/>
      <c r="AO1392" s="139"/>
      <c r="AP1392" s="139"/>
      <c r="AQ1392" s="174"/>
      <c r="AR1392" s="222"/>
    </row>
    <row r="1393" spans="2:44" s="140" customFormat="1" ht="18" customHeight="1" x14ac:dyDescent="0.25">
      <c r="B1393" s="145"/>
      <c r="C1393" s="139"/>
      <c r="D1393" s="146"/>
      <c r="E1393" s="139"/>
      <c r="F1393" s="139"/>
      <c r="G1393" s="139"/>
      <c r="H1393" s="139"/>
      <c r="I1393" s="139"/>
      <c r="J1393" s="139"/>
      <c r="K1393" s="139"/>
      <c r="L1393" s="243"/>
      <c r="M1393" s="243"/>
      <c r="N1393" s="139"/>
      <c r="O1393" s="139"/>
      <c r="P1393" s="139"/>
      <c r="Q1393" s="147"/>
      <c r="R1393" s="139"/>
      <c r="S1393" s="139"/>
      <c r="T1393" s="139"/>
      <c r="U1393" s="139"/>
      <c r="V1393" s="139"/>
      <c r="W1393" s="139"/>
      <c r="X1393" s="146"/>
      <c r="Y1393" s="148"/>
      <c r="Z1393" s="145"/>
      <c r="AA1393" s="139"/>
      <c r="AB1393" s="149"/>
      <c r="AC1393" s="119"/>
      <c r="AD1393" s="139"/>
      <c r="AE1393" s="139"/>
      <c r="AF1393" s="139"/>
      <c r="AG1393" s="139"/>
      <c r="AH1393" s="139"/>
      <c r="AI1393" s="139"/>
      <c r="AJ1393" s="139"/>
      <c r="AK1393" s="139"/>
      <c r="AL1393" s="139"/>
      <c r="AM1393" s="139"/>
      <c r="AN1393" s="139"/>
      <c r="AO1393" s="139"/>
      <c r="AP1393" s="139"/>
      <c r="AQ1393" s="174"/>
      <c r="AR1393" s="222"/>
    </row>
    <row r="1394" spans="2:44" s="22" customFormat="1" ht="18" customHeight="1" x14ac:dyDescent="0.25">
      <c r="B1394" s="145"/>
      <c r="C1394" s="139"/>
      <c r="D1394" s="146"/>
      <c r="E1394" s="139"/>
      <c r="F1394" s="139"/>
      <c r="G1394" s="139"/>
      <c r="H1394" s="139"/>
      <c r="I1394" s="139"/>
      <c r="J1394" s="139"/>
      <c r="K1394" s="139"/>
      <c r="L1394" s="243"/>
      <c r="M1394" s="243"/>
      <c r="N1394" s="139"/>
      <c r="O1394" s="139"/>
      <c r="P1394" s="139"/>
      <c r="Q1394" s="147"/>
      <c r="R1394" s="139"/>
      <c r="S1394" s="139"/>
      <c r="T1394" s="139"/>
      <c r="U1394" s="139"/>
      <c r="V1394" s="139"/>
      <c r="W1394" s="139"/>
      <c r="X1394" s="146"/>
      <c r="Y1394" s="148"/>
      <c r="Z1394" s="145"/>
      <c r="AA1394" s="139"/>
      <c r="AB1394" s="149"/>
      <c r="AC1394" s="119"/>
      <c r="AD1394" s="139"/>
      <c r="AE1394" s="139"/>
      <c r="AF1394" s="139"/>
      <c r="AG1394" s="139"/>
      <c r="AH1394" s="139"/>
      <c r="AI1394" s="139"/>
      <c r="AJ1394" s="139"/>
      <c r="AK1394" s="139"/>
      <c r="AL1394" s="139"/>
      <c r="AM1394" s="139"/>
      <c r="AN1394" s="139"/>
      <c r="AO1394" s="139"/>
      <c r="AP1394" s="139"/>
      <c r="AQ1394" s="174"/>
      <c r="AR1394" s="222"/>
    </row>
    <row r="1395" spans="2:44" s="22" customFormat="1" ht="18" customHeight="1" x14ac:dyDescent="0.25">
      <c r="B1395" s="145"/>
      <c r="C1395" s="139"/>
      <c r="D1395" s="146"/>
      <c r="E1395" s="139"/>
      <c r="F1395" s="139"/>
      <c r="G1395" s="139"/>
      <c r="H1395" s="139"/>
      <c r="I1395" s="139"/>
      <c r="J1395" s="139"/>
      <c r="K1395" s="139"/>
      <c r="L1395" s="243"/>
      <c r="M1395" s="243"/>
      <c r="N1395" s="139"/>
      <c r="O1395" s="139"/>
      <c r="P1395" s="139"/>
      <c r="Q1395" s="147"/>
      <c r="R1395" s="139"/>
      <c r="S1395" s="139"/>
      <c r="T1395" s="139"/>
      <c r="U1395" s="139"/>
      <c r="V1395" s="139"/>
      <c r="W1395" s="139"/>
      <c r="X1395" s="146"/>
      <c r="Y1395" s="148"/>
      <c r="Z1395" s="145"/>
      <c r="AA1395" s="139"/>
      <c r="AB1395" s="149"/>
      <c r="AC1395" s="119"/>
      <c r="AD1395" s="139"/>
      <c r="AE1395" s="139"/>
      <c r="AF1395" s="139"/>
      <c r="AG1395" s="139"/>
      <c r="AH1395" s="139"/>
      <c r="AI1395" s="139"/>
      <c r="AJ1395" s="139"/>
      <c r="AK1395" s="139"/>
      <c r="AL1395" s="139"/>
      <c r="AM1395" s="139"/>
      <c r="AN1395" s="139"/>
      <c r="AO1395" s="139"/>
      <c r="AP1395" s="139"/>
      <c r="AQ1395" s="174"/>
      <c r="AR1395" s="222"/>
    </row>
    <row r="1396" spans="2:44" s="22" customFormat="1" ht="18" customHeight="1" x14ac:dyDescent="0.25">
      <c r="B1396" s="145"/>
      <c r="C1396" s="139"/>
      <c r="D1396" s="146"/>
      <c r="E1396" s="139"/>
      <c r="F1396" s="139"/>
      <c r="G1396" s="139"/>
      <c r="H1396" s="139"/>
      <c r="I1396" s="139"/>
      <c r="J1396" s="139"/>
      <c r="K1396" s="139"/>
      <c r="L1396" s="243"/>
      <c r="M1396" s="243"/>
      <c r="N1396" s="139"/>
      <c r="O1396" s="139"/>
      <c r="P1396" s="139"/>
      <c r="Q1396" s="147"/>
      <c r="R1396" s="139"/>
      <c r="S1396" s="139"/>
      <c r="T1396" s="139"/>
      <c r="U1396" s="139"/>
      <c r="V1396" s="139"/>
      <c r="W1396" s="139"/>
      <c r="X1396" s="146"/>
      <c r="Y1396" s="148"/>
      <c r="Z1396" s="145"/>
      <c r="AA1396" s="139"/>
      <c r="AB1396" s="149"/>
      <c r="AC1396" s="119"/>
      <c r="AD1396" s="139"/>
      <c r="AE1396" s="139"/>
      <c r="AF1396" s="139"/>
      <c r="AG1396" s="139"/>
      <c r="AH1396" s="139"/>
      <c r="AI1396" s="139"/>
      <c r="AJ1396" s="139"/>
      <c r="AK1396" s="139"/>
      <c r="AL1396" s="139"/>
      <c r="AM1396" s="139"/>
      <c r="AN1396" s="139"/>
      <c r="AO1396" s="139"/>
      <c r="AP1396" s="139"/>
      <c r="AQ1396" s="174"/>
      <c r="AR1396" s="222"/>
    </row>
    <row r="1397" spans="2:44" s="140" customFormat="1" ht="18" customHeight="1" x14ac:dyDescent="0.25">
      <c r="B1397" s="145"/>
      <c r="C1397" s="139"/>
      <c r="D1397" s="146"/>
      <c r="E1397" s="139"/>
      <c r="F1397" s="139"/>
      <c r="G1397" s="139"/>
      <c r="H1397" s="139"/>
      <c r="I1397" s="139"/>
      <c r="J1397" s="139"/>
      <c r="K1397" s="139"/>
      <c r="L1397" s="243"/>
      <c r="M1397" s="243"/>
      <c r="N1397" s="139"/>
      <c r="O1397" s="139"/>
      <c r="P1397" s="139"/>
      <c r="Q1397" s="147"/>
      <c r="R1397" s="139"/>
      <c r="S1397" s="139"/>
      <c r="T1397" s="139"/>
      <c r="U1397" s="139"/>
      <c r="V1397" s="139"/>
      <c r="W1397" s="139"/>
      <c r="X1397" s="146"/>
      <c r="Y1397" s="148"/>
      <c r="Z1397" s="145"/>
      <c r="AA1397" s="139"/>
      <c r="AB1397" s="149"/>
      <c r="AC1397" s="119"/>
      <c r="AD1397" s="139"/>
      <c r="AE1397" s="139"/>
      <c r="AF1397" s="139"/>
      <c r="AG1397" s="139"/>
      <c r="AH1397" s="139"/>
      <c r="AI1397" s="139"/>
      <c r="AJ1397" s="139"/>
      <c r="AK1397" s="139"/>
      <c r="AL1397" s="139"/>
      <c r="AM1397" s="139"/>
      <c r="AN1397" s="139"/>
      <c r="AO1397" s="139"/>
      <c r="AP1397" s="139"/>
      <c r="AQ1397" s="174"/>
      <c r="AR1397" s="222"/>
    </row>
    <row r="1398" spans="2:44" s="22" customFormat="1" ht="18" customHeight="1" x14ac:dyDescent="0.25">
      <c r="B1398" s="145"/>
      <c r="C1398" s="139"/>
      <c r="D1398" s="146"/>
      <c r="E1398" s="139"/>
      <c r="F1398" s="139"/>
      <c r="G1398" s="139"/>
      <c r="H1398" s="139"/>
      <c r="I1398" s="139"/>
      <c r="J1398" s="139"/>
      <c r="K1398" s="139"/>
      <c r="L1398" s="243"/>
      <c r="M1398" s="243"/>
      <c r="N1398" s="139"/>
      <c r="O1398" s="139"/>
      <c r="P1398" s="139"/>
      <c r="Q1398" s="147"/>
      <c r="R1398" s="139"/>
      <c r="S1398" s="139"/>
      <c r="T1398" s="139"/>
      <c r="U1398" s="139"/>
      <c r="V1398" s="139"/>
      <c r="W1398" s="139"/>
      <c r="X1398" s="146"/>
      <c r="Y1398" s="148"/>
      <c r="Z1398" s="145"/>
      <c r="AA1398" s="139"/>
      <c r="AB1398" s="149"/>
      <c r="AC1398" s="119"/>
      <c r="AD1398" s="139"/>
      <c r="AE1398" s="139"/>
      <c r="AF1398" s="139"/>
      <c r="AG1398" s="139"/>
      <c r="AH1398" s="139"/>
      <c r="AI1398" s="139"/>
      <c r="AJ1398" s="139"/>
      <c r="AK1398" s="139"/>
      <c r="AL1398" s="139"/>
      <c r="AM1398" s="139"/>
      <c r="AN1398" s="139"/>
      <c r="AO1398" s="139"/>
      <c r="AP1398" s="139"/>
      <c r="AQ1398" s="174"/>
      <c r="AR1398" s="222"/>
    </row>
    <row r="1399" spans="2:44" s="140" customFormat="1" ht="18" customHeight="1" x14ac:dyDescent="0.25">
      <c r="B1399" s="145"/>
      <c r="C1399" s="139"/>
      <c r="D1399" s="146"/>
      <c r="E1399" s="139"/>
      <c r="F1399" s="139"/>
      <c r="G1399" s="139"/>
      <c r="H1399" s="139"/>
      <c r="I1399" s="139"/>
      <c r="J1399" s="139"/>
      <c r="K1399" s="139"/>
      <c r="L1399" s="243"/>
      <c r="M1399" s="243"/>
      <c r="N1399" s="139"/>
      <c r="O1399" s="139"/>
      <c r="P1399" s="139"/>
      <c r="Q1399" s="147"/>
      <c r="R1399" s="139"/>
      <c r="S1399" s="139"/>
      <c r="T1399" s="139"/>
      <c r="U1399" s="139"/>
      <c r="V1399" s="139"/>
      <c r="W1399" s="139"/>
      <c r="X1399" s="146"/>
      <c r="Y1399" s="148"/>
      <c r="Z1399" s="145"/>
      <c r="AA1399" s="139"/>
      <c r="AB1399" s="149"/>
      <c r="AC1399" s="119"/>
      <c r="AD1399" s="139"/>
      <c r="AE1399" s="139"/>
      <c r="AF1399" s="139"/>
      <c r="AG1399" s="139"/>
      <c r="AH1399" s="139"/>
      <c r="AI1399" s="139"/>
      <c r="AJ1399" s="139"/>
      <c r="AK1399" s="139"/>
      <c r="AL1399" s="139"/>
      <c r="AM1399" s="139"/>
      <c r="AN1399" s="139"/>
      <c r="AO1399" s="139"/>
      <c r="AP1399" s="139"/>
      <c r="AQ1399" s="174"/>
      <c r="AR1399" s="222"/>
    </row>
    <row r="1400" spans="2:44" s="140" customFormat="1" ht="18" customHeight="1" x14ac:dyDescent="0.25">
      <c r="B1400" s="145"/>
      <c r="C1400" s="139"/>
      <c r="D1400" s="146"/>
      <c r="E1400" s="139"/>
      <c r="F1400" s="139"/>
      <c r="G1400" s="139"/>
      <c r="H1400" s="139"/>
      <c r="I1400" s="139"/>
      <c r="J1400" s="139"/>
      <c r="K1400" s="139"/>
      <c r="L1400" s="243"/>
      <c r="M1400" s="243"/>
      <c r="N1400" s="139"/>
      <c r="O1400" s="139"/>
      <c r="P1400" s="139"/>
      <c r="Q1400" s="147"/>
      <c r="R1400" s="139"/>
      <c r="S1400" s="139"/>
      <c r="T1400" s="139"/>
      <c r="U1400" s="139"/>
      <c r="V1400" s="139"/>
      <c r="W1400" s="139"/>
      <c r="X1400" s="146"/>
      <c r="Y1400" s="148"/>
      <c r="Z1400" s="145"/>
      <c r="AA1400" s="139"/>
      <c r="AB1400" s="149"/>
      <c r="AC1400" s="119"/>
      <c r="AD1400" s="139"/>
      <c r="AE1400" s="139"/>
      <c r="AF1400" s="139"/>
      <c r="AG1400" s="139"/>
      <c r="AH1400" s="139"/>
      <c r="AI1400" s="139"/>
      <c r="AJ1400" s="139"/>
      <c r="AK1400" s="139"/>
      <c r="AL1400" s="139"/>
      <c r="AM1400" s="139"/>
      <c r="AN1400" s="139"/>
      <c r="AO1400" s="139"/>
      <c r="AP1400" s="139"/>
      <c r="AQ1400" s="174"/>
      <c r="AR1400" s="222"/>
    </row>
    <row r="1401" spans="2:44" s="140" customFormat="1" ht="18" customHeight="1" x14ac:dyDescent="0.25">
      <c r="B1401" s="145"/>
      <c r="C1401" s="139"/>
      <c r="D1401" s="146"/>
      <c r="E1401" s="139"/>
      <c r="F1401" s="139"/>
      <c r="G1401" s="139"/>
      <c r="H1401" s="139"/>
      <c r="I1401" s="139"/>
      <c r="J1401" s="139"/>
      <c r="K1401" s="139"/>
      <c r="L1401" s="243"/>
      <c r="M1401" s="243"/>
      <c r="N1401" s="139"/>
      <c r="O1401" s="139"/>
      <c r="P1401" s="139"/>
      <c r="Q1401" s="147"/>
      <c r="R1401" s="139"/>
      <c r="S1401" s="139"/>
      <c r="T1401" s="139"/>
      <c r="U1401" s="139"/>
      <c r="V1401" s="139"/>
      <c r="W1401" s="139"/>
      <c r="X1401" s="146"/>
      <c r="Y1401" s="148"/>
      <c r="Z1401" s="145"/>
      <c r="AA1401" s="139"/>
      <c r="AB1401" s="149"/>
      <c r="AC1401" s="119"/>
      <c r="AD1401" s="139"/>
      <c r="AE1401" s="139"/>
      <c r="AF1401" s="139"/>
      <c r="AG1401" s="139"/>
      <c r="AH1401" s="139"/>
      <c r="AI1401" s="139"/>
      <c r="AJ1401" s="139"/>
      <c r="AK1401" s="139"/>
      <c r="AL1401" s="139"/>
      <c r="AM1401" s="139"/>
      <c r="AN1401" s="139"/>
      <c r="AO1401" s="139"/>
      <c r="AP1401" s="139"/>
      <c r="AQ1401" s="174"/>
      <c r="AR1401" s="222"/>
    </row>
    <row r="1402" spans="2:44" s="141" customFormat="1" ht="18" customHeight="1" x14ac:dyDescent="0.25">
      <c r="B1402" s="145"/>
      <c r="C1402" s="139"/>
      <c r="D1402" s="146"/>
      <c r="E1402" s="139"/>
      <c r="F1402" s="139"/>
      <c r="G1402" s="139"/>
      <c r="H1402" s="139"/>
      <c r="I1402" s="139"/>
      <c r="J1402" s="139"/>
      <c r="K1402" s="139"/>
      <c r="L1402" s="243"/>
      <c r="M1402" s="243"/>
      <c r="N1402" s="139"/>
      <c r="O1402" s="139"/>
      <c r="P1402" s="139"/>
      <c r="Q1402" s="147"/>
      <c r="R1402" s="139"/>
      <c r="S1402" s="139"/>
      <c r="T1402" s="139"/>
      <c r="U1402" s="139"/>
      <c r="V1402" s="139"/>
      <c r="W1402" s="139"/>
      <c r="X1402" s="146"/>
      <c r="Y1402" s="148"/>
      <c r="Z1402" s="145"/>
      <c r="AA1402" s="139"/>
      <c r="AB1402" s="149"/>
      <c r="AC1402" s="119"/>
      <c r="AD1402" s="139"/>
      <c r="AE1402" s="139"/>
      <c r="AF1402" s="139"/>
      <c r="AG1402" s="139"/>
      <c r="AH1402" s="139"/>
      <c r="AI1402" s="139"/>
      <c r="AJ1402" s="139"/>
      <c r="AK1402" s="139"/>
      <c r="AL1402" s="139"/>
      <c r="AM1402" s="139"/>
      <c r="AN1402" s="139"/>
      <c r="AO1402" s="139"/>
      <c r="AP1402" s="139"/>
      <c r="AQ1402" s="174"/>
      <c r="AR1402" s="222"/>
    </row>
    <row r="1403" spans="2:44" s="140" customFormat="1" ht="18" customHeight="1" x14ac:dyDescent="0.25">
      <c r="B1403" s="145"/>
      <c r="C1403" s="139"/>
      <c r="D1403" s="146"/>
      <c r="E1403" s="139"/>
      <c r="F1403" s="139"/>
      <c r="G1403" s="139"/>
      <c r="H1403" s="139"/>
      <c r="I1403" s="139"/>
      <c r="J1403" s="139"/>
      <c r="K1403" s="139"/>
      <c r="L1403" s="243"/>
      <c r="M1403" s="243"/>
      <c r="N1403" s="139"/>
      <c r="O1403" s="139"/>
      <c r="P1403" s="139"/>
      <c r="Q1403" s="147"/>
      <c r="R1403" s="139"/>
      <c r="S1403" s="139"/>
      <c r="T1403" s="139"/>
      <c r="U1403" s="139"/>
      <c r="V1403" s="139"/>
      <c r="W1403" s="139"/>
      <c r="X1403" s="146"/>
      <c r="Y1403" s="148"/>
      <c r="Z1403" s="145"/>
      <c r="AA1403" s="139"/>
      <c r="AB1403" s="149"/>
      <c r="AC1403" s="119"/>
      <c r="AD1403" s="139"/>
      <c r="AE1403" s="139"/>
      <c r="AF1403" s="139"/>
      <c r="AG1403" s="139"/>
      <c r="AH1403" s="139"/>
      <c r="AI1403" s="139"/>
      <c r="AJ1403" s="139"/>
      <c r="AK1403" s="139"/>
      <c r="AL1403" s="139"/>
      <c r="AM1403" s="139"/>
      <c r="AN1403" s="139"/>
      <c r="AO1403" s="139"/>
      <c r="AP1403" s="139"/>
      <c r="AQ1403" s="174"/>
      <c r="AR1403" s="222"/>
    </row>
    <row r="1404" spans="2:44" s="141" customFormat="1" ht="18" customHeight="1" x14ac:dyDescent="0.25">
      <c r="B1404" s="145"/>
      <c r="C1404" s="139"/>
      <c r="D1404" s="146"/>
      <c r="E1404" s="139"/>
      <c r="F1404" s="139"/>
      <c r="G1404" s="139"/>
      <c r="H1404" s="139"/>
      <c r="I1404" s="139"/>
      <c r="J1404" s="139"/>
      <c r="K1404" s="139"/>
      <c r="L1404" s="243"/>
      <c r="M1404" s="243"/>
      <c r="N1404" s="139"/>
      <c r="O1404" s="139"/>
      <c r="P1404" s="139"/>
      <c r="Q1404" s="147"/>
      <c r="R1404" s="139"/>
      <c r="S1404" s="139"/>
      <c r="T1404" s="139"/>
      <c r="U1404" s="139"/>
      <c r="V1404" s="139"/>
      <c r="W1404" s="139"/>
      <c r="X1404" s="146"/>
      <c r="Y1404" s="148"/>
      <c r="Z1404" s="145"/>
      <c r="AA1404" s="139"/>
      <c r="AB1404" s="149"/>
      <c r="AC1404" s="119"/>
      <c r="AD1404" s="139"/>
      <c r="AE1404" s="139"/>
      <c r="AF1404" s="139"/>
      <c r="AG1404" s="139"/>
      <c r="AH1404" s="139"/>
      <c r="AI1404" s="139"/>
      <c r="AJ1404" s="139"/>
      <c r="AK1404" s="139"/>
      <c r="AL1404" s="139"/>
      <c r="AM1404" s="139"/>
      <c r="AN1404" s="139"/>
      <c r="AO1404" s="139"/>
      <c r="AP1404" s="139"/>
      <c r="AQ1404" s="174"/>
      <c r="AR1404" s="222"/>
    </row>
    <row r="1405" spans="2:44" s="141" customFormat="1" ht="18" customHeight="1" x14ac:dyDescent="0.25">
      <c r="B1405" s="145"/>
      <c r="C1405" s="139"/>
      <c r="D1405" s="146"/>
      <c r="E1405" s="139"/>
      <c r="F1405" s="139"/>
      <c r="G1405" s="139"/>
      <c r="H1405" s="139"/>
      <c r="I1405" s="139"/>
      <c r="J1405" s="139"/>
      <c r="K1405" s="139"/>
      <c r="L1405" s="243"/>
      <c r="M1405" s="243"/>
      <c r="N1405" s="139"/>
      <c r="O1405" s="139"/>
      <c r="P1405" s="139"/>
      <c r="Q1405" s="147"/>
      <c r="R1405" s="139"/>
      <c r="S1405" s="139"/>
      <c r="T1405" s="139"/>
      <c r="U1405" s="139"/>
      <c r="V1405" s="139"/>
      <c r="W1405" s="139"/>
      <c r="X1405" s="146"/>
      <c r="Y1405" s="148"/>
      <c r="Z1405" s="145"/>
      <c r="AA1405" s="139"/>
      <c r="AB1405" s="149"/>
      <c r="AC1405" s="119"/>
      <c r="AD1405" s="139"/>
      <c r="AE1405" s="139"/>
      <c r="AF1405" s="139"/>
      <c r="AG1405" s="139"/>
      <c r="AH1405" s="139"/>
      <c r="AI1405" s="139"/>
      <c r="AJ1405" s="139"/>
      <c r="AK1405" s="139"/>
      <c r="AL1405" s="139"/>
      <c r="AM1405" s="139"/>
      <c r="AN1405" s="139"/>
      <c r="AO1405" s="139"/>
      <c r="AP1405" s="139"/>
      <c r="AQ1405" s="174"/>
      <c r="AR1405" s="222"/>
    </row>
    <row r="1406" spans="2:44" s="140" customFormat="1" ht="18" customHeight="1" x14ac:dyDescent="0.25">
      <c r="B1406" s="145"/>
      <c r="C1406" s="139"/>
      <c r="D1406" s="146"/>
      <c r="E1406" s="139"/>
      <c r="F1406" s="139"/>
      <c r="G1406" s="139"/>
      <c r="H1406" s="139"/>
      <c r="I1406" s="139"/>
      <c r="J1406" s="139"/>
      <c r="K1406" s="139"/>
      <c r="L1406" s="243"/>
      <c r="M1406" s="243"/>
      <c r="N1406" s="139"/>
      <c r="O1406" s="139"/>
      <c r="P1406" s="139"/>
      <c r="Q1406" s="147"/>
      <c r="R1406" s="139"/>
      <c r="S1406" s="139"/>
      <c r="T1406" s="139"/>
      <c r="U1406" s="139"/>
      <c r="V1406" s="139"/>
      <c r="W1406" s="139"/>
      <c r="X1406" s="146"/>
      <c r="Y1406" s="148"/>
      <c r="Z1406" s="145"/>
      <c r="AA1406" s="139"/>
      <c r="AB1406" s="149"/>
      <c r="AC1406" s="119"/>
      <c r="AD1406" s="139"/>
      <c r="AE1406" s="139"/>
      <c r="AF1406" s="139"/>
      <c r="AG1406" s="139"/>
      <c r="AH1406" s="139"/>
      <c r="AI1406" s="139"/>
      <c r="AJ1406" s="139"/>
      <c r="AK1406" s="139"/>
      <c r="AL1406" s="139"/>
      <c r="AM1406" s="139"/>
      <c r="AN1406" s="139"/>
      <c r="AO1406" s="139"/>
      <c r="AP1406" s="139"/>
      <c r="AQ1406" s="174"/>
      <c r="AR1406" s="222"/>
    </row>
    <row r="1407" spans="2:44" s="140" customFormat="1" ht="18" customHeight="1" x14ac:dyDescent="0.25">
      <c r="B1407" s="145"/>
      <c r="C1407" s="139"/>
      <c r="D1407" s="146"/>
      <c r="E1407" s="139"/>
      <c r="F1407" s="139"/>
      <c r="G1407" s="139"/>
      <c r="H1407" s="139"/>
      <c r="I1407" s="139"/>
      <c r="J1407" s="139"/>
      <c r="K1407" s="139"/>
      <c r="L1407" s="243"/>
      <c r="M1407" s="243"/>
      <c r="N1407" s="139"/>
      <c r="O1407" s="139"/>
      <c r="P1407" s="139"/>
      <c r="Q1407" s="147"/>
      <c r="R1407" s="139"/>
      <c r="S1407" s="139"/>
      <c r="T1407" s="139"/>
      <c r="U1407" s="139"/>
      <c r="V1407" s="139"/>
      <c r="W1407" s="139"/>
      <c r="X1407" s="146"/>
      <c r="Y1407" s="148"/>
      <c r="Z1407" s="145"/>
      <c r="AA1407" s="139"/>
      <c r="AB1407" s="149"/>
      <c r="AC1407" s="119"/>
      <c r="AD1407" s="139"/>
      <c r="AE1407" s="139"/>
      <c r="AF1407" s="139"/>
      <c r="AG1407" s="139"/>
      <c r="AH1407" s="139"/>
      <c r="AI1407" s="139"/>
      <c r="AJ1407" s="139"/>
      <c r="AK1407" s="139"/>
      <c r="AL1407" s="139"/>
      <c r="AM1407" s="139"/>
      <c r="AN1407" s="139"/>
      <c r="AO1407" s="139"/>
      <c r="AP1407" s="139"/>
      <c r="AQ1407" s="174"/>
      <c r="AR1407" s="222"/>
    </row>
    <row r="1408" spans="2:44" s="22" customFormat="1" ht="18" customHeight="1" x14ac:dyDescent="0.25">
      <c r="B1408" s="145"/>
      <c r="C1408" s="139"/>
      <c r="D1408" s="146"/>
      <c r="E1408" s="139"/>
      <c r="F1408" s="139"/>
      <c r="G1408" s="139"/>
      <c r="H1408" s="139"/>
      <c r="I1408" s="139"/>
      <c r="J1408" s="139"/>
      <c r="K1408" s="139"/>
      <c r="L1408" s="243"/>
      <c r="M1408" s="243"/>
      <c r="N1408" s="139"/>
      <c r="O1408" s="139"/>
      <c r="P1408" s="139"/>
      <c r="Q1408" s="147"/>
      <c r="R1408" s="139"/>
      <c r="S1408" s="139"/>
      <c r="T1408" s="139"/>
      <c r="U1408" s="139"/>
      <c r="V1408" s="139"/>
      <c r="W1408" s="139"/>
      <c r="X1408" s="146"/>
      <c r="Y1408" s="148"/>
      <c r="Z1408" s="145"/>
      <c r="AA1408" s="139"/>
      <c r="AB1408" s="149"/>
      <c r="AC1408" s="119"/>
      <c r="AD1408" s="139"/>
      <c r="AE1408" s="139"/>
      <c r="AF1408" s="139"/>
      <c r="AG1408" s="139"/>
      <c r="AH1408" s="139"/>
      <c r="AI1408" s="139"/>
      <c r="AJ1408" s="139"/>
      <c r="AK1408" s="139"/>
      <c r="AL1408" s="139"/>
      <c r="AM1408" s="139"/>
      <c r="AN1408" s="139"/>
      <c r="AO1408" s="139"/>
      <c r="AP1408" s="139"/>
      <c r="AQ1408" s="174"/>
      <c r="AR1408" s="222"/>
    </row>
    <row r="1409" spans="2:44" s="22" customFormat="1" ht="18" customHeight="1" x14ac:dyDescent="0.25">
      <c r="B1409" s="145"/>
      <c r="C1409" s="139"/>
      <c r="D1409" s="146"/>
      <c r="E1409" s="139"/>
      <c r="F1409" s="139"/>
      <c r="G1409" s="139"/>
      <c r="H1409" s="139"/>
      <c r="I1409" s="139"/>
      <c r="J1409" s="139"/>
      <c r="K1409" s="139"/>
      <c r="L1409" s="243"/>
      <c r="M1409" s="243"/>
      <c r="N1409" s="139"/>
      <c r="O1409" s="139"/>
      <c r="P1409" s="139"/>
      <c r="Q1409" s="147"/>
      <c r="R1409" s="139"/>
      <c r="S1409" s="139"/>
      <c r="T1409" s="139"/>
      <c r="U1409" s="139"/>
      <c r="V1409" s="139"/>
      <c r="W1409" s="139"/>
      <c r="X1409" s="146"/>
      <c r="Y1409" s="148"/>
      <c r="Z1409" s="145"/>
      <c r="AA1409" s="139"/>
      <c r="AB1409" s="149"/>
      <c r="AC1409" s="119"/>
      <c r="AD1409" s="139"/>
      <c r="AE1409" s="139"/>
      <c r="AF1409" s="139"/>
      <c r="AG1409" s="139"/>
      <c r="AH1409" s="139"/>
      <c r="AI1409" s="139"/>
      <c r="AJ1409" s="139"/>
      <c r="AK1409" s="139"/>
      <c r="AL1409" s="139"/>
      <c r="AM1409" s="139"/>
      <c r="AN1409" s="139"/>
      <c r="AO1409" s="139"/>
      <c r="AP1409" s="139"/>
      <c r="AQ1409" s="174"/>
      <c r="AR1409" s="222"/>
    </row>
    <row r="1410" spans="2:44" s="22" customFormat="1" ht="18" customHeight="1" x14ac:dyDescent="0.25">
      <c r="B1410" s="145"/>
      <c r="C1410" s="139"/>
      <c r="D1410" s="146"/>
      <c r="E1410" s="139"/>
      <c r="F1410" s="139"/>
      <c r="G1410" s="139"/>
      <c r="H1410" s="139"/>
      <c r="I1410" s="139"/>
      <c r="J1410" s="139"/>
      <c r="K1410" s="139"/>
      <c r="L1410" s="243"/>
      <c r="M1410" s="243"/>
      <c r="N1410" s="139"/>
      <c r="O1410" s="139"/>
      <c r="P1410" s="139"/>
      <c r="Q1410" s="147"/>
      <c r="R1410" s="139"/>
      <c r="S1410" s="139"/>
      <c r="T1410" s="139"/>
      <c r="U1410" s="139"/>
      <c r="V1410" s="139"/>
      <c r="W1410" s="139"/>
      <c r="X1410" s="146"/>
      <c r="Y1410" s="148"/>
      <c r="Z1410" s="145"/>
      <c r="AA1410" s="139"/>
      <c r="AB1410" s="149"/>
      <c r="AC1410" s="119"/>
      <c r="AD1410" s="139"/>
      <c r="AE1410" s="139"/>
      <c r="AF1410" s="139"/>
      <c r="AG1410" s="139"/>
      <c r="AH1410" s="139"/>
      <c r="AI1410" s="139"/>
      <c r="AJ1410" s="139"/>
      <c r="AK1410" s="139"/>
      <c r="AL1410" s="139"/>
      <c r="AM1410" s="139"/>
      <c r="AN1410" s="139"/>
      <c r="AO1410" s="139"/>
      <c r="AP1410" s="139"/>
      <c r="AQ1410" s="174"/>
      <c r="AR1410" s="222"/>
    </row>
    <row r="1411" spans="2:44" s="22" customFormat="1" ht="18" customHeight="1" x14ac:dyDescent="0.25">
      <c r="B1411" s="145"/>
      <c r="C1411" s="139"/>
      <c r="D1411" s="146"/>
      <c r="E1411" s="139"/>
      <c r="F1411" s="139"/>
      <c r="G1411" s="139"/>
      <c r="H1411" s="139"/>
      <c r="I1411" s="139"/>
      <c r="J1411" s="139"/>
      <c r="K1411" s="139"/>
      <c r="L1411" s="243"/>
      <c r="M1411" s="243"/>
      <c r="N1411" s="139"/>
      <c r="O1411" s="139"/>
      <c r="P1411" s="139"/>
      <c r="Q1411" s="147"/>
      <c r="R1411" s="139"/>
      <c r="S1411" s="139"/>
      <c r="T1411" s="139"/>
      <c r="U1411" s="139"/>
      <c r="V1411" s="139"/>
      <c r="W1411" s="139"/>
      <c r="X1411" s="146"/>
      <c r="Y1411" s="148"/>
      <c r="Z1411" s="145"/>
      <c r="AA1411" s="139"/>
      <c r="AB1411" s="149"/>
      <c r="AC1411" s="119"/>
      <c r="AD1411" s="139"/>
      <c r="AE1411" s="139"/>
      <c r="AF1411" s="139"/>
      <c r="AG1411" s="139"/>
      <c r="AH1411" s="139"/>
      <c r="AI1411" s="139"/>
      <c r="AJ1411" s="139"/>
      <c r="AK1411" s="139"/>
      <c r="AL1411" s="139"/>
      <c r="AM1411" s="139"/>
      <c r="AN1411" s="139"/>
      <c r="AO1411" s="139"/>
      <c r="AP1411" s="139"/>
      <c r="AQ1411" s="174"/>
      <c r="AR1411" s="222"/>
    </row>
    <row r="1412" spans="2:44" s="22" customFormat="1" ht="18" customHeight="1" x14ac:dyDescent="0.25">
      <c r="B1412" s="145"/>
      <c r="C1412" s="139"/>
      <c r="D1412" s="146"/>
      <c r="E1412" s="139"/>
      <c r="F1412" s="139"/>
      <c r="G1412" s="139"/>
      <c r="H1412" s="139"/>
      <c r="I1412" s="139"/>
      <c r="J1412" s="139"/>
      <c r="K1412" s="139"/>
      <c r="L1412" s="243"/>
      <c r="M1412" s="243"/>
      <c r="N1412" s="139"/>
      <c r="O1412" s="139"/>
      <c r="P1412" s="139"/>
      <c r="Q1412" s="147"/>
      <c r="R1412" s="139"/>
      <c r="S1412" s="139"/>
      <c r="T1412" s="139"/>
      <c r="U1412" s="139"/>
      <c r="V1412" s="139"/>
      <c r="W1412" s="139"/>
      <c r="X1412" s="146"/>
      <c r="Y1412" s="148"/>
      <c r="Z1412" s="145"/>
      <c r="AA1412" s="139"/>
      <c r="AB1412" s="149"/>
      <c r="AC1412" s="119"/>
      <c r="AD1412" s="139"/>
      <c r="AE1412" s="139"/>
      <c r="AF1412" s="139"/>
      <c r="AG1412" s="139"/>
      <c r="AH1412" s="139"/>
      <c r="AI1412" s="139"/>
      <c r="AJ1412" s="139"/>
      <c r="AK1412" s="139"/>
      <c r="AL1412" s="139"/>
      <c r="AM1412" s="139"/>
      <c r="AN1412" s="139"/>
      <c r="AO1412" s="139"/>
      <c r="AP1412" s="139"/>
      <c r="AQ1412" s="174"/>
      <c r="AR1412" s="222"/>
    </row>
    <row r="1413" spans="2:44" s="22" customFormat="1" ht="18" customHeight="1" x14ac:dyDescent="0.25">
      <c r="B1413" s="145"/>
      <c r="C1413" s="139"/>
      <c r="D1413" s="146"/>
      <c r="E1413" s="139"/>
      <c r="F1413" s="139"/>
      <c r="G1413" s="139"/>
      <c r="H1413" s="139"/>
      <c r="I1413" s="139"/>
      <c r="J1413" s="139"/>
      <c r="K1413" s="139"/>
      <c r="L1413" s="243"/>
      <c r="M1413" s="243"/>
      <c r="N1413" s="139"/>
      <c r="O1413" s="139"/>
      <c r="P1413" s="139"/>
      <c r="Q1413" s="147"/>
      <c r="R1413" s="139"/>
      <c r="S1413" s="139"/>
      <c r="T1413" s="139"/>
      <c r="U1413" s="139"/>
      <c r="V1413" s="139"/>
      <c r="W1413" s="139"/>
      <c r="X1413" s="146"/>
      <c r="Y1413" s="148"/>
      <c r="Z1413" s="145"/>
      <c r="AA1413" s="139"/>
      <c r="AB1413" s="149"/>
      <c r="AC1413" s="119"/>
      <c r="AD1413" s="139"/>
      <c r="AE1413" s="139"/>
      <c r="AF1413" s="139"/>
      <c r="AG1413" s="139"/>
      <c r="AH1413" s="139"/>
      <c r="AI1413" s="139"/>
      <c r="AJ1413" s="139"/>
      <c r="AK1413" s="139"/>
      <c r="AL1413" s="139"/>
      <c r="AM1413" s="139"/>
      <c r="AN1413" s="139"/>
      <c r="AO1413" s="139"/>
      <c r="AP1413" s="139"/>
      <c r="AQ1413" s="174"/>
      <c r="AR1413" s="222"/>
    </row>
    <row r="1414" spans="2:44" s="22" customFormat="1" ht="18" customHeight="1" x14ac:dyDescent="0.25">
      <c r="B1414" s="145"/>
      <c r="C1414" s="139"/>
      <c r="D1414" s="146"/>
      <c r="E1414" s="139"/>
      <c r="F1414" s="139"/>
      <c r="G1414" s="139"/>
      <c r="H1414" s="139"/>
      <c r="I1414" s="139"/>
      <c r="J1414" s="139"/>
      <c r="K1414" s="139"/>
      <c r="L1414" s="243"/>
      <c r="M1414" s="243"/>
      <c r="N1414" s="139"/>
      <c r="O1414" s="139"/>
      <c r="P1414" s="139"/>
      <c r="Q1414" s="147"/>
      <c r="R1414" s="139"/>
      <c r="S1414" s="139"/>
      <c r="T1414" s="139"/>
      <c r="U1414" s="139"/>
      <c r="V1414" s="139"/>
      <c r="W1414" s="139"/>
      <c r="X1414" s="146"/>
      <c r="Y1414" s="148"/>
      <c r="Z1414" s="145"/>
      <c r="AA1414" s="139"/>
      <c r="AB1414" s="149"/>
      <c r="AC1414" s="119"/>
      <c r="AD1414" s="139"/>
      <c r="AE1414" s="139"/>
      <c r="AF1414" s="139"/>
      <c r="AG1414" s="139"/>
      <c r="AH1414" s="139"/>
      <c r="AI1414" s="139"/>
      <c r="AJ1414" s="139"/>
      <c r="AK1414" s="139"/>
      <c r="AL1414" s="139"/>
      <c r="AM1414" s="139"/>
      <c r="AN1414" s="139"/>
      <c r="AO1414" s="139"/>
      <c r="AP1414" s="139"/>
      <c r="AQ1414" s="174"/>
      <c r="AR1414" s="222"/>
    </row>
    <row r="1415" spans="2:44" s="22" customFormat="1" ht="18" customHeight="1" x14ac:dyDescent="0.25">
      <c r="B1415" s="145"/>
      <c r="C1415" s="139"/>
      <c r="D1415" s="146"/>
      <c r="E1415" s="139"/>
      <c r="F1415" s="139"/>
      <c r="G1415" s="139"/>
      <c r="H1415" s="139"/>
      <c r="I1415" s="139"/>
      <c r="J1415" s="139"/>
      <c r="K1415" s="139"/>
      <c r="L1415" s="243"/>
      <c r="M1415" s="243"/>
      <c r="N1415" s="139"/>
      <c r="O1415" s="139"/>
      <c r="P1415" s="139"/>
      <c r="Q1415" s="147"/>
      <c r="R1415" s="139"/>
      <c r="S1415" s="139"/>
      <c r="T1415" s="139"/>
      <c r="U1415" s="139"/>
      <c r="V1415" s="139"/>
      <c r="W1415" s="139"/>
      <c r="X1415" s="146"/>
      <c r="Y1415" s="148"/>
      <c r="Z1415" s="145"/>
      <c r="AA1415" s="139"/>
      <c r="AB1415" s="149"/>
      <c r="AC1415" s="119"/>
      <c r="AD1415" s="139"/>
      <c r="AE1415" s="139"/>
      <c r="AF1415" s="139"/>
      <c r="AG1415" s="139"/>
      <c r="AH1415" s="139"/>
      <c r="AI1415" s="139"/>
      <c r="AJ1415" s="139"/>
      <c r="AK1415" s="139"/>
      <c r="AL1415" s="139"/>
      <c r="AM1415" s="139"/>
      <c r="AN1415" s="139"/>
      <c r="AO1415" s="139"/>
      <c r="AP1415" s="139"/>
      <c r="AQ1415" s="174"/>
      <c r="AR1415" s="222"/>
    </row>
    <row r="1416" spans="2:44" s="140" customFormat="1" ht="18" customHeight="1" x14ac:dyDescent="0.25">
      <c r="B1416" s="145"/>
      <c r="C1416" s="139"/>
      <c r="D1416" s="146"/>
      <c r="E1416" s="139"/>
      <c r="F1416" s="139"/>
      <c r="G1416" s="139"/>
      <c r="H1416" s="139"/>
      <c r="I1416" s="139"/>
      <c r="J1416" s="139"/>
      <c r="K1416" s="139"/>
      <c r="L1416" s="243"/>
      <c r="M1416" s="243"/>
      <c r="N1416" s="139"/>
      <c r="O1416" s="139"/>
      <c r="P1416" s="139"/>
      <c r="Q1416" s="147"/>
      <c r="R1416" s="139"/>
      <c r="S1416" s="139"/>
      <c r="T1416" s="139"/>
      <c r="U1416" s="139"/>
      <c r="V1416" s="139"/>
      <c r="W1416" s="139"/>
      <c r="X1416" s="146"/>
      <c r="Y1416" s="148"/>
      <c r="Z1416" s="145"/>
      <c r="AA1416" s="139"/>
      <c r="AB1416" s="149"/>
      <c r="AC1416" s="119"/>
      <c r="AD1416" s="139"/>
      <c r="AE1416" s="139"/>
      <c r="AF1416" s="139"/>
      <c r="AG1416" s="139"/>
      <c r="AH1416" s="139"/>
      <c r="AI1416" s="139"/>
      <c r="AJ1416" s="139"/>
      <c r="AK1416" s="139"/>
      <c r="AL1416" s="139"/>
      <c r="AM1416" s="139"/>
      <c r="AN1416" s="139"/>
      <c r="AO1416" s="139"/>
      <c r="AP1416" s="139"/>
      <c r="AQ1416" s="174"/>
      <c r="AR1416" s="222"/>
    </row>
    <row r="1417" spans="2:44" s="140" customFormat="1" ht="18" customHeight="1" x14ac:dyDescent="0.25">
      <c r="B1417" s="145"/>
      <c r="C1417" s="139"/>
      <c r="D1417" s="146"/>
      <c r="E1417" s="139"/>
      <c r="F1417" s="139"/>
      <c r="G1417" s="139"/>
      <c r="H1417" s="139"/>
      <c r="I1417" s="139"/>
      <c r="J1417" s="139"/>
      <c r="K1417" s="139"/>
      <c r="L1417" s="243"/>
      <c r="M1417" s="243"/>
      <c r="N1417" s="139"/>
      <c r="O1417" s="139"/>
      <c r="P1417" s="139"/>
      <c r="Q1417" s="147"/>
      <c r="R1417" s="139"/>
      <c r="S1417" s="139"/>
      <c r="T1417" s="139"/>
      <c r="U1417" s="139"/>
      <c r="V1417" s="139"/>
      <c r="W1417" s="139"/>
      <c r="X1417" s="146"/>
      <c r="Y1417" s="148"/>
      <c r="Z1417" s="145"/>
      <c r="AA1417" s="139"/>
      <c r="AB1417" s="149"/>
      <c r="AC1417" s="119"/>
      <c r="AD1417" s="139"/>
      <c r="AE1417" s="139"/>
      <c r="AF1417" s="139"/>
      <c r="AG1417" s="139"/>
      <c r="AH1417" s="139"/>
      <c r="AI1417" s="139"/>
      <c r="AJ1417" s="139"/>
      <c r="AK1417" s="139"/>
      <c r="AL1417" s="139"/>
      <c r="AM1417" s="139"/>
      <c r="AN1417" s="139"/>
      <c r="AO1417" s="139"/>
      <c r="AP1417" s="139"/>
      <c r="AQ1417" s="174"/>
      <c r="AR1417" s="222"/>
    </row>
    <row r="1418" spans="2:44" s="140" customFormat="1" ht="18" customHeight="1" x14ac:dyDescent="0.25">
      <c r="B1418" s="145"/>
      <c r="C1418" s="139"/>
      <c r="D1418" s="146"/>
      <c r="E1418" s="139"/>
      <c r="F1418" s="139"/>
      <c r="G1418" s="139"/>
      <c r="H1418" s="139"/>
      <c r="I1418" s="139"/>
      <c r="J1418" s="139"/>
      <c r="K1418" s="139"/>
      <c r="L1418" s="243"/>
      <c r="M1418" s="243"/>
      <c r="N1418" s="139"/>
      <c r="O1418" s="139"/>
      <c r="P1418" s="139"/>
      <c r="Q1418" s="147"/>
      <c r="R1418" s="139"/>
      <c r="S1418" s="139"/>
      <c r="T1418" s="139"/>
      <c r="U1418" s="139"/>
      <c r="V1418" s="139"/>
      <c r="W1418" s="139"/>
      <c r="X1418" s="146"/>
      <c r="Y1418" s="148"/>
      <c r="Z1418" s="145"/>
      <c r="AA1418" s="139"/>
      <c r="AB1418" s="149"/>
      <c r="AC1418" s="119"/>
      <c r="AD1418" s="139"/>
      <c r="AE1418" s="139"/>
      <c r="AF1418" s="139"/>
      <c r="AG1418" s="139"/>
      <c r="AH1418" s="139"/>
      <c r="AI1418" s="139"/>
      <c r="AJ1418" s="139"/>
      <c r="AK1418" s="139"/>
      <c r="AL1418" s="139"/>
      <c r="AM1418" s="139"/>
      <c r="AN1418" s="139"/>
      <c r="AO1418" s="139"/>
      <c r="AP1418" s="139"/>
      <c r="AQ1418" s="174"/>
      <c r="AR1418" s="222"/>
    </row>
    <row r="1419" spans="2:44" s="140" customFormat="1" ht="18" customHeight="1" x14ac:dyDescent="0.25">
      <c r="B1419" s="145"/>
      <c r="C1419" s="139"/>
      <c r="D1419" s="146"/>
      <c r="E1419" s="139"/>
      <c r="F1419" s="139"/>
      <c r="G1419" s="139"/>
      <c r="H1419" s="139"/>
      <c r="I1419" s="139"/>
      <c r="J1419" s="139"/>
      <c r="K1419" s="139"/>
      <c r="L1419" s="243"/>
      <c r="M1419" s="243"/>
      <c r="N1419" s="139"/>
      <c r="O1419" s="139"/>
      <c r="P1419" s="139"/>
      <c r="Q1419" s="147"/>
      <c r="R1419" s="139"/>
      <c r="S1419" s="139"/>
      <c r="T1419" s="139"/>
      <c r="U1419" s="139"/>
      <c r="V1419" s="139"/>
      <c r="W1419" s="139"/>
      <c r="X1419" s="146"/>
      <c r="Y1419" s="148"/>
      <c r="Z1419" s="145"/>
      <c r="AA1419" s="139"/>
      <c r="AB1419" s="149"/>
      <c r="AC1419" s="119"/>
      <c r="AD1419" s="139"/>
      <c r="AE1419" s="139"/>
      <c r="AF1419" s="139"/>
      <c r="AG1419" s="139"/>
      <c r="AH1419" s="139"/>
      <c r="AI1419" s="139"/>
      <c r="AJ1419" s="139"/>
      <c r="AK1419" s="139"/>
      <c r="AL1419" s="139"/>
      <c r="AM1419" s="139"/>
      <c r="AN1419" s="139"/>
      <c r="AO1419" s="139"/>
      <c r="AP1419" s="139"/>
      <c r="AQ1419" s="174"/>
      <c r="AR1419" s="222"/>
    </row>
    <row r="1420" spans="2:44" s="140" customFormat="1" ht="18" customHeight="1" x14ac:dyDescent="0.25">
      <c r="B1420" s="145"/>
      <c r="C1420" s="139"/>
      <c r="D1420" s="146"/>
      <c r="E1420" s="139"/>
      <c r="F1420" s="139"/>
      <c r="G1420" s="139"/>
      <c r="H1420" s="139"/>
      <c r="I1420" s="139"/>
      <c r="J1420" s="139"/>
      <c r="K1420" s="139"/>
      <c r="L1420" s="243"/>
      <c r="M1420" s="243"/>
      <c r="N1420" s="139"/>
      <c r="O1420" s="139"/>
      <c r="P1420" s="139"/>
      <c r="Q1420" s="147"/>
      <c r="R1420" s="139"/>
      <c r="S1420" s="139"/>
      <c r="T1420" s="139"/>
      <c r="U1420" s="139"/>
      <c r="V1420" s="139"/>
      <c r="W1420" s="139"/>
      <c r="X1420" s="146"/>
      <c r="Y1420" s="148"/>
      <c r="Z1420" s="145"/>
      <c r="AA1420" s="139"/>
      <c r="AB1420" s="149"/>
      <c r="AC1420" s="119"/>
      <c r="AD1420" s="139"/>
      <c r="AE1420" s="139"/>
      <c r="AF1420" s="139"/>
      <c r="AG1420" s="139"/>
      <c r="AH1420" s="139"/>
      <c r="AI1420" s="139"/>
      <c r="AJ1420" s="139"/>
      <c r="AK1420" s="139"/>
      <c r="AL1420" s="139"/>
      <c r="AM1420" s="139"/>
      <c r="AN1420" s="139"/>
      <c r="AO1420" s="139"/>
      <c r="AP1420" s="139"/>
      <c r="AQ1420" s="174"/>
      <c r="AR1420" s="222"/>
    </row>
    <row r="1421" spans="2:44" s="140" customFormat="1" ht="18" customHeight="1" x14ac:dyDescent="0.25">
      <c r="B1421" s="145"/>
      <c r="C1421" s="139"/>
      <c r="D1421" s="146"/>
      <c r="E1421" s="139"/>
      <c r="F1421" s="139"/>
      <c r="G1421" s="139"/>
      <c r="H1421" s="139"/>
      <c r="I1421" s="139"/>
      <c r="J1421" s="139"/>
      <c r="K1421" s="139"/>
      <c r="L1421" s="243"/>
      <c r="M1421" s="243"/>
      <c r="N1421" s="139"/>
      <c r="O1421" s="139"/>
      <c r="P1421" s="139"/>
      <c r="Q1421" s="147"/>
      <c r="R1421" s="139"/>
      <c r="S1421" s="139"/>
      <c r="T1421" s="139"/>
      <c r="U1421" s="139"/>
      <c r="V1421" s="139"/>
      <c r="W1421" s="139"/>
      <c r="X1421" s="146"/>
      <c r="Y1421" s="148"/>
      <c r="Z1421" s="145"/>
      <c r="AA1421" s="139"/>
      <c r="AB1421" s="149"/>
      <c r="AC1421" s="119"/>
      <c r="AD1421" s="139"/>
      <c r="AE1421" s="139"/>
      <c r="AF1421" s="139"/>
      <c r="AG1421" s="139"/>
      <c r="AH1421" s="139"/>
      <c r="AI1421" s="139"/>
      <c r="AJ1421" s="139"/>
      <c r="AK1421" s="139"/>
      <c r="AL1421" s="139"/>
      <c r="AM1421" s="139"/>
      <c r="AN1421" s="139"/>
      <c r="AO1421" s="139"/>
      <c r="AP1421" s="139"/>
      <c r="AQ1421" s="174"/>
      <c r="AR1421" s="222"/>
    </row>
    <row r="1422" spans="2:44" s="140" customFormat="1" ht="18" customHeight="1" x14ac:dyDescent="0.25">
      <c r="B1422" s="145"/>
      <c r="C1422" s="139"/>
      <c r="D1422" s="146"/>
      <c r="E1422" s="139"/>
      <c r="F1422" s="139"/>
      <c r="G1422" s="139"/>
      <c r="H1422" s="139"/>
      <c r="I1422" s="139"/>
      <c r="J1422" s="139"/>
      <c r="K1422" s="139"/>
      <c r="L1422" s="243"/>
      <c r="M1422" s="243"/>
      <c r="N1422" s="139"/>
      <c r="O1422" s="139"/>
      <c r="P1422" s="139"/>
      <c r="Q1422" s="147"/>
      <c r="R1422" s="139"/>
      <c r="S1422" s="139"/>
      <c r="T1422" s="139"/>
      <c r="U1422" s="139"/>
      <c r="V1422" s="139"/>
      <c r="W1422" s="139"/>
      <c r="X1422" s="146"/>
      <c r="Y1422" s="148"/>
      <c r="Z1422" s="145"/>
      <c r="AA1422" s="139"/>
      <c r="AB1422" s="149"/>
      <c r="AC1422" s="119"/>
      <c r="AD1422" s="139"/>
      <c r="AE1422" s="139"/>
      <c r="AF1422" s="139"/>
      <c r="AG1422" s="139"/>
      <c r="AH1422" s="139"/>
      <c r="AI1422" s="139"/>
      <c r="AJ1422" s="139"/>
      <c r="AK1422" s="139"/>
      <c r="AL1422" s="139"/>
      <c r="AM1422" s="139"/>
      <c r="AN1422" s="139"/>
      <c r="AO1422" s="139"/>
      <c r="AP1422" s="139"/>
      <c r="AQ1422" s="174"/>
      <c r="AR1422" s="222"/>
    </row>
    <row r="1423" spans="2:44" s="140" customFormat="1" ht="18" customHeight="1" x14ac:dyDescent="0.25">
      <c r="B1423" s="145"/>
      <c r="C1423" s="139"/>
      <c r="D1423" s="146"/>
      <c r="E1423" s="139"/>
      <c r="F1423" s="139"/>
      <c r="G1423" s="139"/>
      <c r="H1423" s="139"/>
      <c r="I1423" s="139"/>
      <c r="J1423" s="139"/>
      <c r="K1423" s="139"/>
      <c r="L1423" s="243"/>
      <c r="M1423" s="243"/>
      <c r="N1423" s="139"/>
      <c r="O1423" s="139"/>
      <c r="P1423" s="139"/>
      <c r="Q1423" s="147"/>
      <c r="R1423" s="139"/>
      <c r="S1423" s="139"/>
      <c r="T1423" s="139"/>
      <c r="U1423" s="139"/>
      <c r="V1423" s="139"/>
      <c r="W1423" s="139"/>
      <c r="X1423" s="146"/>
      <c r="Y1423" s="148"/>
      <c r="Z1423" s="145"/>
      <c r="AA1423" s="139"/>
      <c r="AB1423" s="149"/>
      <c r="AC1423" s="119"/>
      <c r="AD1423" s="139"/>
      <c r="AE1423" s="139"/>
      <c r="AF1423" s="139"/>
      <c r="AG1423" s="139"/>
      <c r="AH1423" s="139"/>
      <c r="AI1423" s="139"/>
      <c r="AJ1423" s="139"/>
      <c r="AK1423" s="139"/>
      <c r="AL1423" s="139"/>
      <c r="AM1423" s="139"/>
      <c r="AN1423" s="139"/>
      <c r="AO1423" s="139"/>
      <c r="AP1423" s="139"/>
      <c r="AQ1423" s="174"/>
      <c r="AR1423" s="222"/>
    </row>
    <row r="1424" spans="2:44" s="22" customFormat="1" ht="18" customHeight="1" x14ac:dyDescent="0.25">
      <c r="B1424" s="145"/>
      <c r="C1424" s="139"/>
      <c r="D1424" s="146"/>
      <c r="E1424" s="139"/>
      <c r="F1424" s="139"/>
      <c r="G1424" s="139"/>
      <c r="H1424" s="139"/>
      <c r="I1424" s="139"/>
      <c r="J1424" s="139"/>
      <c r="K1424" s="139"/>
      <c r="L1424" s="243"/>
      <c r="M1424" s="243"/>
      <c r="N1424" s="139"/>
      <c r="O1424" s="139"/>
      <c r="P1424" s="139"/>
      <c r="Q1424" s="147"/>
      <c r="R1424" s="139"/>
      <c r="S1424" s="139"/>
      <c r="T1424" s="139"/>
      <c r="U1424" s="139"/>
      <c r="V1424" s="139"/>
      <c r="W1424" s="139"/>
      <c r="X1424" s="146"/>
      <c r="Y1424" s="148"/>
      <c r="Z1424" s="145"/>
      <c r="AA1424" s="139"/>
      <c r="AB1424" s="149"/>
      <c r="AC1424" s="119"/>
      <c r="AD1424" s="139"/>
      <c r="AE1424" s="139"/>
      <c r="AF1424" s="139"/>
      <c r="AG1424" s="139"/>
      <c r="AH1424" s="139"/>
      <c r="AI1424" s="139"/>
      <c r="AJ1424" s="139"/>
      <c r="AK1424" s="139"/>
      <c r="AL1424" s="139"/>
      <c r="AM1424" s="139"/>
      <c r="AN1424" s="139"/>
      <c r="AO1424" s="139"/>
      <c r="AP1424" s="139"/>
      <c r="AQ1424" s="174"/>
      <c r="AR1424" s="222"/>
    </row>
    <row r="1425" spans="2:44" s="22" customFormat="1" ht="18" customHeight="1" x14ac:dyDescent="0.25">
      <c r="B1425" s="145"/>
      <c r="C1425" s="139"/>
      <c r="D1425" s="146"/>
      <c r="E1425" s="139"/>
      <c r="F1425" s="139"/>
      <c r="G1425" s="139"/>
      <c r="H1425" s="139"/>
      <c r="I1425" s="139"/>
      <c r="J1425" s="139"/>
      <c r="K1425" s="139"/>
      <c r="L1425" s="243"/>
      <c r="M1425" s="243"/>
      <c r="N1425" s="139"/>
      <c r="O1425" s="139"/>
      <c r="P1425" s="139"/>
      <c r="Q1425" s="147"/>
      <c r="R1425" s="139"/>
      <c r="S1425" s="139"/>
      <c r="T1425" s="139"/>
      <c r="U1425" s="139"/>
      <c r="V1425" s="139"/>
      <c r="W1425" s="139"/>
      <c r="X1425" s="146"/>
      <c r="Y1425" s="148"/>
      <c r="Z1425" s="145"/>
      <c r="AA1425" s="139"/>
      <c r="AB1425" s="149"/>
      <c r="AC1425" s="119"/>
      <c r="AD1425" s="139"/>
      <c r="AE1425" s="139"/>
      <c r="AF1425" s="139"/>
      <c r="AG1425" s="139"/>
      <c r="AH1425" s="139"/>
      <c r="AI1425" s="139"/>
      <c r="AJ1425" s="139"/>
      <c r="AK1425" s="139"/>
      <c r="AL1425" s="139"/>
      <c r="AM1425" s="139"/>
      <c r="AN1425" s="139"/>
      <c r="AO1425" s="139"/>
      <c r="AP1425" s="139"/>
      <c r="AQ1425" s="174"/>
      <c r="AR1425" s="222"/>
    </row>
    <row r="1426" spans="2:44" s="22" customFormat="1" ht="18" customHeight="1" x14ac:dyDescent="0.25">
      <c r="B1426" s="145"/>
      <c r="C1426" s="139"/>
      <c r="D1426" s="146"/>
      <c r="E1426" s="139"/>
      <c r="F1426" s="139"/>
      <c r="G1426" s="139"/>
      <c r="H1426" s="139"/>
      <c r="I1426" s="139"/>
      <c r="J1426" s="139"/>
      <c r="K1426" s="139"/>
      <c r="L1426" s="243"/>
      <c r="M1426" s="243"/>
      <c r="N1426" s="139"/>
      <c r="O1426" s="139"/>
      <c r="P1426" s="139"/>
      <c r="Q1426" s="147"/>
      <c r="R1426" s="139"/>
      <c r="S1426" s="139"/>
      <c r="T1426" s="139"/>
      <c r="U1426" s="139"/>
      <c r="V1426" s="139"/>
      <c r="W1426" s="139"/>
      <c r="X1426" s="146"/>
      <c r="Y1426" s="148"/>
      <c r="Z1426" s="145"/>
      <c r="AA1426" s="139"/>
      <c r="AB1426" s="149"/>
      <c r="AC1426" s="119"/>
      <c r="AD1426" s="139"/>
      <c r="AE1426" s="139"/>
      <c r="AF1426" s="139"/>
      <c r="AG1426" s="139"/>
      <c r="AH1426" s="139"/>
      <c r="AI1426" s="139"/>
      <c r="AJ1426" s="139"/>
      <c r="AK1426" s="139"/>
      <c r="AL1426" s="139"/>
      <c r="AM1426" s="139"/>
      <c r="AN1426" s="139"/>
      <c r="AO1426" s="139"/>
      <c r="AP1426" s="139"/>
      <c r="AQ1426" s="174"/>
      <c r="AR1426" s="222"/>
    </row>
    <row r="1427" spans="2:44" s="22" customFormat="1" ht="18" customHeight="1" x14ac:dyDescent="0.25">
      <c r="B1427" s="145"/>
      <c r="C1427" s="139"/>
      <c r="D1427" s="146"/>
      <c r="E1427" s="139"/>
      <c r="F1427" s="139"/>
      <c r="G1427" s="139"/>
      <c r="H1427" s="139"/>
      <c r="I1427" s="139"/>
      <c r="J1427" s="139"/>
      <c r="K1427" s="139"/>
      <c r="L1427" s="243"/>
      <c r="M1427" s="243"/>
      <c r="N1427" s="139"/>
      <c r="O1427" s="139"/>
      <c r="P1427" s="139"/>
      <c r="Q1427" s="147"/>
      <c r="R1427" s="139"/>
      <c r="S1427" s="139"/>
      <c r="T1427" s="139"/>
      <c r="U1427" s="139"/>
      <c r="V1427" s="139"/>
      <c r="W1427" s="139"/>
      <c r="X1427" s="146"/>
      <c r="Y1427" s="148"/>
      <c r="Z1427" s="145"/>
      <c r="AA1427" s="139"/>
      <c r="AB1427" s="149"/>
      <c r="AC1427" s="119"/>
      <c r="AD1427" s="139"/>
      <c r="AE1427" s="139"/>
      <c r="AF1427" s="139"/>
      <c r="AG1427" s="139"/>
      <c r="AH1427" s="139"/>
      <c r="AI1427" s="139"/>
      <c r="AJ1427" s="139"/>
      <c r="AK1427" s="139"/>
      <c r="AL1427" s="139"/>
      <c r="AM1427" s="139"/>
      <c r="AN1427" s="139"/>
      <c r="AO1427" s="139"/>
      <c r="AP1427" s="139"/>
      <c r="AQ1427" s="174"/>
      <c r="AR1427" s="222"/>
    </row>
    <row r="1428" spans="2:44" s="140" customFormat="1" ht="18" customHeight="1" x14ac:dyDescent="0.25">
      <c r="B1428" s="145"/>
      <c r="C1428" s="139"/>
      <c r="D1428" s="146"/>
      <c r="E1428" s="139"/>
      <c r="F1428" s="139"/>
      <c r="G1428" s="139"/>
      <c r="H1428" s="139"/>
      <c r="I1428" s="139"/>
      <c r="J1428" s="139"/>
      <c r="K1428" s="139"/>
      <c r="L1428" s="243"/>
      <c r="M1428" s="243"/>
      <c r="N1428" s="139"/>
      <c r="O1428" s="139"/>
      <c r="P1428" s="139"/>
      <c r="Q1428" s="147"/>
      <c r="R1428" s="139"/>
      <c r="S1428" s="139"/>
      <c r="T1428" s="139"/>
      <c r="U1428" s="139"/>
      <c r="V1428" s="139"/>
      <c r="W1428" s="139"/>
      <c r="X1428" s="146"/>
      <c r="Y1428" s="148"/>
      <c r="Z1428" s="145"/>
      <c r="AA1428" s="139"/>
      <c r="AB1428" s="149"/>
      <c r="AC1428" s="119"/>
      <c r="AD1428" s="139"/>
      <c r="AE1428" s="139"/>
      <c r="AF1428" s="139"/>
      <c r="AG1428" s="139"/>
      <c r="AH1428" s="139"/>
      <c r="AI1428" s="139"/>
      <c r="AJ1428" s="139"/>
      <c r="AK1428" s="139"/>
      <c r="AL1428" s="139"/>
      <c r="AM1428" s="139"/>
      <c r="AN1428" s="139"/>
      <c r="AO1428" s="139"/>
      <c r="AP1428" s="139"/>
      <c r="AQ1428" s="174"/>
      <c r="AR1428" s="222"/>
    </row>
    <row r="1429" spans="2:44" s="22" customFormat="1" ht="18" customHeight="1" x14ac:dyDescent="0.25">
      <c r="B1429" s="145"/>
      <c r="C1429" s="139"/>
      <c r="D1429" s="146"/>
      <c r="E1429" s="139"/>
      <c r="F1429" s="139"/>
      <c r="G1429" s="139"/>
      <c r="H1429" s="139"/>
      <c r="I1429" s="139"/>
      <c r="J1429" s="139"/>
      <c r="K1429" s="139"/>
      <c r="L1429" s="243"/>
      <c r="M1429" s="243"/>
      <c r="N1429" s="139"/>
      <c r="O1429" s="139"/>
      <c r="P1429" s="139"/>
      <c r="Q1429" s="147"/>
      <c r="R1429" s="139"/>
      <c r="S1429" s="139"/>
      <c r="T1429" s="139"/>
      <c r="U1429" s="139"/>
      <c r="V1429" s="139"/>
      <c r="W1429" s="139"/>
      <c r="X1429" s="146"/>
      <c r="Y1429" s="148"/>
      <c r="Z1429" s="145"/>
      <c r="AA1429" s="139"/>
      <c r="AB1429" s="149"/>
      <c r="AC1429" s="119"/>
      <c r="AD1429" s="139"/>
      <c r="AE1429" s="139"/>
      <c r="AF1429" s="139"/>
      <c r="AG1429" s="139"/>
      <c r="AH1429" s="139"/>
      <c r="AI1429" s="139"/>
      <c r="AJ1429" s="139"/>
      <c r="AK1429" s="139"/>
      <c r="AL1429" s="139"/>
      <c r="AM1429" s="139"/>
      <c r="AN1429" s="139"/>
      <c r="AO1429" s="139"/>
      <c r="AP1429" s="139"/>
      <c r="AQ1429" s="174"/>
      <c r="AR1429" s="222"/>
    </row>
    <row r="1430" spans="2:44" s="140" customFormat="1" ht="18" customHeight="1" x14ac:dyDescent="0.25">
      <c r="B1430" s="145"/>
      <c r="C1430" s="139"/>
      <c r="D1430" s="146"/>
      <c r="E1430" s="139"/>
      <c r="F1430" s="139"/>
      <c r="G1430" s="139"/>
      <c r="H1430" s="139"/>
      <c r="I1430" s="139"/>
      <c r="J1430" s="139"/>
      <c r="K1430" s="139"/>
      <c r="L1430" s="243"/>
      <c r="M1430" s="243"/>
      <c r="N1430" s="139"/>
      <c r="O1430" s="139"/>
      <c r="P1430" s="139"/>
      <c r="Q1430" s="147"/>
      <c r="R1430" s="139"/>
      <c r="S1430" s="139"/>
      <c r="T1430" s="139"/>
      <c r="U1430" s="139"/>
      <c r="V1430" s="139"/>
      <c r="W1430" s="139"/>
      <c r="X1430" s="146"/>
      <c r="Y1430" s="148"/>
      <c r="Z1430" s="145"/>
      <c r="AA1430" s="139"/>
      <c r="AB1430" s="149"/>
      <c r="AC1430" s="119"/>
      <c r="AD1430" s="139"/>
      <c r="AE1430" s="139"/>
      <c r="AF1430" s="139"/>
      <c r="AG1430" s="139"/>
      <c r="AH1430" s="139"/>
      <c r="AI1430" s="139"/>
      <c r="AJ1430" s="139"/>
      <c r="AK1430" s="139"/>
      <c r="AL1430" s="139"/>
      <c r="AM1430" s="139"/>
      <c r="AN1430" s="139"/>
      <c r="AO1430" s="139"/>
      <c r="AP1430" s="139"/>
      <c r="AQ1430" s="174"/>
      <c r="AR1430" s="222"/>
    </row>
    <row r="1431" spans="2:44" s="140" customFormat="1" ht="18" customHeight="1" x14ac:dyDescent="0.25">
      <c r="B1431" s="145"/>
      <c r="C1431" s="139"/>
      <c r="D1431" s="146"/>
      <c r="E1431" s="139"/>
      <c r="F1431" s="139"/>
      <c r="G1431" s="139"/>
      <c r="H1431" s="139"/>
      <c r="I1431" s="139"/>
      <c r="J1431" s="139"/>
      <c r="K1431" s="139"/>
      <c r="L1431" s="243"/>
      <c r="M1431" s="243"/>
      <c r="N1431" s="139"/>
      <c r="O1431" s="139"/>
      <c r="P1431" s="139"/>
      <c r="Q1431" s="147"/>
      <c r="R1431" s="139"/>
      <c r="S1431" s="139"/>
      <c r="T1431" s="139"/>
      <c r="U1431" s="139"/>
      <c r="V1431" s="139"/>
      <c r="W1431" s="139"/>
      <c r="X1431" s="146"/>
      <c r="Y1431" s="148"/>
      <c r="Z1431" s="145"/>
      <c r="AA1431" s="139"/>
      <c r="AB1431" s="149"/>
      <c r="AC1431" s="119"/>
      <c r="AD1431" s="139"/>
      <c r="AE1431" s="139"/>
      <c r="AF1431" s="139"/>
      <c r="AG1431" s="139"/>
      <c r="AH1431" s="139"/>
      <c r="AI1431" s="139"/>
      <c r="AJ1431" s="139"/>
      <c r="AK1431" s="139"/>
      <c r="AL1431" s="139"/>
      <c r="AM1431" s="139"/>
      <c r="AN1431" s="139"/>
      <c r="AO1431" s="139"/>
      <c r="AP1431" s="139"/>
      <c r="AQ1431" s="174"/>
      <c r="AR1431" s="222"/>
    </row>
    <row r="1432" spans="2:44" s="22" customFormat="1" ht="18" customHeight="1" x14ac:dyDescent="0.25">
      <c r="B1432" s="145"/>
      <c r="C1432" s="139"/>
      <c r="D1432" s="146"/>
      <c r="E1432" s="139"/>
      <c r="F1432" s="139"/>
      <c r="G1432" s="139"/>
      <c r="H1432" s="139"/>
      <c r="I1432" s="139"/>
      <c r="J1432" s="139"/>
      <c r="K1432" s="139"/>
      <c r="L1432" s="243"/>
      <c r="M1432" s="243"/>
      <c r="N1432" s="139"/>
      <c r="O1432" s="139"/>
      <c r="P1432" s="139"/>
      <c r="Q1432" s="147"/>
      <c r="R1432" s="139"/>
      <c r="S1432" s="139"/>
      <c r="T1432" s="139"/>
      <c r="U1432" s="139"/>
      <c r="V1432" s="139"/>
      <c r="W1432" s="139"/>
      <c r="X1432" s="146"/>
      <c r="Y1432" s="148"/>
      <c r="Z1432" s="145"/>
      <c r="AA1432" s="139"/>
      <c r="AB1432" s="149"/>
      <c r="AC1432" s="119"/>
      <c r="AD1432" s="139"/>
      <c r="AE1432" s="139"/>
      <c r="AF1432" s="139"/>
      <c r="AG1432" s="139"/>
      <c r="AH1432" s="139"/>
      <c r="AI1432" s="139"/>
      <c r="AJ1432" s="139"/>
      <c r="AK1432" s="139"/>
      <c r="AL1432" s="139"/>
      <c r="AM1432" s="139"/>
      <c r="AN1432" s="139"/>
      <c r="AO1432" s="139"/>
      <c r="AP1432" s="139"/>
      <c r="AQ1432" s="174"/>
      <c r="AR1432" s="222"/>
    </row>
    <row r="1433" spans="2:44" s="22" customFormat="1" ht="18" customHeight="1" x14ac:dyDescent="0.25">
      <c r="B1433" s="145"/>
      <c r="C1433" s="139"/>
      <c r="D1433" s="146"/>
      <c r="E1433" s="139"/>
      <c r="F1433" s="139"/>
      <c r="G1433" s="139"/>
      <c r="H1433" s="139"/>
      <c r="I1433" s="139"/>
      <c r="J1433" s="139"/>
      <c r="K1433" s="139"/>
      <c r="L1433" s="243"/>
      <c r="M1433" s="243"/>
      <c r="N1433" s="139"/>
      <c r="O1433" s="139"/>
      <c r="P1433" s="139"/>
      <c r="Q1433" s="147"/>
      <c r="R1433" s="139"/>
      <c r="S1433" s="139"/>
      <c r="T1433" s="139"/>
      <c r="U1433" s="139"/>
      <c r="V1433" s="139"/>
      <c r="W1433" s="139"/>
      <c r="X1433" s="146"/>
      <c r="Y1433" s="148"/>
      <c r="Z1433" s="145"/>
      <c r="AA1433" s="139"/>
      <c r="AB1433" s="149"/>
      <c r="AC1433" s="119"/>
      <c r="AD1433" s="139"/>
      <c r="AE1433" s="139"/>
      <c r="AF1433" s="139"/>
      <c r="AG1433" s="139"/>
      <c r="AH1433" s="139"/>
      <c r="AI1433" s="139"/>
      <c r="AJ1433" s="139"/>
      <c r="AK1433" s="139"/>
      <c r="AL1433" s="139"/>
      <c r="AM1433" s="139"/>
      <c r="AN1433" s="139"/>
      <c r="AO1433" s="139"/>
      <c r="AP1433" s="139"/>
      <c r="AQ1433" s="174"/>
      <c r="AR1433" s="222"/>
    </row>
    <row r="1434" spans="2:44" s="140" customFormat="1" ht="18" customHeight="1" x14ac:dyDescent="0.25">
      <c r="B1434" s="145"/>
      <c r="C1434" s="139"/>
      <c r="D1434" s="146"/>
      <c r="E1434" s="139"/>
      <c r="F1434" s="139"/>
      <c r="G1434" s="139"/>
      <c r="H1434" s="139"/>
      <c r="I1434" s="139"/>
      <c r="J1434" s="139"/>
      <c r="K1434" s="139"/>
      <c r="L1434" s="243"/>
      <c r="M1434" s="243"/>
      <c r="N1434" s="139"/>
      <c r="O1434" s="139"/>
      <c r="P1434" s="139"/>
      <c r="Q1434" s="147"/>
      <c r="R1434" s="139"/>
      <c r="S1434" s="139"/>
      <c r="T1434" s="139"/>
      <c r="U1434" s="139"/>
      <c r="V1434" s="139"/>
      <c r="W1434" s="139"/>
      <c r="X1434" s="146"/>
      <c r="Y1434" s="148"/>
      <c r="Z1434" s="145"/>
      <c r="AA1434" s="139"/>
      <c r="AB1434" s="149"/>
      <c r="AC1434" s="119"/>
      <c r="AD1434" s="139"/>
      <c r="AE1434" s="139"/>
      <c r="AF1434" s="139"/>
      <c r="AG1434" s="139"/>
      <c r="AH1434" s="139"/>
      <c r="AI1434" s="139"/>
      <c r="AJ1434" s="139"/>
      <c r="AK1434" s="139"/>
      <c r="AL1434" s="139"/>
      <c r="AM1434" s="139"/>
      <c r="AN1434" s="139"/>
      <c r="AO1434" s="139"/>
      <c r="AP1434" s="139"/>
      <c r="AQ1434" s="174"/>
      <c r="AR1434" s="222"/>
    </row>
    <row r="1435" spans="2:44" s="22" customFormat="1" ht="18" customHeight="1" x14ac:dyDescent="0.25">
      <c r="B1435" s="145"/>
      <c r="C1435" s="139"/>
      <c r="D1435" s="146"/>
      <c r="E1435" s="139"/>
      <c r="F1435" s="139"/>
      <c r="G1435" s="139"/>
      <c r="H1435" s="139"/>
      <c r="I1435" s="139"/>
      <c r="J1435" s="139"/>
      <c r="K1435" s="139"/>
      <c r="L1435" s="243"/>
      <c r="M1435" s="243"/>
      <c r="N1435" s="139"/>
      <c r="O1435" s="139"/>
      <c r="P1435" s="139"/>
      <c r="Q1435" s="147"/>
      <c r="R1435" s="139"/>
      <c r="S1435" s="139"/>
      <c r="T1435" s="139"/>
      <c r="U1435" s="139"/>
      <c r="V1435" s="139"/>
      <c r="W1435" s="139"/>
      <c r="X1435" s="146"/>
      <c r="Y1435" s="148"/>
      <c r="Z1435" s="145"/>
      <c r="AA1435" s="139"/>
      <c r="AB1435" s="149"/>
      <c r="AC1435" s="119"/>
      <c r="AD1435" s="139"/>
      <c r="AE1435" s="139"/>
      <c r="AF1435" s="139"/>
      <c r="AG1435" s="139"/>
      <c r="AH1435" s="139"/>
      <c r="AI1435" s="139"/>
      <c r="AJ1435" s="139"/>
      <c r="AK1435" s="139"/>
      <c r="AL1435" s="139"/>
      <c r="AM1435" s="139"/>
      <c r="AN1435" s="139"/>
      <c r="AO1435" s="139"/>
      <c r="AP1435" s="139"/>
      <c r="AQ1435" s="174"/>
      <c r="AR1435" s="222"/>
    </row>
    <row r="1436" spans="2:44" s="22" customFormat="1" ht="18" customHeight="1" x14ac:dyDescent="0.25">
      <c r="B1436" s="145"/>
      <c r="C1436" s="139"/>
      <c r="D1436" s="146"/>
      <c r="E1436" s="139"/>
      <c r="F1436" s="139"/>
      <c r="G1436" s="139"/>
      <c r="H1436" s="139"/>
      <c r="I1436" s="139"/>
      <c r="J1436" s="139"/>
      <c r="K1436" s="139"/>
      <c r="L1436" s="243"/>
      <c r="M1436" s="243"/>
      <c r="N1436" s="139"/>
      <c r="O1436" s="139"/>
      <c r="P1436" s="139"/>
      <c r="Q1436" s="147"/>
      <c r="R1436" s="139"/>
      <c r="S1436" s="139"/>
      <c r="T1436" s="139"/>
      <c r="U1436" s="139"/>
      <c r="V1436" s="139"/>
      <c r="W1436" s="139"/>
      <c r="X1436" s="146"/>
      <c r="Y1436" s="148"/>
      <c r="Z1436" s="145"/>
      <c r="AA1436" s="139"/>
      <c r="AB1436" s="149"/>
      <c r="AC1436" s="119"/>
      <c r="AD1436" s="139"/>
      <c r="AE1436" s="139"/>
      <c r="AF1436" s="139"/>
      <c r="AG1436" s="139"/>
      <c r="AH1436" s="139"/>
      <c r="AI1436" s="139"/>
      <c r="AJ1436" s="139"/>
      <c r="AK1436" s="139"/>
      <c r="AL1436" s="139"/>
      <c r="AM1436" s="139"/>
      <c r="AN1436" s="139"/>
      <c r="AO1436" s="139"/>
      <c r="AP1436" s="139"/>
      <c r="AQ1436" s="174"/>
      <c r="AR1436" s="222"/>
    </row>
    <row r="1437" spans="2:44" s="22" customFormat="1" ht="18" customHeight="1" x14ac:dyDescent="0.25">
      <c r="B1437" s="145"/>
      <c r="C1437" s="139"/>
      <c r="D1437" s="146"/>
      <c r="E1437" s="139"/>
      <c r="F1437" s="139"/>
      <c r="G1437" s="139"/>
      <c r="H1437" s="139"/>
      <c r="I1437" s="139"/>
      <c r="J1437" s="139"/>
      <c r="K1437" s="139"/>
      <c r="L1437" s="243"/>
      <c r="M1437" s="243"/>
      <c r="N1437" s="139"/>
      <c r="O1437" s="139"/>
      <c r="P1437" s="139"/>
      <c r="Q1437" s="147"/>
      <c r="R1437" s="139"/>
      <c r="S1437" s="139"/>
      <c r="T1437" s="139"/>
      <c r="U1437" s="139"/>
      <c r="V1437" s="139"/>
      <c r="W1437" s="139"/>
      <c r="X1437" s="146"/>
      <c r="Y1437" s="148"/>
      <c r="Z1437" s="145"/>
      <c r="AA1437" s="139"/>
      <c r="AB1437" s="149"/>
      <c r="AC1437" s="119"/>
      <c r="AD1437" s="139"/>
      <c r="AE1437" s="139"/>
      <c r="AF1437" s="139"/>
      <c r="AG1437" s="139"/>
      <c r="AH1437" s="139"/>
      <c r="AI1437" s="139"/>
      <c r="AJ1437" s="139"/>
      <c r="AK1437" s="139"/>
      <c r="AL1437" s="139"/>
      <c r="AM1437" s="139"/>
      <c r="AN1437" s="139"/>
      <c r="AO1437" s="139"/>
      <c r="AP1437" s="139"/>
      <c r="AQ1437" s="174"/>
      <c r="AR1437" s="222"/>
    </row>
    <row r="1438" spans="2:44" s="22" customFormat="1" ht="18" customHeight="1" x14ac:dyDescent="0.25">
      <c r="B1438" s="145"/>
      <c r="C1438" s="139"/>
      <c r="D1438" s="146"/>
      <c r="E1438" s="139"/>
      <c r="F1438" s="139"/>
      <c r="G1438" s="139"/>
      <c r="H1438" s="139"/>
      <c r="I1438" s="139"/>
      <c r="J1438" s="139"/>
      <c r="K1438" s="139"/>
      <c r="L1438" s="243"/>
      <c r="M1438" s="243"/>
      <c r="N1438" s="139"/>
      <c r="O1438" s="139"/>
      <c r="P1438" s="139"/>
      <c r="Q1438" s="147"/>
      <c r="R1438" s="139"/>
      <c r="S1438" s="139"/>
      <c r="T1438" s="139"/>
      <c r="U1438" s="139"/>
      <c r="V1438" s="139"/>
      <c r="W1438" s="139"/>
      <c r="X1438" s="146"/>
      <c r="Y1438" s="148"/>
      <c r="Z1438" s="145"/>
      <c r="AA1438" s="139"/>
      <c r="AB1438" s="149"/>
      <c r="AC1438" s="119"/>
      <c r="AD1438" s="139"/>
      <c r="AE1438" s="139"/>
      <c r="AF1438" s="139"/>
      <c r="AG1438" s="139"/>
      <c r="AH1438" s="139"/>
      <c r="AI1438" s="139"/>
      <c r="AJ1438" s="139"/>
      <c r="AK1438" s="139"/>
      <c r="AL1438" s="139"/>
      <c r="AM1438" s="139"/>
      <c r="AN1438" s="139"/>
      <c r="AO1438" s="139"/>
      <c r="AP1438" s="139"/>
      <c r="AQ1438" s="174"/>
      <c r="AR1438" s="222"/>
    </row>
    <row r="1439" spans="2:44" s="140" customFormat="1" ht="18" customHeight="1" x14ac:dyDescent="0.25">
      <c r="B1439" s="145"/>
      <c r="C1439" s="139"/>
      <c r="D1439" s="146"/>
      <c r="E1439" s="139"/>
      <c r="F1439" s="139"/>
      <c r="G1439" s="139"/>
      <c r="H1439" s="139"/>
      <c r="I1439" s="139"/>
      <c r="J1439" s="139"/>
      <c r="K1439" s="139"/>
      <c r="L1439" s="243"/>
      <c r="M1439" s="243"/>
      <c r="N1439" s="139"/>
      <c r="O1439" s="139"/>
      <c r="P1439" s="139"/>
      <c r="Q1439" s="147"/>
      <c r="R1439" s="139"/>
      <c r="S1439" s="139"/>
      <c r="T1439" s="139"/>
      <c r="U1439" s="139"/>
      <c r="V1439" s="139"/>
      <c r="W1439" s="139"/>
      <c r="X1439" s="146"/>
      <c r="Y1439" s="148"/>
      <c r="Z1439" s="145"/>
      <c r="AA1439" s="139"/>
      <c r="AB1439" s="149"/>
      <c r="AC1439" s="119"/>
      <c r="AD1439" s="139"/>
      <c r="AE1439" s="139"/>
      <c r="AF1439" s="139"/>
      <c r="AG1439" s="139"/>
      <c r="AH1439" s="139"/>
      <c r="AI1439" s="139"/>
      <c r="AJ1439" s="139"/>
      <c r="AK1439" s="139"/>
      <c r="AL1439" s="139"/>
      <c r="AM1439" s="139"/>
      <c r="AN1439" s="139"/>
      <c r="AO1439" s="139"/>
      <c r="AP1439" s="139"/>
      <c r="AQ1439" s="174"/>
      <c r="AR1439" s="222"/>
    </row>
    <row r="1440" spans="2:44" s="140" customFormat="1" ht="18" customHeight="1" x14ac:dyDescent="0.25">
      <c r="B1440" s="145"/>
      <c r="C1440" s="139"/>
      <c r="D1440" s="146"/>
      <c r="E1440" s="139"/>
      <c r="F1440" s="139"/>
      <c r="G1440" s="139"/>
      <c r="H1440" s="139"/>
      <c r="I1440" s="139"/>
      <c r="J1440" s="139"/>
      <c r="K1440" s="139"/>
      <c r="L1440" s="243"/>
      <c r="M1440" s="243"/>
      <c r="N1440" s="139"/>
      <c r="O1440" s="139"/>
      <c r="P1440" s="139"/>
      <c r="Q1440" s="147"/>
      <c r="R1440" s="139"/>
      <c r="S1440" s="139"/>
      <c r="T1440" s="139"/>
      <c r="U1440" s="139"/>
      <c r="V1440" s="139"/>
      <c r="W1440" s="139"/>
      <c r="X1440" s="146"/>
      <c r="Y1440" s="148"/>
      <c r="Z1440" s="145"/>
      <c r="AA1440" s="139"/>
      <c r="AB1440" s="149"/>
      <c r="AC1440" s="119"/>
      <c r="AD1440" s="139"/>
      <c r="AE1440" s="139"/>
      <c r="AF1440" s="139"/>
      <c r="AG1440" s="139"/>
      <c r="AH1440" s="139"/>
      <c r="AI1440" s="139"/>
      <c r="AJ1440" s="139"/>
      <c r="AK1440" s="139"/>
      <c r="AL1440" s="139"/>
      <c r="AM1440" s="139"/>
      <c r="AN1440" s="139"/>
      <c r="AO1440" s="139"/>
      <c r="AP1440" s="139"/>
      <c r="AQ1440" s="174"/>
      <c r="AR1440" s="222"/>
    </row>
    <row r="1441" spans="2:44" s="22" customFormat="1" ht="18" customHeight="1" x14ac:dyDescent="0.25">
      <c r="B1441" s="145"/>
      <c r="C1441" s="139"/>
      <c r="D1441" s="146"/>
      <c r="E1441" s="139"/>
      <c r="F1441" s="139"/>
      <c r="G1441" s="139"/>
      <c r="H1441" s="139"/>
      <c r="I1441" s="139"/>
      <c r="J1441" s="139"/>
      <c r="K1441" s="139"/>
      <c r="L1441" s="243"/>
      <c r="M1441" s="243"/>
      <c r="N1441" s="139"/>
      <c r="O1441" s="139"/>
      <c r="P1441" s="139"/>
      <c r="Q1441" s="147"/>
      <c r="R1441" s="139"/>
      <c r="S1441" s="139"/>
      <c r="T1441" s="139"/>
      <c r="U1441" s="139"/>
      <c r="V1441" s="139"/>
      <c r="W1441" s="139"/>
      <c r="X1441" s="146"/>
      <c r="Y1441" s="148"/>
      <c r="Z1441" s="145"/>
      <c r="AA1441" s="139"/>
      <c r="AB1441" s="149"/>
      <c r="AC1441" s="119"/>
      <c r="AD1441" s="139"/>
      <c r="AE1441" s="139"/>
      <c r="AF1441" s="139"/>
      <c r="AG1441" s="139"/>
      <c r="AH1441" s="139"/>
      <c r="AI1441" s="139"/>
      <c r="AJ1441" s="139"/>
      <c r="AK1441" s="139"/>
      <c r="AL1441" s="139"/>
      <c r="AM1441" s="139"/>
      <c r="AN1441" s="139"/>
      <c r="AO1441" s="139"/>
      <c r="AP1441" s="139"/>
      <c r="AQ1441" s="174"/>
      <c r="AR1441" s="222"/>
    </row>
    <row r="1442" spans="2:44" s="22" customFormat="1" ht="18" customHeight="1" x14ac:dyDescent="0.25">
      <c r="B1442" s="145"/>
      <c r="C1442" s="139"/>
      <c r="D1442" s="146"/>
      <c r="E1442" s="139"/>
      <c r="F1442" s="139"/>
      <c r="G1442" s="139"/>
      <c r="H1442" s="139"/>
      <c r="I1442" s="139"/>
      <c r="J1442" s="139"/>
      <c r="K1442" s="139"/>
      <c r="L1442" s="243"/>
      <c r="M1442" s="243"/>
      <c r="N1442" s="139"/>
      <c r="O1442" s="139"/>
      <c r="P1442" s="139"/>
      <c r="Q1442" s="147"/>
      <c r="R1442" s="139"/>
      <c r="S1442" s="139"/>
      <c r="T1442" s="139"/>
      <c r="U1442" s="139"/>
      <c r="V1442" s="139"/>
      <c r="W1442" s="139"/>
      <c r="X1442" s="146"/>
      <c r="Y1442" s="148"/>
      <c r="Z1442" s="145"/>
      <c r="AA1442" s="139"/>
      <c r="AB1442" s="149"/>
      <c r="AC1442" s="119"/>
      <c r="AD1442" s="139"/>
      <c r="AE1442" s="139"/>
      <c r="AF1442" s="139"/>
      <c r="AG1442" s="139"/>
      <c r="AH1442" s="139"/>
      <c r="AI1442" s="139"/>
      <c r="AJ1442" s="139"/>
      <c r="AK1442" s="139"/>
      <c r="AL1442" s="139"/>
      <c r="AM1442" s="139"/>
      <c r="AN1442" s="139"/>
      <c r="AO1442" s="139"/>
      <c r="AP1442" s="139"/>
      <c r="AQ1442" s="174"/>
      <c r="AR1442" s="222"/>
    </row>
    <row r="1443" spans="2:44" s="22" customFormat="1" ht="18" customHeight="1" x14ac:dyDescent="0.25">
      <c r="B1443" s="145"/>
      <c r="C1443" s="139"/>
      <c r="D1443" s="146"/>
      <c r="E1443" s="139"/>
      <c r="F1443" s="139"/>
      <c r="G1443" s="139"/>
      <c r="H1443" s="139"/>
      <c r="I1443" s="139"/>
      <c r="J1443" s="139"/>
      <c r="K1443" s="139"/>
      <c r="L1443" s="243"/>
      <c r="M1443" s="243"/>
      <c r="N1443" s="139"/>
      <c r="O1443" s="139"/>
      <c r="P1443" s="139"/>
      <c r="Q1443" s="147"/>
      <c r="R1443" s="139"/>
      <c r="S1443" s="139"/>
      <c r="T1443" s="139"/>
      <c r="U1443" s="139"/>
      <c r="V1443" s="139"/>
      <c r="W1443" s="139"/>
      <c r="X1443" s="146"/>
      <c r="Y1443" s="148"/>
      <c r="Z1443" s="145"/>
      <c r="AA1443" s="139"/>
      <c r="AB1443" s="149"/>
      <c r="AC1443" s="119"/>
      <c r="AD1443" s="139"/>
      <c r="AE1443" s="139"/>
      <c r="AF1443" s="139"/>
      <c r="AG1443" s="139"/>
      <c r="AH1443" s="139"/>
      <c r="AI1443" s="139"/>
      <c r="AJ1443" s="139"/>
      <c r="AK1443" s="139"/>
      <c r="AL1443" s="139"/>
      <c r="AM1443" s="139"/>
      <c r="AN1443" s="139"/>
      <c r="AO1443" s="139"/>
      <c r="AP1443" s="139"/>
      <c r="AQ1443" s="174"/>
      <c r="AR1443" s="222"/>
    </row>
    <row r="1444" spans="2:44" s="140" customFormat="1" ht="18" customHeight="1" x14ac:dyDescent="0.25">
      <c r="B1444" s="145"/>
      <c r="C1444" s="139"/>
      <c r="D1444" s="146"/>
      <c r="E1444" s="139"/>
      <c r="F1444" s="139"/>
      <c r="G1444" s="139"/>
      <c r="H1444" s="139"/>
      <c r="I1444" s="139"/>
      <c r="J1444" s="139"/>
      <c r="K1444" s="139"/>
      <c r="L1444" s="243"/>
      <c r="M1444" s="243"/>
      <c r="N1444" s="139"/>
      <c r="O1444" s="139"/>
      <c r="P1444" s="139"/>
      <c r="Q1444" s="147"/>
      <c r="R1444" s="139"/>
      <c r="S1444" s="139"/>
      <c r="T1444" s="139"/>
      <c r="U1444" s="139"/>
      <c r="V1444" s="139"/>
      <c r="W1444" s="139"/>
      <c r="X1444" s="146"/>
      <c r="Y1444" s="148"/>
      <c r="Z1444" s="145"/>
      <c r="AA1444" s="139"/>
      <c r="AB1444" s="149"/>
      <c r="AC1444" s="119"/>
      <c r="AD1444" s="139"/>
      <c r="AE1444" s="139"/>
      <c r="AF1444" s="139"/>
      <c r="AG1444" s="139"/>
      <c r="AH1444" s="139"/>
      <c r="AI1444" s="139"/>
      <c r="AJ1444" s="139"/>
      <c r="AK1444" s="139"/>
      <c r="AL1444" s="139"/>
      <c r="AM1444" s="139"/>
      <c r="AN1444" s="139"/>
      <c r="AO1444" s="139"/>
      <c r="AP1444" s="139"/>
      <c r="AQ1444" s="174"/>
      <c r="AR1444" s="222"/>
    </row>
    <row r="1445" spans="2:44" s="22" customFormat="1" ht="18" customHeight="1" x14ac:dyDescent="0.25">
      <c r="B1445" s="145"/>
      <c r="C1445" s="139"/>
      <c r="D1445" s="146"/>
      <c r="E1445" s="139"/>
      <c r="F1445" s="139"/>
      <c r="G1445" s="139"/>
      <c r="H1445" s="139"/>
      <c r="I1445" s="139"/>
      <c r="J1445" s="139"/>
      <c r="K1445" s="139"/>
      <c r="L1445" s="243"/>
      <c r="M1445" s="243"/>
      <c r="N1445" s="139"/>
      <c r="O1445" s="139"/>
      <c r="P1445" s="139"/>
      <c r="Q1445" s="147"/>
      <c r="R1445" s="139"/>
      <c r="S1445" s="139"/>
      <c r="T1445" s="139"/>
      <c r="U1445" s="139"/>
      <c r="V1445" s="139"/>
      <c r="W1445" s="139"/>
      <c r="X1445" s="146"/>
      <c r="Y1445" s="148"/>
      <c r="Z1445" s="145"/>
      <c r="AA1445" s="139"/>
      <c r="AB1445" s="149"/>
      <c r="AC1445" s="119"/>
      <c r="AD1445" s="139"/>
      <c r="AE1445" s="139"/>
      <c r="AF1445" s="139"/>
      <c r="AG1445" s="139"/>
      <c r="AH1445" s="139"/>
      <c r="AI1445" s="139"/>
      <c r="AJ1445" s="139"/>
      <c r="AK1445" s="139"/>
      <c r="AL1445" s="139"/>
      <c r="AM1445" s="139"/>
      <c r="AN1445" s="139"/>
      <c r="AO1445" s="139"/>
      <c r="AP1445" s="139"/>
      <c r="AQ1445" s="174"/>
      <c r="AR1445" s="222"/>
    </row>
    <row r="1446" spans="2:44" s="140" customFormat="1" ht="18" customHeight="1" x14ac:dyDescent="0.25">
      <c r="B1446" s="145"/>
      <c r="C1446" s="139"/>
      <c r="D1446" s="146"/>
      <c r="E1446" s="139"/>
      <c r="F1446" s="139"/>
      <c r="G1446" s="139"/>
      <c r="H1446" s="139"/>
      <c r="I1446" s="139"/>
      <c r="J1446" s="139"/>
      <c r="K1446" s="139"/>
      <c r="L1446" s="243"/>
      <c r="M1446" s="243"/>
      <c r="N1446" s="139"/>
      <c r="O1446" s="139"/>
      <c r="P1446" s="139"/>
      <c r="Q1446" s="147"/>
      <c r="R1446" s="139"/>
      <c r="S1446" s="139"/>
      <c r="T1446" s="139"/>
      <c r="U1446" s="139"/>
      <c r="V1446" s="139"/>
      <c r="W1446" s="139"/>
      <c r="X1446" s="146"/>
      <c r="Y1446" s="148"/>
      <c r="Z1446" s="145"/>
      <c r="AA1446" s="139"/>
      <c r="AB1446" s="149"/>
      <c r="AC1446" s="119"/>
      <c r="AD1446" s="139"/>
      <c r="AE1446" s="139"/>
      <c r="AF1446" s="139"/>
      <c r="AG1446" s="139"/>
      <c r="AH1446" s="139"/>
      <c r="AI1446" s="139"/>
      <c r="AJ1446" s="139"/>
      <c r="AK1446" s="139"/>
      <c r="AL1446" s="139"/>
      <c r="AM1446" s="139"/>
      <c r="AN1446" s="139"/>
      <c r="AO1446" s="139"/>
      <c r="AP1446" s="139"/>
      <c r="AQ1446" s="174"/>
      <c r="AR1446" s="222"/>
    </row>
    <row r="1447" spans="2:44" s="140" customFormat="1" ht="18" customHeight="1" x14ac:dyDescent="0.25">
      <c r="B1447" s="145"/>
      <c r="C1447" s="139"/>
      <c r="D1447" s="146"/>
      <c r="E1447" s="139"/>
      <c r="F1447" s="139"/>
      <c r="G1447" s="139"/>
      <c r="H1447" s="139"/>
      <c r="I1447" s="139"/>
      <c r="J1447" s="139"/>
      <c r="K1447" s="139"/>
      <c r="L1447" s="243"/>
      <c r="M1447" s="243"/>
      <c r="N1447" s="139"/>
      <c r="O1447" s="139"/>
      <c r="P1447" s="139"/>
      <c r="Q1447" s="147"/>
      <c r="R1447" s="139"/>
      <c r="S1447" s="139"/>
      <c r="T1447" s="139"/>
      <c r="U1447" s="139"/>
      <c r="V1447" s="139"/>
      <c r="W1447" s="139"/>
      <c r="X1447" s="146"/>
      <c r="Y1447" s="148"/>
      <c r="Z1447" s="145"/>
      <c r="AA1447" s="139"/>
      <c r="AB1447" s="149"/>
      <c r="AC1447" s="119"/>
      <c r="AD1447" s="139"/>
      <c r="AE1447" s="139"/>
      <c r="AF1447" s="139"/>
      <c r="AG1447" s="139"/>
      <c r="AH1447" s="139"/>
      <c r="AI1447" s="139"/>
      <c r="AJ1447" s="139"/>
      <c r="AK1447" s="139"/>
      <c r="AL1447" s="139"/>
      <c r="AM1447" s="139"/>
      <c r="AN1447" s="139"/>
      <c r="AO1447" s="139"/>
      <c r="AP1447" s="139"/>
      <c r="AQ1447" s="174"/>
      <c r="AR1447" s="222"/>
    </row>
    <row r="1448" spans="2:44" s="140" customFormat="1" ht="18" customHeight="1" x14ac:dyDescent="0.25">
      <c r="B1448" s="145"/>
      <c r="C1448" s="139"/>
      <c r="D1448" s="146"/>
      <c r="E1448" s="139"/>
      <c r="F1448" s="139"/>
      <c r="G1448" s="139"/>
      <c r="H1448" s="139"/>
      <c r="I1448" s="139"/>
      <c r="J1448" s="139"/>
      <c r="K1448" s="139"/>
      <c r="L1448" s="243"/>
      <c r="M1448" s="243"/>
      <c r="N1448" s="139"/>
      <c r="O1448" s="139"/>
      <c r="P1448" s="139"/>
      <c r="Q1448" s="147"/>
      <c r="R1448" s="139"/>
      <c r="S1448" s="139"/>
      <c r="T1448" s="139"/>
      <c r="U1448" s="139"/>
      <c r="V1448" s="139"/>
      <c r="W1448" s="139"/>
      <c r="X1448" s="146"/>
      <c r="Y1448" s="148"/>
      <c r="Z1448" s="145"/>
      <c r="AA1448" s="139"/>
      <c r="AB1448" s="149"/>
      <c r="AC1448" s="119"/>
      <c r="AD1448" s="139"/>
      <c r="AE1448" s="139"/>
      <c r="AF1448" s="139"/>
      <c r="AG1448" s="139"/>
      <c r="AH1448" s="139"/>
      <c r="AI1448" s="139"/>
      <c r="AJ1448" s="139"/>
      <c r="AK1448" s="139"/>
      <c r="AL1448" s="139"/>
      <c r="AM1448" s="139"/>
      <c r="AN1448" s="139"/>
      <c r="AO1448" s="139"/>
      <c r="AP1448" s="139"/>
      <c r="AQ1448" s="174"/>
      <c r="AR1448" s="222"/>
    </row>
    <row r="1449" spans="2:44" s="140" customFormat="1" ht="18" customHeight="1" x14ac:dyDescent="0.25">
      <c r="B1449" s="145"/>
      <c r="C1449" s="139"/>
      <c r="D1449" s="146"/>
      <c r="E1449" s="139"/>
      <c r="F1449" s="139"/>
      <c r="G1449" s="139"/>
      <c r="H1449" s="139"/>
      <c r="I1449" s="139"/>
      <c r="J1449" s="139"/>
      <c r="K1449" s="139"/>
      <c r="L1449" s="243"/>
      <c r="M1449" s="243"/>
      <c r="N1449" s="139"/>
      <c r="O1449" s="139"/>
      <c r="P1449" s="139"/>
      <c r="Q1449" s="147"/>
      <c r="R1449" s="139"/>
      <c r="S1449" s="139"/>
      <c r="T1449" s="139"/>
      <c r="U1449" s="139"/>
      <c r="V1449" s="139"/>
      <c r="W1449" s="139"/>
      <c r="X1449" s="146"/>
      <c r="Y1449" s="148"/>
      <c r="Z1449" s="145"/>
      <c r="AA1449" s="139"/>
      <c r="AB1449" s="149"/>
      <c r="AC1449" s="119"/>
      <c r="AD1449" s="139"/>
      <c r="AE1449" s="139"/>
      <c r="AF1449" s="139"/>
      <c r="AG1449" s="139"/>
      <c r="AH1449" s="139"/>
      <c r="AI1449" s="139"/>
      <c r="AJ1449" s="139"/>
      <c r="AK1449" s="139"/>
      <c r="AL1449" s="139"/>
      <c r="AM1449" s="139"/>
      <c r="AN1449" s="139"/>
      <c r="AO1449" s="139"/>
      <c r="AP1449" s="139"/>
      <c r="AQ1449" s="174"/>
      <c r="AR1449" s="222"/>
    </row>
    <row r="1450" spans="2:44" s="22" customFormat="1" ht="18" customHeight="1" x14ac:dyDescent="0.25">
      <c r="B1450" s="145"/>
      <c r="C1450" s="139"/>
      <c r="D1450" s="146"/>
      <c r="E1450" s="139"/>
      <c r="F1450" s="139"/>
      <c r="G1450" s="139"/>
      <c r="H1450" s="139"/>
      <c r="I1450" s="139"/>
      <c r="J1450" s="139"/>
      <c r="K1450" s="139"/>
      <c r="L1450" s="243"/>
      <c r="M1450" s="243"/>
      <c r="N1450" s="139"/>
      <c r="O1450" s="139"/>
      <c r="P1450" s="139"/>
      <c r="Q1450" s="147"/>
      <c r="R1450" s="139"/>
      <c r="S1450" s="139"/>
      <c r="T1450" s="139"/>
      <c r="U1450" s="139"/>
      <c r="V1450" s="139"/>
      <c r="W1450" s="139"/>
      <c r="X1450" s="146"/>
      <c r="Y1450" s="148"/>
      <c r="Z1450" s="145"/>
      <c r="AA1450" s="139"/>
      <c r="AB1450" s="149"/>
      <c r="AC1450" s="119"/>
      <c r="AD1450" s="139"/>
      <c r="AE1450" s="139"/>
      <c r="AF1450" s="139"/>
      <c r="AG1450" s="139"/>
      <c r="AH1450" s="139"/>
      <c r="AI1450" s="139"/>
      <c r="AJ1450" s="139"/>
      <c r="AK1450" s="139"/>
      <c r="AL1450" s="139"/>
      <c r="AM1450" s="139"/>
      <c r="AN1450" s="139"/>
      <c r="AO1450" s="139"/>
      <c r="AP1450" s="139"/>
      <c r="AQ1450" s="174"/>
      <c r="AR1450" s="222"/>
    </row>
    <row r="1451" spans="2:44" s="22" customFormat="1" ht="18" customHeight="1" x14ac:dyDescent="0.25">
      <c r="B1451" s="145"/>
      <c r="C1451" s="139"/>
      <c r="D1451" s="146"/>
      <c r="E1451" s="139"/>
      <c r="F1451" s="139"/>
      <c r="G1451" s="139"/>
      <c r="H1451" s="139"/>
      <c r="I1451" s="139"/>
      <c r="J1451" s="139"/>
      <c r="K1451" s="139"/>
      <c r="L1451" s="243"/>
      <c r="M1451" s="243"/>
      <c r="N1451" s="139"/>
      <c r="O1451" s="139"/>
      <c r="P1451" s="139"/>
      <c r="Q1451" s="147"/>
      <c r="R1451" s="139"/>
      <c r="S1451" s="139"/>
      <c r="T1451" s="139"/>
      <c r="U1451" s="139"/>
      <c r="V1451" s="139"/>
      <c r="W1451" s="139"/>
      <c r="X1451" s="146"/>
      <c r="Y1451" s="148"/>
      <c r="Z1451" s="145"/>
      <c r="AA1451" s="139"/>
      <c r="AB1451" s="149"/>
      <c r="AC1451" s="119"/>
      <c r="AD1451" s="139"/>
      <c r="AE1451" s="139"/>
      <c r="AF1451" s="139"/>
      <c r="AG1451" s="139"/>
      <c r="AH1451" s="139"/>
      <c r="AI1451" s="139"/>
      <c r="AJ1451" s="139"/>
      <c r="AK1451" s="139"/>
      <c r="AL1451" s="139"/>
      <c r="AM1451" s="139"/>
      <c r="AN1451" s="139"/>
      <c r="AO1451" s="139"/>
      <c r="AP1451" s="139"/>
      <c r="AQ1451" s="174"/>
      <c r="AR1451" s="222"/>
    </row>
    <row r="1452" spans="2:44" s="22" customFormat="1" ht="18" customHeight="1" x14ac:dyDescent="0.25">
      <c r="B1452" s="145"/>
      <c r="C1452" s="139"/>
      <c r="D1452" s="146"/>
      <c r="E1452" s="139"/>
      <c r="F1452" s="139"/>
      <c r="G1452" s="139"/>
      <c r="H1452" s="139"/>
      <c r="I1452" s="139"/>
      <c r="J1452" s="139"/>
      <c r="K1452" s="139"/>
      <c r="L1452" s="243"/>
      <c r="M1452" s="243"/>
      <c r="N1452" s="139"/>
      <c r="O1452" s="139"/>
      <c r="P1452" s="139"/>
      <c r="Q1452" s="147"/>
      <c r="R1452" s="139"/>
      <c r="S1452" s="139"/>
      <c r="T1452" s="139"/>
      <c r="U1452" s="139"/>
      <c r="V1452" s="139"/>
      <c r="W1452" s="139"/>
      <c r="X1452" s="146"/>
      <c r="Y1452" s="148"/>
      <c r="Z1452" s="145"/>
      <c r="AA1452" s="139"/>
      <c r="AB1452" s="149"/>
      <c r="AC1452" s="119"/>
      <c r="AD1452" s="139"/>
      <c r="AE1452" s="139"/>
      <c r="AF1452" s="139"/>
      <c r="AG1452" s="139"/>
      <c r="AH1452" s="139"/>
      <c r="AI1452" s="139"/>
      <c r="AJ1452" s="139"/>
      <c r="AK1452" s="139"/>
      <c r="AL1452" s="139"/>
      <c r="AM1452" s="139"/>
      <c r="AN1452" s="139"/>
      <c r="AO1452" s="139"/>
      <c r="AP1452" s="139"/>
      <c r="AQ1452" s="174"/>
      <c r="AR1452" s="222"/>
    </row>
    <row r="1453" spans="2:44" s="22" customFormat="1" ht="18" customHeight="1" x14ac:dyDescent="0.25">
      <c r="B1453" s="145"/>
      <c r="C1453" s="139"/>
      <c r="D1453" s="146"/>
      <c r="E1453" s="139"/>
      <c r="F1453" s="139"/>
      <c r="G1453" s="139"/>
      <c r="H1453" s="139"/>
      <c r="I1453" s="139"/>
      <c r="J1453" s="139"/>
      <c r="K1453" s="139"/>
      <c r="L1453" s="243"/>
      <c r="M1453" s="243"/>
      <c r="N1453" s="139"/>
      <c r="O1453" s="139"/>
      <c r="P1453" s="139"/>
      <c r="Q1453" s="147"/>
      <c r="R1453" s="139"/>
      <c r="S1453" s="139"/>
      <c r="T1453" s="139"/>
      <c r="U1453" s="139"/>
      <c r="V1453" s="139"/>
      <c r="W1453" s="139"/>
      <c r="X1453" s="146"/>
      <c r="Y1453" s="148"/>
      <c r="Z1453" s="145"/>
      <c r="AA1453" s="139"/>
      <c r="AB1453" s="149"/>
      <c r="AC1453" s="119"/>
      <c r="AD1453" s="139"/>
      <c r="AE1453" s="139"/>
      <c r="AF1453" s="139"/>
      <c r="AG1453" s="139"/>
      <c r="AH1453" s="139"/>
      <c r="AI1453" s="139"/>
      <c r="AJ1453" s="139"/>
      <c r="AK1453" s="139"/>
      <c r="AL1453" s="139"/>
      <c r="AM1453" s="139"/>
      <c r="AN1453" s="139"/>
      <c r="AO1453" s="139"/>
      <c r="AP1453" s="139"/>
      <c r="AQ1453" s="174"/>
      <c r="AR1453" s="222"/>
    </row>
    <row r="1454" spans="2:44" s="140" customFormat="1" ht="18" customHeight="1" x14ac:dyDescent="0.25">
      <c r="B1454" s="145"/>
      <c r="C1454" s="139"/>
      <c r="D1454" s="146"/>
      <c r="E1454" s="139"/>
      <c r="F1454" s="139"/>
      <c r="G1454" s="139"/>
      <c r="H1454" s="139"/>
      <c r="I1454" s="139"/>
      <c r="J1454" s="139"/>
      <c r="K1454" s="139"/>
      <c r="L1454" s="243"/>
      <c r="M1454" s="243"/>
      <c r="N1454" s="139"/>
      <c r="O1454" s="139"/>
      <c r="P1454" s="139"/>
      <c r="Q1454" s="147"/>
      <c r="R1454" s="139"/>
      <c r="S1454" s="139"/>
      <c r="T1454" s="139"/>
      <c r="U1454" s="139"/>
      <c r="V1454" s="139"/>
      <c r="W1454" s="139"/>
      <c r="X1454" s="146"/>
      <c r="Y1454" s="148"/>
      <c r="Z1454" s="145"/>
      <c r="AA1454" s="139"/>
      <c r="AB1454" s="149"/>
      <c r="AC1454" s="119"/>
      <c r="AD1454" s="139"/>
      <c r="AE1454" s="139"/>
      <c r="AF1454" s="139"/>
      <c r="AG1454" s="139"/>
      <c r="AH1454" s="139"/>
      <c r="AI1454" s="139"/>
      <c r="AJ1454" s="139"/>
      <c r="AK1454" s="139"/>
      <c r="AL1454" s="139"/>
      <c r="AM1454" s="139"/>
      <c r="AN1454" s="139"/>
      <c r="AO1454" s="139"/>
      <c r="AP1454" s="139"/>
      <c r="AQ1454" s="174"/>
      <c r="AR1454" s="222"/>
    </row>
    <row r="1455" spans="2:44" s="140" customFormat="1" ht="18" customHeight="1" x14ac:dyDescent="0.25">
      <c r="B1455" s="145"/>
      <c r="C1455" s="139"/>
      <c r="D1455" s="146"/>
      <c r="E1455" s="139"/>
      <c r="F1455" s="139"/>
      <c r="G1455" s="139"/>
      <c r="H1455" s="139"/>
      <c r="I1455" s="139"/>
      <c r="J1455" s="139"/>
      <c r="K1455" s="139"/>
      <c r="L1455" s="243"/>
      <c r="M1455" s="243"/>
      <c r="N1455" s="139"/>
      <c r="O1455" s="139"/>
      <c r="P1455" s="139"/>
      <c r="Q1455" s="147"/>
      <c r="R1455" s="139"/>
      <c r="S1455" s="139"/>
      <c r="T1455" s="139"/>
      <c r="U1455" s="139"/>
      <c r="V1455" s="139"/>
      <c r="W1455" s="139"/>
      <c r="X1455" s="146"/>
      <c r="Y1455" s="148"/>
      <c r="Z1455" s="145"/>
      <c r="AA1455" s="139"/>
      <c r="AB1455" s="149"/>
      <c r="AC1455" s="119"/>
      <c r="AD1455" s="139"/>
      <c r="AE1455" s="139"/>
      <c r="AF1455" s="139"/>
      <c r="AG1455" s="139"/>
      <c r="AH1455" s="139"/>
      <c r="AI1455" s="139"/>
      <c r="AJ1455" s="139"/>
      <c r="AK1455" s="139"/>
      <c r="AL1455" s="139"/>
      <c r="AM1455" s="139"/>
      <c r="AN1455" s="139"/>
      <c r="AO1455" s="139"/>
      <c r="AP1455" s="139"/>
      <c r="AQ1455" s="174"/>
      <c r="AR1455" s="222"/>
    </row>
    <row r="1456" spans="2:44" s="22" customFormat="1" ht="18" customHeight="1" x14ac:dyDescent="0.25">
      <c r="B1456" s="145"/>
      <c r="C1456" s="139"/>
      <c r="D1456" s="146"/>
      <c r="E1456" s="139"/>
      <c r="F1456" s="139"/>
      <c r="G1456" s="139"/>
      <c r="H1456" s="139"/>
      <c r="I1456" s="139"/>
      <c r="J1456" s="139"/>
      <c r="K1456" s="139"/>
      <c r="L1456" s="243"/>
      <c r="M1456" s="243"/>
      <c r="N1456" s="139"/>
      <c r="O1456" s="139"/>
      <c r="P1456" s="139"/>
      <c r="Q1456" s="147"/>
      <c r="R1456" s="139"/>
      <c r="S1456" s="139"/>
      <c r="T1456" s="139"/>
      <c r="U1456" s="139"/>
      <c r="V1456" s="139"/>
      <c r="W1456" s="139"/>
      <c r="X1456" s="146"/>
      <c r="Y1456" s="148"/>
      <c r="Z1456" s="145"/>
      <c r="AA1456" s="139"/>
      <c r="AB1456" s="149"/>
      <c r="AC1456" s="119"/>
      <c r="AD1456" s="139"/>
      <c r="AE1456" s="139"/>
      <c r="AF1456" s="139"/>
      <c r="AG1456" s="139"/>
      <c r="AH1456" s="139"/>
      <c r="AI1456" s="139"/>
      <c r="AJ1456" s="139"/>
      <c r="AK1456" s="139"/>
      <c r="AL1456" s="139"/>
      <c r="AM1456" s="139"/>
      <c r="AN1456" s="139"/>
      <c r="AO1456" s="139"/>
      <c r="AP1456" s="139"/>
      <c r="AQ1456" s="174"/>
      <c r="AR1456" s="222"/>
    </row>
    <row r="1457" spans="2:44" s="140" customFormat="1" ht="18" customHeight="1" x14ac:dyDescent="0.25">
      <c r="B1457" s="145"/>
      <c r="C1457" s="139"/>
      <c r="D1457" s="146"/>
      <c r="E1457" s="139"/>
      <c r="F1457" s="139"/>
      <c r="G1457" s="139"/>
      <c r="H1457" s="139"/>
      <c r="I1457" s="139"/>
      <c r="J1457" s="139"/>
      <c r="K1457" s="139"/>
      <c r="L1457" s="243"/>
      <c r="M1457" s="243"/>
      <c r="N1457" s="139"/>
      <c r="O1457" s="139"/>
      <c r="P1457" s="139"/>
      <c r="Q1457" s="147"/>
      <c r="R1457" s="139"/>
      <c r="S1457" s="139"/>
      <c r="T1457" s="139"/>
      <c r="U1457" s="139"/>
      <c r="V1457" s="139"/>
      <c r="W1457" s="139"/>
      <c r="X1457" s="146"/>
      <c r="Y1457" s="148"/>
      <c r="Z1457" s="145"/>
      <c r="AA1457" s="139"/>
      <c r="AB1457" s="149"/>
      <c r="AC1457" s="119"/>
      <c r="AD1457" s="139"/>
      <c r="AE1457" s="139"/>
      <c r="AF1457" s="139"/>
      <c r="AG1457" s="139"/>
      <c r="AH1457" s="139"/>
      <c r="AI1457" s="139"/>
      <c r="AJ1457" s="139"/>
      <c r="AK1457" s="139"/>
      <c r="AL1457" s="139"/>
      <c r="AM1457" s="139"/>
      <c r="AN1457" s="139"/>
      <c r="AO1457" s="139"/>
      <c r="AP1457" s="139"/>
      <c r="AQ1457" s="174"/>
      <c r="AR1457" s="222"/>
    </row>
    <row r="1458" spans="2:44" s="141" customFormat="1" ht="18" customHeight="1" x14ac:dyDescent="0.25">
      <c r="B1458" s="145"/>
      <c r="C1458" s="139"/>
      <c r="D1458" s="146"/>
      <c r="E1458" s="139"/>
      <c r="F1458" s="139"/>
      <c r="G1458" s="139"/>
      <c r="H1458" s="139"/>
      <c r="I1458" s="139"/>
      <c r="J1458" s="139"/>
      <c r="K1458" s="139"/>
      <c r="L1458" s="243"/>
      <c r="M1458" s="243"/>
      <c r="N1458" s="139"/>
      <c r="O1458" s="139"/>
      <c r="P1458" s="139"/>
      <c r="Q1458" s="147"/>
      <c r="R1458" s="139"/>
      <c r="S1458" s="139"/>
      <c r="T1458" s="139"/>
      <c r="U1458" s="139"/>
      <c r="V1458" s="139"/>
      <c r="W1458" s="139"/>
      <c r="X1458" s="146"/>
      <c r="Y1458" s="148"/>
      <c r="Z1458" s="145"/>
      <c r="AA1458" s="139"/>
      <c r="AB1458" s="149"/>
      <c r="AC1458" s="119"/>
      <c r="AD1458" s="139"/>
      <c r="AE1458" s="139"/>
      <c r="AF1458" s="139"/>
      <c r="AG1458" s="139"/>
      <c r="AH1458" s="139"/>
      <c r="AI1458" s="139"/>
      <c r="AJ1458" s="139"/>
      <c r="AK1458" s="139"/>
      <c r="AL1458" s="139"/>
      <c r="AM1458" s="139"/>
      <c r="AN1458" s="139"/>
      <c r="AO1458" s="139"/>
      <c r="AP1458" s="139"/>
      <c r="AQ1458" s="174"/>
      <c r="AR1458" s="222"/>
    </row>
    <row r="1459" spans="2:44" s="22" customFormat="1" ht="18" customHeight="1" x14ac:dyDescent="0.25">
      <c r="B1459" s="145"/>
      <c r="C1459" s="139"/>
      <c r="D1459" s="146"/>
      <c r="E1459" s="139"/>
      <c r="F1459" s="139"/>
      <c r="G1459" s="139"/>
      <c r="H1459" s="139"/>
      <c r="I1459" s="139"/>
      <c r="J1459" s="139"/>
      <c r="K1459" s="139"/>
      <c r="L1459" s="243"/>
      <c r="M1459" s="243"/>
      <c r="N1459" s="139"/>
      <c r="O1459" s="139"/>
      <c r="P1459" s="139"/>
      <c r="Q1459" s="147"/>
      <c r="R1459" s="139"/>
      <c r="S1459" s="139"/>
      <c r="T1459" s="139"/>
      <c r="U1459" s="139"/>
      <c r="V1459" s="139"/>
      <c r="W1459" s="139"/>
      <c r="X1459" s="146"/>
      <c r="Y1459" s="148"/>
      <c r="Z1459" s="145"/>
      <c r="AA1459" s="139"/>
      <c r="AB1459" s="149"/>
      <c r="AC1459" s="119"/>
      <c r="AD1459" s="139"/>
      <c r="AE1459" s="139"/>
      <c r="AF1459" s="139"/>
      <c r="AG1459" s="139"/>
      <c r="AH1459" s="139"/>
      <c r="AI1459" s="139"/>
      <c r="AJ1459" s="139"/>
      <c r="AK1459" s="139"/>
      <c r="AL1459" s="139"/>
      <c r="AM1459" s="139"/>
      <c r="AN1459" s="139"/>
      <c r="AO1459" s="139"/>
      <c r="AP1459" s="139"/>
      <c r="AQ1459" s="174"/>
      <c r="AR1459" s="222"/>
    </row>
    <row r="1460" spans="2:44" s="22" customFormat="1" ht="18" customHeight="1" x14ac:dyDescent="0.25">
      <c r="B1460" s="145"/>
      <c r="C1460" s="139"/>
      <c r="D1460" s="146"/>
      <c r="E1460" s="139"/>
      <c r="F1460" s="139"/>
      <c r="G1460" s="139"/>
      <c r="H1460" s="139"/>
      <c r="I1460" s="139"/>
      <c r="J1460" s="139"/>
      <c r="K1460" s="139"/>
      <c r="L1460" s="243"/>
      <c r="M1460" s="243"/>
      <c r="N1460" s="139"/>
      <c r="O1460" s="139"/>
      <c r="P1460" s="139"/>
      <c r="Q1460" s="147"/>
      <c r="R1460" s="139"/>
      <c r="S1460" s="139"/>
      <c r="T1460" s="139"/>
      <c r="U1460" s="139"/>
      <c r="V1460" s="139"/>
      <c r="W1460" s="139"/>
      <c r="X1460" s="146"/>
      <c r="Y1460" s="148"/>
      <c r="Z1460" s="145"/>
      <c r="AA1460" s="139"/>
      <c r="AB1460" s="149"/>
      <c r="AC1460" s="119"/>
      <c r="AD1460" s="139"/>
      <c r="AE1460" s="139"/>
      <c r="AF1460" s="139"/>
      <c r="AG1460" s="139"/>
      <c r="AH1460" s="139"/>
      <c r="AI1460" s="139"/>
      <c r="AJ1460" s="139"/>
      <c r="AK1460" s="139"/>
      <c r="AL1460" s="139"/>
      <c r="AM1460" s="139"/>
      <c r="AN1460" s="139"/>
      <c r="AO1460" s="139"/>
      <c r="AP1460" s="139"/>
      <c r="AQ1460" s="174"/>
      <c r="AR1460" s="222"/>
    </row>
    <row r="1461" spans="2:44" s="22" customFormat="1" ht="18" customHeight="1" x14ac:dyDescent="0.25">
      <c r="B1461" s="145"/>
      <c r="C1461" s="139"/>
      <c r="D1461" s="146"/>
      <c r="E1461" s="139"/>
      <c r="F1461" s="139"/>
      <c r="G1461" s="139"/>
      <c r="H1461" s="139"/>
      <c r="I1461" s="139"/>
      <c r="J1461" s="139"/>
      <c r="K1461" s="139"/>
      <c r="L1461" s="243"/>
      <c r="M1461" s="243"/>
      <c r="N1461" s="139"/>
      <c r="O1461" s="139"/>
      <c r="P1461" s="139"/>
      <c r="Q1461" s="147"/>
      <c r="R1461" s="139"/>
      <c r="S1461" s="139"/>
      <c r="T1461" s="139"/>
      <c r="U1461" s="139"/>
      <c r="V1461" s="139"/>
      <c r="W1461" s="139"/>
      <c r="X1461" s="146"/>
      <c r="Y1461" s="148"/>
      <c r="Z1461" s="145"/>
      <c r="AA1461" s="139"/>
      <c r="AB1461" s="149"/>
      <c r="AC1461" s="119"/>
      <c r="AD1461" s="139"/>
      <c r="AE1461" s="139"/>
      <c r="AF1461" s="139"/>
      <c r="AG1461" s="139"/>
      <c r="AH1461" s="139"/>
      <c r="AI1461" s="139"/>
      <c r="AJ1461" s="139"/>
      <c r="AK1461" s="139"/>
      <c r="AL1461" s="139"/>
      <c r="AM1461" s="139"/>
      <c r="AN1461" s="139"/>
      <c r="AO1461" s="139"/>
      <c r="AP1461" s="139"/>
      <c r="AQ1461" s="174"/>
      <c r="AR1461" s="222"/>
    </row>
    <row r="1462" spans="2:44" s="22" customFormat="1" ht="18" customHeight="1" x14ac:dyDescent="0.25">
      <c r="B1462" s="145"/>
      <c r="C1462" s="139"/>
      <c r="D1462" s="146"/>
      <c r="E1462" s="139"/>
      <c r="F1462" s="139"/>
      <c r="G1462" s="139"/>
      <c r="H1462" s="139"/>
      <c r="I1462" s="139"/>
      <c r="J1462" s="139"/>
      <c r="K1462" s="139"/>
      <c r="L1462" s="243"/>
      <c r="M1462" s="243"/>
      <c r="N1462" s="139"/>
      <c r="O1462" s="139"/>
      <c r="P1462" s="139"/>
      <c r="Q1462" s="147"/>
      <c r="R1462" s="139"/>
      <c r="S1462" s="139"/>
      <c r="T1462" s="139"/>
      <c r="U1462" s="139"/>
      <c r="V1462" s="139"/>
      <c r="W1462" s="139"/>
      <c r="X1462" s="146"/>
      <c r="Y1462" s="148"/>
      <c r="Z1462" s="145"/>
      <c r="AA1462" s="139"/>
      <c r="AB1462" s="149"/>
      <c r="AC1462" s="119"/>
      <c r="AD1462" s="139"/>
      <c r="AE1462" s="139"/>
      <c r="AF1462" s="139"/>
      <c r="AG1462" s="139"/>
      <c r="AH1462" s="139"/>
      <c r="AI1462" s="139"/>
      <c r="AJ1462" s="139"/>
      <c r="AK1462" s="139"/>
      <c r="AL1462" s="139"/>
      <c r="AM1462" s="139"/>
      <c r="AN1462" s="139"/>
      <c r="AO1462" s="139"/>
      <c r="AP1462" s="139"/>
      <c r="AQ1462" s="174"/>
      <c r="AR1462" s="222"/>
    </row>
    <row r="1463" spans="2:44" s="22" customFormat="1" ht="18" customHeight="1" x14ac:dyDescent="0.25">
      <c r="B1463" s="145"/>
      <c r="C1463" s="139"/>
      <c r="D1463" s="146"/>
      <c r="E1463" s="139"/>
      <c r="F1463" s="139"/>
      <c r="G1463" s="139"/>
      <c r="H1463" s="139"/>
      <c r="I1463" s="139"/>
      <c r="J1463" s="139"/>
      <c r="K1463" s="139"/>
      <c r="L1463" s="243"/>
      <c r="M1463" s="243"/>
      <c r="N1463" s="139"/>
      <c r="O1463" s="139"/>
      <c r="P1463" s="139"/>
      <c r="Q1463" s="147"/>
      <c r="R1463" s="139"/>
      <c r="S1463" s="139"/>
      <c r="T1463" s="139"/>
      <c r="U1463" s="139"/>
      <c r="V1463" s="139"/>
      <c r="W1463" s="139"/>
      <c r="X1463" s="146"/>
      <c r="Y1463" s="148"/>
      <c r="Z1463" s="145"/>
      <c r="AA1463" s="139"/>
      <c r="AB1463" s="149"/>
      <c r="AC1463" s="119"/>
      <c r="AD1463" s="139"/>
      <c r="AE1463" s="139"/>
      <c r="AF1463" s="139"/>
      <c r="AG1463" s="139"/>
      <c r="AH1463" s="139"/>
      <c r="AI1463" s="139"/>
      <c r="AJ1463" s="139"/>
      <c r="AK1463" s="139"/>
      <c r="AL1463" s="139"/>
      <c r="AM1463" s="139"/>
      <c r="AN1463" s="139"/>
      <c r="AO1463" s="139"/>
      <c r="AP1463" s="139"/>
      <c r="AQ1463" s="174"/>
      <c r="AR1463" s="222"/>
    </row>
    <row r="1464" spans="2:44" s="22" customFormat="1" ht="18" customHeight="1" x14ac:dyDescent="0.25">
      <c r="B1464" s="145"/>
      <c r="C1464" s="139"/>
      <c r="D1464" s="146"/>
      <c r="E1464" s="139"/>
      <c r="F1464" s="139"/>
      <c r="G1464" s="139"/>
      <c r="H1464" s="139"/>
      <c r="I1464" s="139"/>
      <c r="J1464" s="139"/>
      <c r="K1464" s="139"/>
      <c r="L1464" s="243"/>
      <c r="M1464" s="243"/>
      <c r="N1464" s="139"/>
      <c r="O1464" s="139"/>
      <c r="P1464" s="139"/>
      <c r="Q1464" s="147"/>
      <c r="R1464" s="139"/>
      <c r="S1464" s="139"/>
      <c r="T1464" s="139"/>
      <c r="U1464" s="139"/>
      <c r="V1464" s="139"/>
      <c r="W1464" s="139"/>
      <c r="X1464" s="146"/>
      <c r="Y1464" s="148"/>
      <c r="Z1464" s="145"/>
      <c r="AA1464" s="139"/>
      <c r="AB1464" s="149"/>
      <c r="AC1464" s="119"/>
      <c r="AD1464" s="139"/>
      <c r="AE1464" s="139"/>
      <c r="AF1464" s="139"/>
      <c r="AG1464" s="139"/>
      <c r="AH1464" s="139"/>
      <c r="AI1464" s="139"/>
      <c r="AJ1464" s="139"/>
      <c r="AK1464" s="139"/>
      <c r="AL1464" s="139"/>
      <c r="AM1464" s="139"/>
      <c r="AN1464" s="139"/>
      <c r="AO1464" s="139"/>
      <c r="AP1464" s="139"/>
      <c r="AQ1464" s="174"/>
      <c r="AR1464" s="222"/>
    </row>
    <row r="1465" spans="2:44" s="22" customFormat="1" ht="18" customHeight="1" x14ac:dyDescent="0.25">
      <c r="B1465" s="145"/>
      <c r="C1465" s="139"/>
      <c r="D1465" s="146"/>
      <c r="E1465" s="139"/>
      <c r="F1465" s="139"/>
      <c r="G1465" s="139"/>
      <c r="H1465" s="139"/>
      <c r="I1465" s="139"/>
      <c r="J1465" s="139"/>
      <c r="K1465" s="139"/>
      <c r="L1465" s="243"/>
      <c r="M1465" s="243"/>
      <c r="N1465" s="139"/>
      <c r="O1465" s="139"/>
      <c r="P1465" s="139"/>
      <c r="Q1465" s="147"/>
      <c r="R1465" s="139"/>
      <c r="S1465" s="139"/>
      <c r="T1465" s="139"/>
      <c r="U1465" s="139"/>
      <c r="V1465" s="139"/>
      <c r="W1465" s="139"/>
      <c r="X1465" s="146"/>
      <c r="Y1465" s="148"/>
      <c r="Z1465" s="145"/>
      <c r="AA1465" s="139"/>
      <c r="AB1465" s="149"/>
      <c r="AC1465" s="119"/>
      <c r="AD1465" s="139"/>
      <c r="AE1465" s="139"/>
      <c r="AF1465" s="139"/>
      <c r="AG1465" s="139"/>
      <c r="AH1465" s="139"/>
      <c r="AI1465" s="139"/>
      <c r="AJ1465" s="139"/>
      <c r="AK1465" s="139"/>
      <c r="AL1465" s="139"/>
      <c r="AM1465" s="139"/>
      <c r="AN1465" s="139"/>
      <c r="AO1465" s="139"/>
      <c r="AP1465" s="139"/>
      <c r="AQ1465" s="174"/>
      <c r="AR1465" s="222"/>
    </row>
    <row r="1466" spans="2:44" s="22" customFormat="1" ht="18" customHeight="1" x14ac:dyDescent="0.25">
      <c r="B1466" s="145"/>
      <c r="C1466" s="139"/>
      <c r="D1466" s="146"/>
      <c r="E1466" s="139"/>
      <c r="F1466" s="139"/>
      <c r="G1466" s="139"/>
      <c r="H1466" s="139"/>
      <c r="I1466" s="139"/>
      <c r="J1466" s="139"/>
      <c r="K1466" s="139"/>
      <c r="L1466" s="243"/>
      <c r="M1466" s="243"/>
      <c r="N1466" s="139"/>
      <c r="O1466" s="139"/>
      <c r="P1466" s="139"/>
      <c r="Q1466" s="147"/>
      <c r="R1466" s="139"/>
      <c r="S1466" s="139"/>
      <c r="T1466" s="139"/>
      <c r="U1466" s="139"/>
      <c r="V1466" s="139"/>
      <c r="W1466" s="139"/>
      <c r="X1466" s="146"/>
      <c r="Y1466" s="148"/>
      <c r="Z1466" s="145"/>
      <c r="AA1466" s="139"/>
      <c r="AB1466" s="149"/>
      <c r="AC1466" s="119"/>
      <c r="AD1466" s="139"/>
      <c r="AE1466" s="139"/>
      <c r="AF1466" s="139"/>
      <c r="AG1466" s="139"/>
      <c r="AH1466" s="139"/>
      <c r="AI1466" s="139"/>
      <c r="AJ1466" s="139"/>
      <c r="AK1466" s="139"/>
      <c r="AL1466" s="139"/>
      <c r="AM1466" s="139"/>
      <c r="AN1466" s="139"/>
      <c r="AO1466" s="139"/>
      <c r="AP1466" s="139"/>
      <c r="AQ1466" s="174"/>
      <c r="AR1466" s="222"/>
    </row>
    <row r="1467" spans="2:44" s="22" customFormat="1" ht="18" customHeight="1" x14ac:dyDescent="0.25">
      <c r="B1467" s="145"/>
      <c r="C1467" s="139"/>
      <c r="D1467" s="146"/>
      <c r="E1467" s="139"/>
      <c r="F1467" s="139"/>
      <c r="G1467" s="139"/>
      <c r="H1467" s="139"/>
      <c r="I1467" s="139"/>
      <c r="J1467" s="139"/>
      <c r="K1467" s="139"/>
      <c r="L1467" s="243"/>
      <c r="M1467" s="243"/>
      <c r="N1467" s="139"/>
      <c r="O1467" s="139"/>
      <c r="P1467" s="139"/>
      <c r="Q1467" s="147"/>
      <c r="R1467" s="139"/>
      <c r="S1467" s="139"/>
      <c r="T1467" s="139"/>
      <c r="U1467" s="139"/>
      <c r="V1467" s="139"/>
      <c r="W1467" s="139"/>
      <c r="X1467" s="146"/>
      <c r="Y1467" s="148"/>
      <c r="Z1467" s="145"/>
      <c r="AA1467" s="139"/>
      <c r="AB1467" s="149"/>
      <c r="AC1467" s="119"/>
      <c r="AD1467" s="139"/>
      <c r="AE1467" s="139"/>
      <c r="AF1467" s="139"/>
      <c r="AG1467" s="139"/>
      <c r="AH1467" s="139"/>
      <c r="AI1467" s="139"/>
      <c r="AJ1467" s="139"/>
      <c r="AK1467" s="139"/>
      <c r="AL1467" s="139"/>
      <c r="AM1467" s="139"/>
      <c r="AN1467" s="139"/>
      <c r="AO1467" s="139"/>
      <c r="AP1467" s="139"/>
      <c r="AQ1467" s="174"/>
      <c r="AR1467" s="222"/>
    </row>
    <row r="1468" spans="2:44" s="22" customFormat="1" ht="18" customHeight="1" x14ac:dyDescent="0.25">
      <c r="B1468" s="145"/>
      <c r="C1468" s="139"/>
      <c r="D1468" s="146"/>
      <c r="E1468" s="139"/>
      <c r="F1468" s="139"/>
      <c r="G1468" s="139"/>
      <c r="H1468" s="139"/>
      <c r="I1468" s="139"/>
      <c r="J1468" s="139"/>
      <c r="K1468" s="139"/>
      <c r="L1468" s="243"/>
      <c r="M1468" s="243"/>
      <c r="N1468" s="139"/>
      <c r="O1468" s="139"/>
      <c r="P1468" s="139"/>
      <c r="Q1468" s="147"/>
      <c r="R1468" s="139"/>
      <c r="S1468" s="139"/>
      <c r="T1468" s="139"/>
      <c r="U1468" s="139"/>
      <c r="V1468" s="139"/>
      <c r="W1468" s="139"/>
      <c r="X1468" s="146"/>
      <c r="Y1468" s="148"/>
      <c r="Z1468" s="145"/>
      <c r="AA1468" s="139"/>
      <c r="AB1468" s="149"/>
      <c r="AC1468" s="119"/>
      <c r="AD1468" s="139"/>
      <c r="AE1468" s="139"/>
      <c r="AF1468" s="139"/>
      <c r="AG1468" s="139"/>
      <c r="AH1468" s="139"/>
      <c r="AI1468" s="139"/>
      <c r="AJ1468" s="139"/>
      <c r="AK1468" s="139"/>
      <c r="AL1468" s="139"/>
      <c r="AM1468" s="139"/>
      <c r="AN1468" s="139"/>
      <c r="AO1468" s="139"/>
      <c r="AP1468" s="139"/>
      <c r="AQ1468" s="174"/>
      <c r="AR1468" s="222"/>
    </row>
    <row r="1469" spans="2:44" s="22" customFormat="1" ht="18" customHeight="1" x14ac:dyDescent="0.25">
      <c r="B1469" s="145"/>
      <c r="C1469" s="139"/>
      <c r="D1469" s="146"/>
      <c r="E1469" s="139"/>
      <c r="F1469" s="139"/>
      <c r="G1469" s="139"/>
      <c r="H1469" s="139"/>
      <c r="I1469" s="139"/>
      <c r="J1469" s="139"/>
      <c r="K1469" s="139"/>
      <c r="L1469" s="243"/>
      <c r="M1469" s="243"/>
      <c r="N1469" s="139"/>
      <c r="O1469" s="139"/>
      <c r="P1469" s="139"/>
      <c r="Q1469" s="147"/>
      <c r="R1469" s="139"/>
      <c r="S1469" s="139"/>
      <c r="T1469" s="139"/>
      <c r="U1469" s="139"/>
      <c r="V1469" s="139"/>
      <c r="W1469" s="139"/>
      <c r="X1469" s="146"/>
      <c r="Y1469" s="148"/>
      <c r="Z1469" s="145"/>
      <c r="AA1469" s="139"/>
      <c r="AB1469" s="149"/>
      <c r="AC1469" s="119"/>
      <c r="AD1469" s="139"/>
      <c r="AE1469" s="139"/>
      <c r="AF1469" s="139"/>
      <c r="AG1469" s="139"/>
      <c r="AH1469" s="139"/>
      <c r="AI1469" s="139"/>
      <c r="AJ1469" s="139"/>
      <c r="AK1469" s="139"/>
      <c r="AL1469" s="139"/>
      <c r="AM1469" s="139"/>
      <c r="AN1469" s="139"/>
      <c r="AO1469" s="139"/>
      <c r="AP1469" s="139"/>
      <c r="AQ1469" s="174"/>
      <c r="AR1469" s="222"/>
    </row>
    <row r="1470" spans="2:44" s="141" customFormat="1" ht="18" customHeight="1" x14ac:dyDescent="0.25">
      <c r="B1470" s="145"/>
      <c r="C1470" s="139"/>
      <c r="D1470" s="146"/>
      <c r="E1470" s="139"/>
      <c r="F1470" s="139"/>
      <c r="G1470" s="139"/>
      <c r="H1470" s="139"/>
      <c r="I1470" s="139"/>
      <c r="J1470" s="139"/>
      <c r="K1470" s="139"/>
      <c r="L1470" s="243"/>
      <c r="M1470" s="243"/>
      <c r="N1470" s="139"/>
      <c r="O1470" s="139"/>
      <c r="P1470" s="139"/>
      <c r="Q1470" s="147"/>
      <c r="R1470" s="139"/>
      <c r="S1470" s="139"/>
      <c r="T1470" s="139"/>
      <c r="U1470" s="139"/>
      <c r="V1470" s="139"/>
      <c r="W1470" s="139"/>
      <c r="X1470" s="146"/>
      <c r="Y1470" s="148"/>
      <c r="Z1470" s="145"/>
      <c r="AA1470" s="139"/>
      <c r="AB1470" s="149"/>
      <c r="AC1470" s="119"/>
      <c r="AD1470" s="139"/>
      <c r="AE1470" s="139"/>
      <c r="AF1470" s="139"/>
      <c r="AG1470" s="139"/>
      <c r="AH1470" s="139"/>
      <c r="AI1470" s="139"/>
      <c r="AJ1470" s="139"/>
      <c r="AK1470" s="139"/>
      <c r="AL1470" s="139"/>
      <c r="AM1470" s="139"/>
      <c r="AN1470" s="139"/>
      <c r="AO1470" s="139"/>
      <c r="AP1470" s="139"/>
      <c r="AQ1470" s="174"/>
      <c r="AR1470" s="222"/>
    </row>
    <row r="1471" spans="2:44" s="22" customFormat="1" ht="18" customHeight="1" x14ac:dyDescent="0.25">
      <c r="B1471" s="145"/>
      <c r="C1471" s="139"/>
      <c r="D1471" s="146"/>
      <c r="E1471" s="139"/>
      <c r="F1471" s="139"/>
      <c r="G1471" s="139"/>
      <c r="H1471" s="139"/>
      <c r="I1471" s="139"/>
      <c r="J1471" s="139"/>
      <c r="K1471" s="139"/>
      <c r="L1471" s="243"/>
      <c r="M1471" s="243"/>
      <c r="N1471" s="139"/>
      <c r="O1471" s="139"/>
      <c r="P1471" s="139"/>
      <c r="Q1471" s="147"/>
      <c r="R1471" s="139"/>
      <c r="S1471" s="139"/>
      <c r="T1471" s="139"/>
      <c r="U1471" s="139"/>
      <c r="V1471" s="139"/>
      <c r="W1471" s="139"/>
      <c r="X1471" s="146"/>
      <c r="Y1471" s="148"/>
      <c r="Z1471" s="145"/>
      <c r="AA1471" s="139"/>
      <c r="AB1471" s="149"/>
      <c r="AC1471" s="119"/>
      <c r="AD1471" s="139"/>
      <c r="AE1471" s="139"/>
      <c r="AF1471" s="139"/>
      <c r="AG1471" s="139"/>
      <c r="AH1471" s="139"/>
      <c r="AI1471" s="139"/>
      <c r="AJ1471" s="139"/>
      <c r="AK1471" s="139"/>
      <c r="AL1471" s="139"/>
      <c r="AM1471" s="139"/>
      <c r="AN1471" s="139"/>
      <c r="AO1471" s="139"/>
      <c r="AP1471" s="139"/>
      <c r="AQ1471" s="174"/>
      <c r="AR1471" s="222"/>
    </row>
    <row r="1472" spans="2:44" s="22" customFormat="1" ht="18" customHeight="1" x14ac:dyDescent="0.25">
      <c r="B1472" s="145"/>
      <c r="C1472" s="139"/>
      <c r="D1472" s="146"/>
      <c r="E1472" s="139"/>
      <c r="F1472" s="139"/>
      <c r="G1472" s="139"/>
      <c r="H1472" s="139"/>
      <c r="I1472" s="139"/>
      <c r="J1472" s="139"/>
      <c r="K1472" s="139"/>
      <c r="L1472" s="243"/>
      <c r="M1472" s="243"/>
      <c r="N1472" s="139"/>
      <c r="O1472" s="139"/>
      <c r="P1472" s="139"/>
      <c r="Q1472" s="147"/>
      <c r="R1472" s="139"/>
      <c r="S1472" s="139"/>
      <c r="T1472" s="139"/>
      <c r="U1472" s="139"/>
      <c r="V1472" s="139"/>
      <c r="W1472" s="139"/>
      <c r="X1472" s="146"/>
      <c r="Y1472" s="148"/>
      <c r="Z1472" s="145"/>
      <c r="AA1472" s="139"/>
      <c r="AB1472" s="149"/>
      <c r="AC1472" s="119"/>
      <c r="AD1472" s="139"/>
      <c r="AE1472" s="139"/>
      <c r="AF1472" s="139"/>
      <c r="AG1472" s="139"/>
      <c r="AH1472" s="139"/>
      <c r="AI1472" s="139"/>
      <c r="AJ1472" s="139"/>
      <c r="AK1472" s="139"/>
      <c r="AL1472" s="139"/>
      <c r="AM1472" s="139"/>
      <c r="AN1472" s="139"/>
      <c r="AO1472" s="139"/>
      <c r="AP1472" s="139"/>
      <c r="AQ1472" s="174"/>
      <c r="AR1472" s="222"/>
    </row>
    <row r="1473" spans="2:44" s="22" customFormat="1" ht="18" customHeight="1" x14ac:dyDescent="0.25">
      <c r="B1473" s="145"/>
      <c r="C1473" s="139"/>
      <c r="D1473" s="146"/>
      <c r="E1473" s="139"/>
      <c r="F1473" s="139"/>
      <c r="G1473" s="139"/>
      <c r="H1473" s="139"/>
      <c r="I1473" s="139"/>
      <c r="J1473" s="139"/>
      <c r="K1473" s="139"/>
      <c r="L1473" s="243"/>
      <c r="M1473" s="243"/>
      <c r="N1473" s="139"/>
      <c r="O1473" s="139"/>
      <c r="P1473" s="139"/>
      <c r="Q1473" s="147"/>
      <c r="R1473" s="139"/>
      <c r="S1473" s="139"/>
      <c r="T1473" s="139"/>
      <c r="U1473" s="139"/>
      <c r="V1473" s="139"/>
      <c r="W1473" s="139"/>
      <c r="X1473" s="146"/>
      <c r="Y1473" s="148"/>
      <c r="Z1473" s="145"/>
      <c r="AA1473" s="139"/>
      <c r="AB1473" s="149"/>
      <c r="AC1473" s="119"/>
      <c r="AD1473" s="139"/>
      <c r="AE1473" s="139"/>
      <c r="AF1473" s="139"/>
      <c r="AG1473" s="139"/>
      <c r="AH1473" s="139"/>
      <c r="AI1473" s="139"/>
      <c r="AJ1473" s="139"/>
      <c r="AK1473" s="139"/>
      <c r="AL1473" s="139"/>
      <c r="AM1473" s="139"/>
      <c r="AN1473" s="139"/>
      <c r="AO1473" s="139"/>
      <c r="AP1473" s="139"/>
      <c r="AQ1473" s="174"/>
      <c r="AR1473" s="222"/>
    </row>
    <row r="1474" spans="2:44" s="22" customFormat="1" ht="18" customHeight="1" x14ac:dyDescent="0.25">
      <c r="B1474" s="145"/>
      <c r="C1474" s="139"/>
      <c r="D1474" s="146"/>
      <c r="E1474" s="139"/>
      <c r="F1474" s="139"/>
      <c r="G1474" s="139"/>
      <c r="H1474" s="139"/>
      <c r="I1474" s="139"/>
      <c r="J1474" s="139"/>
      <c r="K1474" s="139"/>
      <c r="L1474" s="243"/>
      <c r="M1474" s="243"/>
      <c r="N1474" s="139"/>
      <c r="O1474" s="139"/>
      <c r="P1474" s="139"/>
      <c r="Q1474" s="147"/>
      <c r="R1474" s="139"/>
      <c r="S1474" s="139"/>
      <c r="T1474" s="139"/>
      <c r="U1474" s="139"/>
      <c r="V1474" s="139"/>
      <c r="W1474" s="139"/>
      <c r="X1474" s="146"/>
      <c r="Y1474" s="148"/>
      <c r="Z1474" s="145"/>
      <c r="AA1474" s="139"/>
      <c r="AB1474" s="149"/>
      <c r="AC1474" s="119"/>
      <c r="AD1474" s="139"/>
      <c r="AE1474" s="139"/>
      <c r="AF1474" s="139"/>
      <c r="AG1474" s="139"/>
      <c r="AH1474" s="139"/>
      <c r="AI1474" s="139"/>
      <c r="AJ1474" s="139"/>
      <c r="AK1474" s="139"/>
      <c r="AL1474" s="139"/>
      <c r="AM1474" s="139"/>
      <c r="AN1474" s="139"/>
      <c r="AO1474" s="139"/>
      <c r="AP1474" s="139"/>
      <c r="AQ1474" s="174"/>
      <c r="AR1474" s="222"/>
    </row>
    <row r="1475" spans="2:44" s="22" customFormat="1" ht="18" customHeight="1" x14ac:dyDescent="0.25">
      <c r="B1475" s="145"/>
      <c r="C1475" s="139"/>
      <c r="D1475" s="146"/>
      <c r="E1475" s="139"/>
      <c r="F1475" s="139"/>
      <c r="G1475" s="139"/>
      <c r="H1475" s="139"/>
      <c r="I1475" s="139"/>
      <c r="J1475" s="139"/>
      <c r="K1475" s="139"/>
      <c r="L1475" s="243"/>
      <c r="M1475" s="243"/>
      <c r="N1475" s="139"/>
      <c r="O1475" s="139"/>
      <c r="P1475" s="139"/>
      <c r="Q1475" s="147"/>
      <c r="R1475" s="139"/>
      <c r="S1475" s="139"/>
      <c r="T1475" s="139"/>
      <c r="U1475" s="139"/>
      <c r="V1475" s="139"/>
      <c r="W1475" s="139"/>
      <c r="X1475" s="146"/>
      <c r="Y1475" s="148"/>
      <c r="Z1475" s="145"/>
      <c r="AA1475" s="139"/>
      <c r="AB1475" s="149"/>
      <c r="AC1475" s="119"/>
      <c r="AD1475" s="139"/>
      <c r="AE1475" s="139"/>
      <c r="AF1475" s="139"/>
      <c r="AG1475" s="139"/>
      <c r="AH1475" s="139"/>
      <c r="AI1475" s="139"/>
      <c r="AJ1475" s="139"/>
      <c r="AK1475" s="139"/>
      <c r="AL1475" s="139"/>
      <c r="AM1475" s="139"/>
      <c r="AN1475" s="139"/>
      <c r="AO1475" s="139"/>
      <c r="AP1475" s="139"/>
      <c r="AQ1475" s="174"/>
      <c r="AR1475" s="222"/>
    </row>
    <row r="1476" spans="2:44" s="22" customFormat="1" ht="18" customHeight="1" x14ac:dyDescent="0.25">
      <c r="B1476" s="145"/>
      <c r="C1476" s="139"/>
      <c r="D1476" s="146"/>
      <c r="E1476" s="139"/>
      <c r="F1476" s="139"/>
      <c r="G1476" s="139"/>
      <c r="H1476" s="139"/>
      <c r="I1476" s="139"/>
      <c r="J1476" s="139"/>
      <c r="K1476" s="139"/>
      <c r="L1476" s="243"/>
      <c r="M1476" s="243"/>
      <c r="N1476" s="139"/>
      <c r="O1476" s="139"/>
      <c r="P1476" s="139"/>
      <c r="Q1476" s="147"/>
      <c r="R1476" s="139"/>
      <c r="S1476" s="139"/>
      <c r="T1476" s="139"/>
      <c r="U1476" s="139"/>
      <c r="V1476" s="139"/>
      <c r="W1476" s="139"/>
      <c r="X1476" s="146"/>
      <c r="Y1476" s="148"/>
      <c r="Z1476" s="145"/>
      <c r="AA1476" s="139"/>
      <c r="AB1476" s="149"/>
      <c r="AC1476" s="119"/>
      <c r="AD1476" s="139"/>
      <c r="AE1476" s="139"/>
      <c r="AF1476" s="139"/>
      <c r="AG1476" s="139"/>
      <c r="AH1476" s="139"/>
      <c r="AI1476" s="139"/>
      <c r="AJ1476" s="139"/>
      <c r="AK1476" s="139"/>
      <c r="AL1476" s="139"/>
      <c r="AM1476" s="139"/>
      <c r="AN1476" s="139"/>
      <c r="AO1476" s="139"/>
      <c r="AP1476" s="139"/>
      <c r="AQ1476" s="174"/>
      <c r="AR1476" s="222"/>
    </row>
    <row r="1477" spans="2:44" s="141" customFormat="1" ht="18" customHeight="1" x14ac:dyDescent="0.25">
      <c r="B1477" s="145"/>
      <c r="C1477" s="139"/>
      <c r="D1477" s="146"/>
      <c r="E1477" s="139"/>
      <c r="F1477" s="139"/>
      <c r="G1477" s="139"/>
      <c r="H1477" s="139"/>
      <c r="I1477" s="139"/>
      <c r="J1477" s="139"/>
      <c r="K1477" s="139"/>
      <c r="L1477" s="243"/>
      <c r="M1477" s="243"/>
      <c r="N1477" s="139"/>
      <c r="O1477" s="139"/>
      <c r="P1477" s="139"/>
      <c r="Q1477" s="147"/>
      <c r="R1477" s="139"/>
      <c r="S1477" s="139"/>
      <c r="T1477" s="139"/>
      <c r="U1477" s="139"/>
      <c r="V1477" s="139"/>
      <c r="W1477" s="139"/>
      <c r="X1477" s="146"/>
      <c r="Y1477" s="148"/>
      <c r="Z1477" s="145"/>
      <c r="AA1477" s="139"/>
      <c r="AB1477" s="149"/>
      <c r="AC1477" s="119"/>
      <c r="AD1477" s="139"/>
      <c r="AE1477" s="139"/>
      <c r="AF1477" s="139"/>
      <c r="AG1477" s="139"/>
      <c r="AH1477" s="139"/>
      <c r="AI1477" s="139"/>
      <c r="AJ1477" s="139"/>
      <c r="AK1477" s="139"/>
      <c r="AL1477" s="139"/>
      <c r="AM1477" s="139"/>
      <c r="AN1477" s="139"/>
      <c r="AO1477" s="139"/>
      <c r="AP1477" s="139"/>
      <c r="AQ1477" s="174"/>
      <c r="AR1477" s="222"/>
    </row>
    <row r="1478" spans="2:44" s="22" customFormat="1" ht="18" customHeight="1" x14ac:dyDescent="0.25">
      <c r="B1478" s="145"/>
      <c r="C1478" s="139"/>
      <c r="D1478" s="146"/>
      <c r="E1478" s="139"/>
      <c r="F1478" s="139"/>
      <c r="G1478" s="139"/>
      <c r="H1478" s="139"/>
      <c r="I1478" s="139"/>
      <c r="J1478" s="139"/>
      <c r="K1478" s="139"/>
      <c r="L1478" s="243"/>
      <c r="M1478" s="243"/>
      <c r="N1478" s="139"/>
      <c r="O1478" s="139"/>
      <c r="P1478" s="139"/>
      <c r="Q1478" s="147"/>
      <c r="R1478" s="139"/>
      <c r="S1478" s="139"/>
      <c r="T1478" s="139"/>
      <c r="U1478" s="139"/>
      <c r="V1478" s="139"/>
      <c r="W1478" s="139"/>
      <c r="X1478" s="146"/>
      <c r="Y1478" s="148"/>
      <c r="Z1478" s="145"/>
      <c r="AA1478" s="139"/>
      <c r="AB1478" s="149"/>
      <c r="AC1478" s="119"/>
      <c r="AD1478" s="139"/>
      <c r="AE1478" s="139"/>
      <c r="AF1478" s="139"/>
      <c r="AG1478" s="139"/>
      <c r="AH1478" s="139"/>
      <c r="AI1478" s="139"/>
      <c r="AJ1478" s="139"/>
      <c r="AK1478" s="139"/>
      <c r="AL1478" s="139"/>
      <c r="AM1478" s="139"/>
      <c r="AN1478" s="139"/>
      <c r="AO1478" s="139"/>
      <c r="AP1478" s="139"/>
      <c r="AQ1478" s="174"/>
      <c r="AR1478" s="222"/>
    </row>
    <row r="1479" spans="2:44" s="22" customFormat="1" ht="18" customHeight="1" x14ac:dyDescent="0.25">
      <c r="B1479" s="145"/>
      <c r="C1479" s="139"/>
      <c r="D1479" s="146"/>
      <c r="E1479" s="139"/>
      <c r="F1479" s="139"/>
      <c r="G1479" s="139"/>
      <c r="H1479" s="139"/>
      <c r="I1479" s="139"/>
      <c r="J1479" s="139"/>
      <c r="K1479" s="139"/>
      <c r="L1479" s="243"/>
      <c r="M1479" s="243"/>
      <c r="N1479" s="139"/>
      <c r="O1479" s="139"/>
      <c r="P1479" s="139"/>
      <c r="Q1479" s="147"/>
      <c r="R1479" s="139"/>
      <c r="S1479" s="139"/>
      <c r="T1479" s="139"/>
      <c r="U1479" s="139"/>
      <c r="V1479" s="139"/>
      <c r="W1479" s="139"/>
      <c r="X1479" s="146"/>
      <c r="Y1479" s="148"/>
      <c r="Z1479" s="145"/>
      <c r="AA1479" s="139"/>
      <c r="AB1479" s="149"/>
      <c r="AC1479" s="119"/>
      <c r="AD1479" s="139"/>
      <c r="AE1479" s="139"/>
      <c r="AF1479" s="139"/>
      <c r="AG1479" s="139"/>
      <c r="AH1479" s="139"/>
      <c r="AI1479" s="139"/>
      <c r="AJ1479" s="139"/>
      <c r="AK1479" s="139"/>
      <c r="AL1479" s="139"/>
      <c r="AM1479" s="139"/>
      <c r="AN1479" s="139"/>
      <c r="AO1479" s="139"/>
      <c r="AP1479" s="139"/>
      <c r="AQ1479" s="174"/>
      <c r="AR1479" s="222"/>
    </row>
    <row r="1480" spans="2:44" s="22" customFormat="1" ht="18" customHeight="1" x14ac:dyDescent="0.25">
      <c r="B1480" s="145"/>
      <c r="C1480" s="139"/>
      <c r="D1480" s="146"/>
      <c r="E1480" s="139"/>
      <c r="F1480" s="139"/>
      <c r="G1480" s="139"/>
      <c r="H1480" s="139"/>
      <c r="I1480" s="139"/>
      <c r="J1480" s="139"/>
      <c r="K1480" s="139"/>
      <c r="L1480" s="243"/>
      <c r="M1480" s="243"/>
      <c r="N1480" s="139"/>
      <c r="O1480" s="139"/>
      <c r="P1480" s="139"/>
      <c r="Q1480" s="147"/>
      <c r="R1480" s="139"/>
      <c r="S1480" s="139"/>
      <c r="T1480" s="139"/>
      <c r="U1480" s="139"/>
      <c r="V1480" s="139"/>
      <c r="W1480" s="139"/>
      <c r="X1480" s="146"/>
      <c r="Y1480" s="148"/>
      <c r="Z1480" s="145"/>
      <c r="AA1480" s="139"/>
      <c r="AB1480" s="149"/>
      <c r="AC1480" s="119"/>
      <c r="AD1480" s="139"/>
      <c r="AE1480" s="139"/>
      <c r="AF1480" s="139"/>
      <c r="AG1480" s="139"/>
      <c r="AH1480" s="139"/>
      <c r="AI1480" s="139"/>
      <c r="AJ1480" s="139"/>
      <c r="AK1480" s="139"/>
      <c r="AL1480" s="139"/>
      <c r="AM1480" s="139"/>
      <c r="AN1480" s="139"/>
      <c r="AO1480" s="139"/>
      <c r="AP1480" s="139"/>
      <c r="AQ1480" s="174"/>
      <c r="AR1480" s="222"/>
    </row>
    <row r="1481" spans="2:44" s="22" customFormat="1" ht="18" customHeight="1" x14ac:dyDescent="0.25">
      <c r="B1481" s="145"/>
      <c r="C1481" s="139"/>
      <c r="D1481" s="146"/>
      <c r="E1481" s="139"/>
      <c r="F1481" s="139"/>
      <c r="G1481" s="139"/>
      <c r="H1481" s="139"/>
      <c r="I1481" s="139"/>
      <c r="J1481" s="139"/>
      <c r="K1481" s="139"/>
      <c r="L1481" s="243"/>
      <c r="M1481" s="243"/>
      <c r="N1481" s="139"/>
      <c r="O1481" s="139"/>
      <c r="P1481" s="139"/>
      <c r="Q1481" s="147"/>
      <c r="R1481" s="139"/>
      <c r="S1481" s="139"/>
      <c r="T1481" s="139"/>
      <c r="U1481" s="139"/>
      <c r="V1481" s="139"/>
      <c r="W1481" s="139"/>
      <c r="X1481" s="146"/>
      <c r="Y1481" s="148"/>
      <c r="Z1481" s="145"/>
      <c r="AA1481" s="139"/>
      <c r="AB1481" s="149"/>
      <c r="AC1481" s="119"/>
      <c r="AD1481" s="139"/>
      <c r="AE1481" s="139"/>
      <c r="AF1481" s="139"/>
      <c r="AG1481" s="139"/>
      <c r="AH1481" s="139"/>
      <c r="AI1481" s="139"/>
      <c r="AJ1481" s="139"/>
      <c r="AK1481" s="139"/>
      <c r="AL1481" s="139"/>
      <c r="AM1481" s="139"/>
      <c r="AN1481" s="139"/>
      <c r="AO1481" s="139"/>
      <c r="AP1481" s="139"/>
      <c r="AQ1481" s="174"/>
      <c r="AR1481" s="222"/>
    </row>
    <row r="1482" spans="2:44" s="22" customFormat="1" ht="18" customHeight="1" x14ac:dyDescent="0.25">
      <c r="B1482" s="145"/>
      <c r="C1482" s="139"/>
      <c r="D1482" s="146"/>
      <c r="E1482" s="139"/>
      <c r="F1482" s="139"/>
      <c r="G1482" s="139"/>
      <c r="H1482" s="139"/>
      <c r="I1482" s="139"/>
      <c r="J1482" s="139"/>
      <c r="K1482" s="139"/>
      <c r="L1482" s="243"/>
      <c r="M1482" s="243"/>
      <c r="N1482" s="139"/>
      <c r="O1482" s="139"/>
      <c r="P1482" s="139"/>
      <c r="Q1482" s="147"/>
      <c r="R1482" s="139"/>
      <c r="S1482" s="139"/>
      <c r="T1482" s="139"/>
      <c r="U1482" s="139"/>
      <c r="V1482" s="139"/>
      <c r="W1482" s="139"/>
      <c r="X1482" s="146"/>
      <c r="Y1482" s="148"/>
      <c r="Z1482" s="145"/>
      <c r="AA1482" s="139"/>
      <c r="AB1482" s="149"/>
      <c r="AC1482" s="119"/>
      <c r="AD1482" s="139"/>
      <c r="AE1482" s="139"/>
      <c r="AF1482" s="139"/>
      <c r="AG1482" s="139"/>
      <c r="AH1482" s="139"/>
      <c r="AI1482" s="139"/>
      <c r="AJ1482" s="139"/>
      <c r="AK1482" s="139"/>
      <c r="AL1482" s="139"/>
      <c r="AM1482" s="139"/>
      <c r="AN1482" s="139"/>
      <c r="AO1482" s="139"/>
      <c r="AP1482" s="139"/>
      <c r="AQ1482" s="174"/>
      <c r="AR1482" s="222"/>
    </row>
    <row r="1483" spans="2:44" s="22" customFormat="1" ht="18" customHeight="1" x14ac:dyDescent="0.25">
      <c r="B1483" s="145"/>
      <c r="C1483" s="139"/>
      <c r="D1483" s="146"/>
      <c r="E1483" s="139"/>
      <c r="F1483" s="139"/>
      <c r="G1483" s="139"/>
      <c r="H1483" s="139"/>
      <c r="I1483" s="139"/>
      <c r="J1483" s="139"/>
      <c r="K1483" s="139"/>
      <c r="L1483" s="243"/>
      <c r="M1483" s="243"/>
      <c r="N1483" s="139"/>
      <c r="O1483" s="139"/>
      <c r="P1483" s="139"/>
      <c r="Q1483" s="147"/>
      <c r="R1483" s="139"/>
      <c r="S1483" s="139"/>
      <c r="T1483" s="139"/>
      <c r="U1483" s="139"/>
      <c r="V1483" s="139"/>
      <c r="W1483" s="139"/>
      <c r="X1483" s="146"/>
      <c r="Y1483" s="148"/>
      <c r="Z1483" s="145"/>
      <c r="AA1483" s="139"/>
      <c r="AB1483" s="149"/>
      <c r="AC1483" s="119"/>
      <c r="AD1483" s="139"/>
      <c r="AE1483" s="139"/>
      <c r="AF1483" s="139"/>
      <c r="AG1483" s="139"/>
      <c r="AH1483" s="139"/>
      <c r="AI1483" s="139"/>
      <c r="AJ1483" s="139"/>
      <c r="AK1483" s="139"/>
      <c r="AL1483" s="139"/>
      <c r="AM1483" s="139"/>
      <c r="AN1483" s="139"/>
      <c r="AO1483" s="139"/>
      <c r="AP1483" s="139"/>
      <c r="AQ1483" s="174"/>
      <c r="AR1483" s="222"/>
    </row>
    <row r="1484" spans="2:44" s="22" customFormat="1" ht="18" customHeight="1" x14ac:dyDescent="0.25">
      <c r="B1484" s="145"/>
      <c r="C1484" s="139"/>
      <c r="D1484" s="146"/>
      <c r="E1484" s="139"/>
      <c r="F1484" s="139"/>
      <c r="G1484" s="139"/>
      <c r="H1484" s="139"/>
      <c r="I1484" s="139"/>
      <c r="J1484" s="139"/>
      <c r="K1484" s="139"/>
      <c r="L1484" s="243"/>
      <c r="M1484" s="243"/>
      <c r="N1484" s="139"/>
      <c r="O1484" s="139"/>
      <c r="P1484" s="139"/>
      <c r="Q1484" s="147"/>
      <c r="R1484" s="139"/>
      <c r="S1484" s="139"/>
      <c r="T1484" s="139"/>
      <c r="U1484" s="139"/>
      <c r="V1484" s="139"/>
      <c r="W1484" s="139"/>
      <c r="X1484" s="146"/>
      <c r="Y1484" s="148"/>
      <c r="Z1484" s="145"/>
      <c r="AA1484" s="139"/>
      <c r="AB1484" s="149"/>
      <c r="AC1484" s="119"/>
      <c r="AD1484" s="139"/>
      <c r="AE1484" s="139"/>
      <c r="AF1484" s="139"/>
      <c r="AG1484" s="139"/>
      <c r="AH1484" s="139"/>
      <c r="AI1484" s="139"/>
      <c r="AJ1484" s="139"/>
      <c r="AK1484" s="139"/>
      <c r="AL1484" s="139"/>
      <c r="AM1484" s="139"/>
      <c r="AN1484" s="139"/>
      <c r="AO1484" s="139"/>
      <c r="AP1484" s="139"/>
      <c r="AQ1484" s="174"/>
      <c r="AR1484" s="222"/>
    </row>
    <row r="1485" spans="2:44" s="22" customFormat="1" ht="18" customHeight="1" x14ac:dyDescent="0.25">
      <c r="B1485" s="145"/>
      <c r="C1485" s="139"/>
      <c r="D1485" s="146"/>
      <c r="E1485" s="139"/>
      <c r="F1485" s="139"/>
      <c r="G1485" s="139"/>
      <c r="H1485" s="139"/>
      <c r="I1485" s="139"/>
      <c r="J1485" s="139"/>
      <c r="K1485" s="139"/>
      <c r="L1485" s="243"/>
      <c r="M1485" s="243"/>
      <c r="N1485" s="139"/>
      <c r="O1485" s="139"/>
      <c r="P1485" s="139"/>
      <c r="Q1485" s="147"/>
      <c r="R1485" s="139"/>
      <c r="S1485" s="139"/>
      <c r="T1485" s="139"/>
      <c r="U1485" s="139"/>
      <c r="V1485" s="139"/>
      <c r="W1485" s="139"/>
      <c r="X1485" s="146"/>
      <c r="Y1485" s="148"/>
      <c r="Z1485" s="145"/>
      <c r="AA1485" s="139"/>
      <c r="AB1485" s="149"/>
      <c r="AC1485" s="119"/>
      <c r="AD1485" s="139"/>
      <c r="AE1485" s="139"/>
      <c r="AF1485" s="139"/>
      <c r="AG1485" s="139"/>
      <c r="AH1485" s="139"/>
      <c r="AI1485" s="139"/>
      <c r="AJ1485" s="139"/>
      <c r="AK1485" s="139"/>
      <c r="AL1485" s="139"/>
      <c r="AM1485" s="139"/>
      <c r="AN1485" s="139"/>
      <c r="AO1485" s="139"/>
      <c r="AP1485" s="139"/>
      <c r="AQ1485" s="174"/>
      <c r="AR1485" s="222"/>
    </row>
    <row r="1486" spans="2:44" s="22" customFormat="1" ht="18" customHeight="1" x14ac:dyDescent="0.25">
      <c r="B1486" s="145"/>
      <c r="C1486" s="139"/>
      <c r="D1486" s="146"/>
      <c r="E1486" s="139"/>
      <c r="F1486" s="139"/>
      <c r="G1486" s="139"/>
      <c r="H1486" s="139"/>
      <c r="I1486" s="139"/>
      <c r="J1486" s="139"/>
      <c r="K1486" s="139"/>
      <c r="L1486" s="243"/>
      <c r="M1486" s="243"/>
      <c r="N1486" s="139"/>
      <c r="O1486" s="139"/>
      <c r="P1486" s="139"/>
      <c r="Q1486" s="147"/>
      <c r="R1486" s="139"/>
      <c r="S1486" s="139"/>
      <c r="T1486" s="139"/>
      <c r="U1486" s="139"/>
      <c r="V1486" s="139"/>
      <c r="W1486" s="139"/>
      <c r="X1486" s="146"/>
      <c r="Y1486" s="148"/>
      <c r="Z1486" s="145"/>
      <c r="AA1486" s="139"/>
      <c r="AB1486" s="149"/>
      <c r="AC1486" s="119"/>
      <c r="AD1486" s="139"/>
      <c r="AE1486" s="139"/>
      <c r="AF1486" s="139"/>
      <c r="AG1486" s="139"/>
      <c r="AH1486" s="139"/>
      <c r="AI1486" s="139"/>
      <c r="AJ1486" s="139"/>
      <c r="AK1486" s="139"/>
      <c r="AL1486" s="139"/>
      <c r="AM1486" s="139"/>
      <c r="AN1486" s="139"/>
      <c r="AO1486" s="139"/>
      <c r="AP1486" s="139"/>
      <c r="AQ1486" s="174"/>
      <c r="AR1486" s="222"/>
    </row>
    <row r="1487" spans="2:44" s="22" customFormat="1" ht="18" customHeight="1" x14ac:dyDescent="0.25">
      <c r="B1487" s="145"/>
      <c r="C1487" s="139"/>
      <c r="D1487" s="146"/>
      <c r="E1487" s="139"/>
      <c r="F1487" s="139"/>
      <c r="G1487" s="139"/>
      <c r="H1487" s="139"/>
      <c r="I1487" s="139"/>
      <c r="J1487" s="139"/>
      <c r="K1487" s="139"/>
      <c r="L1487" s="243"/>
      <c r="M1487" s="243"/>
      <c r="N1487" s="139"/>
      <c r="O1487" s="139"/>
      <c r="P1487" s="139"/>
      <c r="Q1487" s="147"/>
      <c r="R1487" s="139"/>
      <c r="S1487" s="139"/>
      <c r="T1487" s="139"/>
      <c r="U1487" s="139"/>
      <c r="V1487" s="139"/>
      <c r="W1487" s="139"/>
      <c r="X1487" s="146"/>
      <c r="Y1487" s="148"/>
      <c r="Z1487" s="145"/>
      <c r="AA1487" s="139"/>
      <c r="AB1487" s="149"/>
      <c r="AC1487" s="119"/>
      <c r="AD1487" s="139"/>
      <c r="AE1487" s="139"/>
      <c r="AF1487" s="139"/>
      <c r="AG1487" s="139"/>
      <c r="AH1487" s="139"/>
      <c r="AI1487" s="139"/>
      <c r="AJ1487" s="139"/>
      <c r="AK1487" s="139"/>
      <c r="AL1487" s="139"/>
      <c r="AM1487" s="139"/>
      <c r="AN1487" s="139"/>
      <c r="AO1487" s="139"/>
      <c r="AP1487" s="139"/>
      <c r="AQ1487" s="174"/>
      <c r="AR1487" s="222"/>
    </row>
    <row r="1488" spans="2:44" s="22" customFormat="1" ht="18" customHeight="1" x14ac:dyDescent="0.25">
      <c r="B1488" s="145"/>
      <c r="C1488" s="139"/>
      <c r="D1488" s="146"/>
      <c r="E1488" s="139"/>
      <c r="F1488" s="139"/>
      <c r="G1488" s="139"/>
      <c r="H1488" s="139"/>
      <c r="I1488" s="139"/>
      <c r="J1488" s="139"/>
      <c r="K1488" s="139"/>
      <c r="L1488" s="243"/>
      <c r="M1488" s="243"/>
      <c r="N1488" s="139"/>
      <c r="O1488" s="139"/>
      <c r="P1488" s="139"/>
      <c r="Q1488" s="147"/>
      <c r="R1488" s="139"/>
      <c r="S1488" s="139"/>
      <c r="T1488" s="139"/>
      <c r="U1488" s="139"/>
      <c r="V1488" s="139"/>
      <c r="W1488" s="139"/>
      <c r="X1488" s="146"/>
      <c r="Y1488" s="148"/>
      <c r="Z1488" s="145"/>
      <c r="AA1488" s="139"/>
      <c r="AB1488" s="149"/>
      <c r="AC1488" s="119"/>
      <c r="AD1488" s="139"/>
      <c r="AE1488" s="139"/>
      <c r="AF1488" s="139"/>
      <c r="AG1488" s="139"/>
      <c r="AH1488" s="139"/>
      <c r="AI1488" s="139"/>
      <c r="AJ1488" s="139"/>
      <c r="AK1488" s="139"/>
      <c r="AL1488" s="139"/>
      <c r="AM1488" s="139"/>
      <c r="AN1488" s="139"/>
      <c r="AO1488" s="139"/>
      <c r="AP1488" s="139"/>
      <c r="AQ1488" s="174"/>
      <c r="AR1488" s="222"/>
    </row>
    <row r="1489" spans="2:44" s="22" customFormat="1" ht="18" customHeight="1" x14ac:dyDescent="0.25">
      <c r="B1489" s="145"/>
      <c r="C1489" s="139"/>
      <c r="D1489" s="146"/>
      <c r="E1489" s="139"/>
      <c r="F1489" s="139"/>
      <c r="G1489" s="139"/>
      <c r="H1489" s="139"/>
      <c r="I1489" s="139"/>
      <c r="J1489" s="139"/>
      <c r="K1489" s="139"/>
      <c r="L1489" s="243"/>
      <c r="M1489" s="243"/>
      <c r="N1489" s="139"/>
      <c r="O1489" s="139"/>
      <c r="P1489" s="139"/>
      <c r="Q1489" s="147"/>
      <c r="R1489" s="139"/>
      <c r="S1489" s="139"/>
      <c r="T1489" s="139"/>
      <c r="U1489" s="139"/>
      <c r="V1489" s="139"/>
      <c r="W1489" s="139"/>
      <c r="X1489" s="146"/>
      <c r="Y1489" s="148"/>
      <c r="Z1489" s="145"/>
      <c r="AA1489" s="139"/>
      <c r="AB1489" s="149"/>
      <c r="AC1489" s="119"/>
      <c r="AD1489" s="139"/>
      <c r="AE1489" s="139"/>
      <c r="AF1489" s="139"/>
      <c r="AG1489" s="139"/>
      <c r="AH1489" s="139"/>
      <c r="AI1489" s="139"/>
      <c r="AJ1489" s="139"/>
      <c r="AK1489" s="139"/>
      <c r="AL1489" s="139"/>
      <c r="AM1489" s="139"/>
      <c r="AN1489" s="139"/>
      <c r="AO1489" s="139"/>
      <c r="AP1489" s="139"/>
      <c r="AQ1489" s="174"/>
      <c r="AR1489" s="222"/>
    </row>
    <row r="1490" spans="2:44" s="22" customFormat="1" ht="18" customHeight="1" x14ac:dyDescent="0.25">
      <c r="B1490" s="145"/>
      <c r="C1490" s="139"/>
      <c r="D1490" s="146"/>
      <c r="E1490" s="139"/>
      <c r="F1490" s="139"/>
      <c r="G1490" s="139"/>
      <c r="H1490" s="139"/>
      <c r="I1490" s="139"/>
      <c r="J1490" s="139"/>
      <c r="K1490" s="139"/>
      <c r="L1490" s="243"/>
      <c r="M1490" s="243"/>
      <c r="N1490" s="139"/>
      <c r="O1490" s="139"/>
      <c r="P1490" s="139"/>
      <c r="Q1490" s="147"/>
      <c r="R1490" s="139"/>
      <c r="S1490" s="139"/>
      <c r="T1490" s="139"/>
      <c r="U1490" s="139"/>
      <c r="V1490" s="139"/>
      <c r="W1490" s="139"/>
      <c r="X1490" s="146"/>
      <c r="Y1490" s="148"/>
      <c r="Z1490" s="145"/>
      <c r="AA1490" s="139"/>
      <c r="AB1490" s="149"/>
      <c r="AC1490" s="119"/>
      <c r="AD1490" s="139"/>
      <c r="AE1490" s="139"/>
      <c r="AF1490" s="139"/>
      <c r="AG1490" s="139"/>
      <c r="AH1490" s="139"/>
      <c r="AI1490" s="139"/>
      <c r="AJ1490" s="139"/>
      <c r="AK1490" s="139"/>
      <c r="AL1490" s="139"/>
      <c r="AM1490" s="139"/>
      <c r="AN1490" s="139"/>
      <c r="AO1490" s="139"/>
      <c r="AP1490" s="139"/>
      <c r="AQ1490" s="174"/>
      <c r="AR1490" s="222"/>
    </row>
    <row r="1491" spans="2:44" s="140" customFormat="1" ht="18" customHeight="1" x14ac:dyDescent="0.25">
      <c r="B1491" s="145"/>
      <c r="C1491" s="139"/>
      <c r="D1491" s="146"/>
      <c r="E1491" s="139"/>
      <c r="F1491" s="139"/>
      <c r="G1491" s="139"/>
      <c r="H1491" s="139"/>
      <c r="I1491" s="139"/>
      <c r="J1491" s="139"/>
      <c r="K1491" s="139"/>
      <c r="L1491" s="243"/>
      <c r="M1491" s="243"/>
      <c r="N1491" s="139"/>
      <c r="O1491" s="139"/>
      <c r="P1491" s="139"/>
      <c r="Q1491" s="147"/>
      <c r="R1491" s="139"/>
      <c r="S1491" s="139"/>
      <c r="T1491" s="139"/>
      <c r="U1491" s="139"/>
      <c r="V1491" s="139"/>
      <c r="W1491" s="139"/>
      <c r="X1491" s="146"/>
      <c r="Y1491" s="148"/>
      <c r="Z1491" s="145"/>
      <c r="AA1491" s="139"/>
      <c r="AB1491" s="149"/>
      <c r="AC1491" s="119"/>
      <c r="AD1491" s="139"/>
      <c r="AE1491" s="139"/>
      <c r="AF1491" s="139"/>
      <c r="AG1491" s="139"/>
      <c r="AH1491" s="139"/>
      <c r="AI1491" s="139"/>
      <c r="AJ1491" s="139"/>
      <c r="AK1491" s="139"/>
      <c r="AL1491" s="139"/>
      <c r="AM1491" s="139"/>
      <c r="AN1491" s="139"/>
      <c r="AO1491" s="139"/>
      <c r="AP1491" s="139"/>
      <c r="AQ1491" s="174"/>
      <c r="AR1491" s="222"/>
    </row>
    <row r="1492" spans="2:44" s="140" customFormat="1" ht="18" customHeight="1" x14ac:dyDescent="0.25">
      <c r="B1492" s="145"/>
      <c r="C1492" s="139"/>
      <c r="D1492" s="146"/>
      <c r="E1492" s="139"/>
      <c r="F1492" s="139"/>
      <c r="G1492" s="139"/>
      <c r="H1492" s="139"/>
      <c r="I1492" s="139"/>
      <c r="J1492" s="139"/>
      <c r="K1492" s="139"/>
      <c r="L1492" s="243"/>
      <c r="M1492" s="243"/>
      <c r="N1492" s="139"/>
      <c r="O1492" s="139"/>
      <c r="P1492" s="139"/>
      <c r="Q1492" s="147"/>
      <c r="R1492" s="139"/>
      <c r="S1492" s="139"/>
      <c r="T1492" s="139"/>
      <c r="U1492" s="139"/>
      <c r="V1492" s="139"/>
      <c r="W1492" s="139"/>
      <c r="X1492" s="146"/>
      <c r="Y1492" s="148"/>
      <c r="Z1492" s="145"/>
      <c r="AA1492" s="139"/>
      <c r="AB1492" s="149"/>
      <c r="AC1492" s="119"/>
      <c r="AD1492" s="139"/>
      <c r="AE1492" s="139"/>
      <c r="AF1492" s="139"/>
      <c r="AG1492" s="139"/>
      <c r="AH1492" s="139"/>
      <c r="AI1492" s="139"/>
      <c r="AJ1492" s="139"/>
      <c r="AK1492" s="139"/>
      <c r="AL1492" s="139"/>
      <c r="AM1492" s="139"/>
      <c r="AN1492" s="139"/>
      <c r="AO1492" s="139"/>
      <c r="AP1492" s="139"/>
      <c r="AQ1492" s="174"/>
      <c r="AR1492" s="222"/>
    </row>
    <row r="1493" spans="2:44" s="22" customFormat="1" ht="18" customHeight="1" x14ac:dyDescent="0.25">
      <c r="B1493" s="145"/>
      <c r="C1493" s="139"/>
      <c r="D1493" s="146"/>
      <c r="E1493" s="139"/>
      <c r="F1493" s="139"/>
      <c r="G1493" s="139"/>
      <c r="H1493" s="139"/>
      <c r="I1493" s="139"/>
      <c r="J1493" s="139"/>
      <c r="K1493" s="139"/>
      <c r="L1493" s="243"/>
      <c r="M1493" s="243"/>
      <c r="N1493" s="139"/>
      <c r="O1493" s="139"/>
      <c r="P1493" s="139"/>
      <c r="Q1493" s="147"/>
      <c r="R1493" s="139"/>
      <c r="S1493" s="139"/>
      <c r="T1493" s="139"/>
      <c r="U1493" s="139"/>
      <c r="V1493" s="139"/>
      <c r="W1493" s="139"/>
      <c r="X1493" s="146"/>
      <c r="Y1493" s="148"/>
      <c r="Z1493" s="145"/>
      <c r="AA1493" s="139"/>
      <c r="AB1493" s="149"/>
      <c r="AC1493" s="119"/>
      <c r="AD1493" s="139"/>
      <c r="AE1493" s="139"/>
      <c r="AF1493" s="139"/>
      <c r="AG1493" s="139"/>
      <c r="AH1493" s="139"/>
      <c r="AI1493" s="139"/>
      <c r="AJ1493" s="139"/>
      <c r="AK1493" s="139"/>
      <c r="AL1493" s="139"/>
      <c r="AM1493" s="139"/>
      <c r="AN1493" s="139"/>
      <c r="AO1493" s="139"/>
      <c r="AP1493" s="139"/>
      <c r="AQ1493" s="174"/>
      <c r="AR1493" s="222"/>
    </row>
    <row r="1494" spans="2:44" s="140" customFormat="1" ht="18" customHeight="1" x14ac:dyDescent="0.25">
      <c r="B1494" s="145"/>
      <c r="C1494" s="139"/>
      <c r="D1494" s="146"/>
      <c r="E1494" s="139"/>
      <c r="F1494" s="139"/>
      <c r="G1494" s="139"/>
      <c r="H1494" s="139"/>
      <c r="I1494" s="139"/>
      <c r="J1494" s="139"/>
      <c r="K1494" s="139"/>
      <c r="L1494" s="243"/>
      <c r="M1494" s="243"/>
      <c r="N1494" s="139"/>
      <c r="O1494" s="139"/>
      <c r="P1494" s="139"/>
      <c r="Q1494" s="147"/>
      <c r="R1494" s="139"/>
      <c r="S1494" s="139"/>
      <c r="T1494" s="139"/>
      <c r="U1494" s="139"/>
      <c r="V1494" s="139"/>
      <c r="W1494" s="139"/>
      <c r="X1494" s="146"/>
      <c r="Y1494" s="148"/>
      <c r="Z1494" s="145"/>
      <c r="AA1494" s="139"/>
      <c r="AB1494" s="149"/>
      <c r="AC1494" s="119"/>
      <c r="AD1494" s="139"/>
      <c r="AE1494" s="139"/>
      <c r="AF1494" s="139"/>
      <c r="AG1494" s="139"/>
      <c r="AH1494" s="139"/>
      <c r="AI1494" s="139"/>
      <c r="AJ1494" s="139"/>
      <c r="AK1494" s="139"/>
      <c r="AL1494" s="139"/>
      <c r="AM1494" s="139"/>
      <c r="AN1494" s="139"/>
      <c r="AO1494" s="139"/>
      <c r="AP1494" s="139"/>
      <c r="AQ1494" s="174"/>
      <c r="AR1494" s="222"/>
    </row>
    <row r="1495" spans="2:44" s="22" customFormat="1" ht="18" customHeight="1" x14ac:dyDescent="0.25">
      <c r="B1495" s="145"/>
      <c r="C1495" s="139"/>
      <c r="D1495" s="146"/>
      <c r="E1495" s="139"/>
      <c r="F1495" s="139"/>
      <c r="G1495" s="139"/>
      <c r="H1495" s="139"/>
      <c r="I1495" s="139"/>
      <c r="J1495" s="139"/>
      <c r="K1495" s="139"/>
      <c r="L1495" s="243"/>
      <c r="M1495" s="243"/>
      <c r="N1495" s="139"/>
      <c r="O1495" s="139"/>
      <c r="P1495" s="139"/>
      <c r="Q1495" s="147"/>
      <c r="R1495" s="139"/>
      <c r="S1495" s="139"/>
      <c r="T1495" s="139"/>
      <c r="U1495" s="139"/>
      <c r="V1495" s="139"/>
      <c r="W1495" s="139"/>
      <c r="X1495" s="146"/>
      <c r="Y1495" s="148"/>
      <c r="Z1495" s="145"/>
      <c r="AA1495" s="139"/>
      <c r="AB1495" s="149"/>
      <c r="AC1495" s="119"/>
      <c r="AD1495" s="139"/>
      <c r="AE1495" s="139"/>
      <c r="AF1495" s="139"/>
      <c r="AG1495" s="139"/>
      <c r="AH1495" s="139"/>
      <c r="AI1495" s="139"/>
      <c r="AJ1495" s="139"/>
      <c r="AK1495" s="139"/>
      <c r="AL1495" s="139"/>
      <c r="AM1495" s="139"/>
      <c r="AN1495" s="139"/>
      <c r="AO1495" s="139"/>
      <c r="AP1495" s="139"/>
      <c r="AQ1495" s="174"/>
      <c r="AR1495" s="222"/>
    </row>
    <row r="1496" spans="2:44" s="22" customFormat="1" ht="18" customHeight="1" x14ac:dyDescent="0.25">
      <c r="B1496" s="145"/>
      <c r="C1496" s="139"/>
      <c r="D1496" s="146"/>
      <c r="E1496" s="139"/>
      <c r="F1496" s="139"/>
      <c r="G1496" s="139"/>
      <c r="H1496" s="139"/>
      <c r="I1496" s="139"/>
      <c r="J1496" s="139"/>
      <c r="K1496" s="139"/>
      <c r="L1496" s="243"/>
      <c r="M1496" s="243"/>
      <c r="N1496" s="139"/>
      <c r="O1496" s="139"/>
      <c r="P1496" s="139"/>
      <c r="Q1496" s="147"/>
      <c r="R1496" s="139"/>
      <c r="S1496" s="139"/>
      <c r="T1496" s="139"/>
      <c r="U1496" s="139"/>
      <c r="V1496" s="139"/>
      <c r="W1496" s="139"/>
      <c r="X1496" s="146"/>
      <c r="Y1496" s="148"/>
      <c r="Z1496" s="145"/>
      <c r="AA1496" s="139"/>
      <c r="AB1496" s="149"/>
      <c r="AC1496" s="119"/>
      <c r="AD1496" s="139"/>
      <c r="AE1496" s="139"/>
      <c r="AF1496" s="139"/>
      <c r="AG1496" s="139"/>
      <c r="AH1496" s="139"/>
      <c r="AI1496" s="139"/>
      <c r="AJ1496" s="139"/>
      <c r="AK1496" s="139"/>
      <c r="AL1496" s="139"/>
      <c r="AM1496" s="139"/>
      <c r="AN1496" s="139"/>
      <c r="AO1496" s="139"/>
      <c r="AP1496" s="139"/>
      <c r="AQ1496" s="174"/>
      <c r="AR1496" s="222"/>
    </row>
    <row r="1497" spans="2:44" s="22" customFormat="1" ht="18" customHeight="1" x14ac:dyDescent="0.25">
      <c r="B1497" s="145"/>
      <c r="C1497" s="139"/>
      <c r="D1497" s="146"/>
      <c r="E1497" s="139"/>
      <c r="F1497" s="139"/>
      <c r="G1497" s="139"/>
      <c r="H1497" s="139"/>
      <c r="I1497" s="139"/>
      <c r="J1497" s="139"/>
      <c r="K1497" s="139"/>
      <c r="L1497" s="243"/>
      <c r="M1497" s="243"/>
      <c r="N1497" s="139"/>
      <c r="O1497" s="139"/>
      <c r="P1497" s="139"/>
      <c r="Q1497" s="147"/>
      <c r="R1497" s="139"/>
      <c r="S1497" s="139"/>
      <c r="T1497" s="139"/>
      <c r="U1497" s="139"/>
      <c r="V1497" s="139"/>
      <c r="W1497" s="139"/>
      <c r="X1497" s="146"/>
      <c r="Y1497" s="148"/>
      <c r="Z1497" s="145"/>
      <c r="AA1497" s="139"/>
      <c r="AB1497" s="149"/>
      <c r="AC1497" s="119"/>
      <c r="AD1497" s="139"/>
      <c r="AE1497" s="139"/>
      <c r="AF1497" s="139"/>
      <c r="AG1497" s="139"/>
      <c r="AH1497" s="139"/>
      <c r="AI1497" s="139"/>
      <c r="AJ1497" s="139"/>
      <c r="AK1497" s="139"/>
      <c r="AL1497" s="139"/>
      <c r="AM1497" s="139"/>
      <c r="AN1497" s="139"/>
      <c r="AO1497" s="139"/>
      <c r="AP1497" s="139"/>
      <c r="AQ1497" s="174"/>
      <c r="AR1497" s="222"/>
    </row>
    <row r="1498" spans="2:44" s="22" customFormat="1" ht="18" customHeight="1" x14ac:dyDescent="0.25">
      <c r="B1498" s="145"/>
      <c r="C1498" s="139"/>
      <c r="D1498" s="146"/>
      <c r="E1498" s="139"/>
      <c r="F1498" s="139"/>
      <c r="G1498" s="139"/>
      <c r="H1498" s="139"/>
      <c r="I1498" s="139"/>
      <c r="J1498" s="139"/>
      <c r="K1498" s="139"/>
      <c r="L1498" s="243"/>
      <c r="M1498" s="243"/>
      <c r="N1498" s="139"/>
      <c r="O1498" s="139"/>
      <c r="P1498" s="139"/>
      <c r="Q1498" s="147"/>
      <c r="R1498" s="139"/>
      <c r="S1498" s="139"/>
      <c r="T1498" s="139"/>
      <c r="U1498" s="139"/>
      <c r="V1498" s="139"/>
      <c r="W1498" s="139"/>
      <c r="X1498" s="146"/>
      <c r="Y1498" s="148"/>
      <c r="Z1498" s="145"/>
      <c r="AA1498" s="139"/>
      <c r="AB1498" s="149"/>
      <c r="AC1498" s="119"/>
      <c r="AD1498" s="139"/>
      <c r="AE1498" s="139"/>
      <c r="AF1498" s="139"/>
      <c r="AG1498" s="139"/>
      <c r="AH1498" s="139"/>
      <c r="AI1498" s="139"/>
      <c r="AJ1498" s="139"/>
      <c r="AK1498" s="139"/>
      <c r="AL1498" s="139"/>
      <c r="AM1498" s="139"/>
      <c r="AN1498" s="139"/>
      <c r="AO1498" s="139"/>
      <c r="AP1498" s="139"/>
      <c r="AQ1498" s="174"/>
      <c r="AR1498" s="222"/>
    </row>
    <row r="1499" spans="2:44" s="22" customFormat="1" ht="18" customHeight="1" x14ac:dyDescent="0.25">
      <c r="B1499" s="145"/>
      <c r="C1499" s="139"/>
      <c r="D1499" s="146"/>
      <c r="E1499" s="139"/>
      <c r="F1499" s="139"/>
      <c r="G1499" s="139"/>
      <c r="H1499" s="139"/>
      <c r="I1499" s="139"/>
      <c r="J1499" s="139"/>
      <c r="K1499" s="139"/>
      <c r="L1499" s="243"/>
      <c r="M1499" s="243"/>
      <c r="N1499" s="139"/>
      <c r="O1499" s="139"/>
      <c r="P1499" s="139"/>
      <c r="Q1499" s="147"/>
      <c r="R1499" s="139"/>
      <c r="S1499" s="139"/>
      <c r="T1499" s="139"/>
      <c r="U1499" s="139"/>
      <c r="V1499" s="139"/>
      <c r="W1499" s="139"/>
      <c r="X1499" s="146"/>
      <c r="Y1499" s="148"/>
      <c r="Z1499" s="145"/>
      <c r="AA1499" s="139"/>
      <c r="AB1499" s="149"/>
      <c r="AC1499" s="119"/>
      <c r="AD1499" s="139"/>
      <c r="AE1499" s="139"/>
      <c r="AF1499" s="139"/>
      <c r="AG1499" s="139"/>
      <c r="AH1499" s="139"/>
      <c r="AI1499" s="139"/>
      <c r="AJ1499" s="139"/>
      <c r="AK1499" s="139"/>
      <c r="AL1499" s="139"/>
      <c r="AM1499" s="139"/>
      <c r="AN1499" s="139"/>
      <c r="AO1499" s="139"/>
      <c r="AP1499" s="139"/>
      <c r="AQ1499" s="174"/>
      <c r="AR1499" s="222"/>
    </row>
    <row r="1500" spans="2:44" s="22" customFormat="1" ht="18" customHeight="1" x14ac:dyDescent="0.25">
      <c r="B1500" s="145"/>
      <c r="C1500" s="139"/>
      <c r="D1500" s="146"/>
      <c r="E1500" s="139"/>
      <c r="F1500" s="139"/>
      <c r="G1500" s="139"/>
      <c r="H1500" s="139"/>
      <c r="I1500" s="139"/>
      <c r="J1500" s="139"/>
      <c r="K1500" s="139"/>
      <c r="L1500" s="243"/>
      <c r="M1500" s="243"/>
      <c r="N1500" s="139"/>
      <c r="O1500" s="139"/>
      <c r="P1500" s="139"/>
      <c r="Q1500" s="147"/>
      <c r="R1500" s="139"/>
      <c r="S1500" s="139"/>
      <c r="T1500" s="139"/>
      <c r="U1500" s="139"/>
      <c r="V1500" s="139"/>
      <c r="W1500" s="139"/>
      <c r="X1500" s="146"/>
      <c r="Y1500" s="148"/>
      <c r="Z1500" s="145"/>
      <c r="AA1500" s="139"/>
      <c r="AB1500" s="149"/>
      <c r="AC1500" s="119"/>
      <c r="AD1500" s="139"/>
      <c r="AE1500" s="139"/>
      <c r="AF1500" s="139"/>
      <c r="AG1500" s="139"/>
      <c r="AH1500" s="139"/>
      <c r="AI1500" s="139"/>
      <c r="AJ1500" s="139"/>
      <c r="AK1500" s="139"/>
      <c r="AL1500" s="139"/>
      <c r="AM1500" s="139"/>
      <c r="AN1500" s="139"/>
      <c r="AO1500" s="139"/>
      <c r="AP1500" s="139"/>
      <c r="AQ1500" s="174"/>
      <c r="AR1500" s="222"/>
    </row>
    <row r="1501" spans="2:44" s="22" customFormat="1" ht="18" customHeight="1" x14ac:dyDescent="0.25">
      <c r="B1501" s="145"/>
      <c r="C1501" s="139"/>
      <c r="D1501" s="146"/>
      <c r="E1501" s="139"/>
      <c r="F1501" s="139"/>
      <c r="G1501" s="139"/>
      <c r="H1501" s="139"/>
      <c r="I1501" s="139"/>
      <c r="J1501" s="139"/>
      <c r="K1501" s="139"/>
      <c r="L1501" s="243"/>
      <c r="M1501" s="243"/>
      <c r="N1501" s="139"/>
      <c r="O1501" s="139"/>
      <c r="P1501" s="139"/>
      <c r="Q1501" s="147"/>
      <c r="R1501" s="139"/>
      <c r="S1501" s="139"/>
      <c r="T1501" s="139"/>
      <c r="U1501" s="139"/>
      <c r="V1501" s="139"/>
      <c r="W1501" s="139"/>
      <c r="X1501" s="146"/>
      <c r="Y1501" s="148"/>
      <c r="Z1501" s="145"/>
      <c r="AA1501" s="139"/>
      <c r="AB1501" s="149"/>
      <c r="AC1501" s="119"/>
      <c r="AD1501" s="139"/>
      <c r="AE1501" s="139"/>
      <c r="AF1501" s="139"/>
      <c r="AG1501" s="139"/>
      <c r="AH1501" s="139"/>
      <c r="AI1501" s="139"/>
      <c r="AJ1501" s="139"/>
      <c r="AK1501" s="139"/>
      <c r="AL1501" s="139"/>
      <c r="AM1501" s="139"/>
      <c r="AN1501" s="139"/>
      <c r="AO1501" s="139"/>
      <c r="AP1501" s="139"/>
      <c r="AQ1501" s="174"/>
      <c r="AR1501" s="222"/>
    </row>
    <row r="1502" spans="2:44" s="141" customFormat="1" ht="18" customHeight="1" x14ac:dyDescent="0.25">
      <c r="B1502" s="145"/>
      <c r="C1502" s="139"/>
      <c r="D1502" s="146"/>
      <c r="E1502" s="139"/>
      <c r="F1502" s="139"/>
      <c r="G1502" s="139"/>
      <c r="H1502" s="139"/>
      <c r="I1502" s="139"/>
      <c r="J1502" s="139"/>
      <c r="K1502" s="139"/>
      <c r="L1502" s="243"/>
      <c r="M1502" s="243"/>
      <c r="N1502" s="139"/>
      <c r="O1502" s="139"/>
      <c r="P1502" s="139"/>
      <c r="Q1502" s="147"/>
      <c r="R1502" s="139"/>
      <c r="S1502" s="139"/>
      <c r="T1502" s="139"/>
      <c r="U1502" s="139"/>
      <c r="V1502" s="139"/>
      <c r="W1502" s="139"/>
      <c r="X1502" s="146"/>
      <c r="Y1502" s="148"/>
      <c r="Z1502" s="145"/>
      <c r="AA1502" s="139"/>
      <c r="AB1502" s="149"/>
      <c r="AC1502" s="119"/>
      <c r="AD1502" s="139"/>
      <c r="AE1502" s="139"/>
      <c r="AF1502" s="139"/>
      <c r="AG1502" s="139"/>
      <c r="AH1502" s="139"/>
      <c r="AI1502" s="139"/>
      <c r="AJ1502" s="139"/>
      <c r="AK1502" s="139"/>
      <c r="AL1502" s="139"/>
      <c r="AM1502" s="139"/>
      <c r="AN1502" s="139"/>
      <c r="AO1502" s="139"/>
      <c r="AP1502" s="139"/>
      <c r="AQ1502" s="174"/>
      <c r="AR1502" s="222"/>
    </row>
    <row r="1503" spans="2:44" s="141" customFormat="1" ht="18" customHeight="1" x14ac:dyDescent="0.25">
      <c r="B1503" s="145"/>
      <c r="C1503" s="139"/>
      <c r="D1503" s="146"/>
      <c r="E1503" s="139"/>
      <c r="F1503" s="139"/>
      <c r="G1503" s="139"/>
      <c r="H1503" s="139"/>
      <c r="I1503" s="139"/>
      <c r="J1503" s="139"/>
      <c r="K1503" s="139"/>
      <c r="L1503" s="243"/>
      <c r="M1503" s="243"/>
      <c r="N1503" s="139"/>
      <c r="O1503" s="139"/>
      <c r="P1503" s="139"/>
      <c r="Q1503" s="147"/>
      <c r="R1503" s="139"/>
      <c r="S1503" s="139"/>
      <c r="T1503" s="139"/>
      <c r="U1503" s="139"/>
      <c r="V1503" s="139"/>
      <c r="W1503" s="139"/>
      <c r="X1503" s="146"/>
      <c r="Y1503" s="148"/>
      <c r="Z1503" s="145"/>
      <c r="AA1503" s="139"/>
      <c r="AB1503" s="149"/>
      <c r="AC1503" s="119"/>
      <c r="AD1503" s="139"/>
      <c r="AE1503" s="139"/>
      <c r="AF1503" s="139"/>
      <c r="AG1503" s="139"/>
      <c r="AH1503" s="139"/>
      <c r="AI1503" s="139"/>
      <c r="AJ1503" s="139"/>
      <c r="AK1503" s="139"/>
      <c r="AL1503" s="139"/>
      <c r="AM1503" s="139"/>
      <c r="AN1503" s="139"/>
      <c r="AO1503" s="139"/>
      <c r="AP1503" s="139"/>
      <c r="AQ1503" s="174"/>
      <c r="AR1503" s="222"/>
    </row>
    <row r="1504" spans="2:44" s="140" customFormat="1" ht="18" customHeight="1" x14ac:dyDescent="0.25">
      <c r="B1504" s="145"/>
      <c r="C1504" s="139"/>
      <c r="D1504" s="146"/>
      <c r="E1504" s="139"/>
      <c r="F1504" s="139"/>
      <c r="G1504" s="139"/>
      <c r="H1504" s="139"/>
      <c r="I1504" s="139"/>
      <c r="J1504" s="139"/>
      <c r="K1504" s="139"/>
      <c r="L1504" s="243"/>
      <c r="M1504" s="243"/>
      <c r="N1504" s="139"/>
      <c r="O1504" s="139"/>
      <c r="P1504" s="139"/>
      <c r="Q1504" s="147"/>
      <c r="R1504" s="139"/>
      <c r="S1504" s="139"/>
      <c r="T1504" s="139"/>
      <c r="U1504" s="139"/>
      <c r="V1504" s="139"/>
      <c r="W1504" s="139"/>
      <c r="X1504" s="146"/>
      <c r="Y1504" s="148"/>
      <c r="Z1504" s="145"/>
      <c r="AA1504" s="139"/>
      <c r="AB1504" s="149"/>
      <c r="AC1504" s="119"/>
      <c r="AD1504" s="139"/>
      <c r="AE1504" s="139"/>
      <c r="AF1504" s="139"/>
      <c r="AG1504" s="139"/>
      <c r="AH1504" s="139"/>
      <c r="AI1504" s="139"/>
      <c r="AJ1504" s="139"/>
      <c r="AK1504" s="139"/>
      <c r="AL1504" s="139"/>
      <c r="AM1504" s="139"/>
      <c r="AN1504" s="139"/>
      <c r="AO1504" s="139"/>
      <c r="AP1504" s="139"/>
      <c r="AQ1504" s="174"/>
      <c r="AR1504" s="222"/>
    </row>
    <row r="1505" spans="2:44" s="22" customFormat="1" ht="18" customHeight="1" x14ac:dyDescent="0.25">
      <c r="B1505" s="145"/>
      <c r="C1505" s="139"/>
      <c r="D1505" s="146"/>
      <c r="E1505" s="139"/>
      <c r="F1505" s="139"/>
      <c r="G1505" s="139"/>
      <c r="H1505" s="139"/>
      <c r="I1505" s="139"/>
      <c r="J1505" s="139"/>
      <c r="K1505" s="139"/>
      <c r="L1505" s="243"/>
      <c r="M1505" s="243"/>
      <c r="N1505" s="139"/>
      <c r="O1505" s="139"/>
      <c r="P1505" s="139"/>
      <c r="Q1505" s="147"/>
      <c r="R1505" s="139"/>
      <c r="S1505" s="139"/>
      <c r="T1505" s="139"/>
      <c r="U1505" s="139"/>
      <c r="V1505" s="139"/>
      <c r="W1505" s="139"/>
      <c r="X1505" s="146"/>
      <c r="Y1505" s="148"/>
      <c r="Z1505" s="145"/>
      <c r="AA1505" s="139"/>
      <c r="AB1505" s="149"/>
      <c r="AC1505" s="119"/>
      <c r="AD1505" s="139"/>
      <c r="AE1505" s="139"/>
      <c r="AF1505" s="139"/>
      <c r="AG1505" s="139"/>
      <c r="AH1505" s="139"/>
      <c r="AI1505" s="139"/>
      <c r="AJ1505" s="139"/>
      <c r="AK1505" s="139"/>
      <c r="AL1505" s="139"/>
      <c r="AM1505" s="139"/>
      <c r="AN1505" s="139"/>
      <c r="AO1505" s="139"/>
      <c r="AP1505" s="139"/>
      <c r="AQ1505" s="174"/>
      <c r="AR1505" s="222"/>
    </row>
    <row r="1506" spans="2:44" s="22" customFormat="1" ht="18" customHeight="1" x14ac:dyDescent="0.25">
      <c r="B1506" s="145"/>
      <c r="C1506" s="139"/>
      <c r="D1506" s="146"/>
      <c r="E1506" s="139"/>
      <c r="F1506" s="139"/>
      <c r="G1506" s="139"/>
      <c r="H1506" s="139"/>
      <c r="I1506" s="139"/>
      <c r="J1506" s="139"/>
      <c r="K1506" s="139"/>
      <c r="L1506" s="243"/>
      <c r="M1506" s="243"/>
      <c r="N1506" s="139"/>
      <c r="O1506" s="139"/>
      <c r="P1506" s="139"/>
      <c r="Q1506" s="147"/>
      <c r="R1506" s="139"/>
      <c r="S1506" s="139"/>
      <c r="T1506" s="139"/>
      <c r="U1506" s="139"/>
      <c r="V1506" s="139"/>
      <c r="W1506" s="139"/>
      <c r="X1506" s="146"/>
      <c r="Y1506" s="148"/>
      <c r="Z1506" s="145"/>
      <c r="AA1506" s="139"/>
      <c r="AB1506" s="149"/>
      <c r="AC1506" s="119"/>
      <c r="AD1506" s="139"/>
      <c r="AE1506" s="139"/>
      <c r="AF1506" s="139"/>
      <c r="AG1506" s="139"/>
      <c r="AH1506" s="139"/>
      <c r="AI1506" s="139"/>
      <c r="AJ1506" s="139"/>
      <c r="AK1506" s="139"/>
      <c r="AL1506" s="139"/>
      <c r="AM1506" s="139"/>
      <c r="AN1506" s="139"/>
      <c r="AO1506" s="139"/>
      <c r="AP1506" s="139"/>
      <c r="AQ1506" s="174"/>
      <c r="AR1506" s="222"/>
    </row>
    <row r="1507" spans="2:44" s="22" customFormat="1" ht="18" customHeight="1" x14ac:dyDescent="0.25">
      <c r="B1507" s="145"/>
      <c r="C1507" s="139"/>
      <c r="D1507" s="146"/>
      <c r="E1507" s="139"/>
      <c r="F1507" s="139"/>
      <c r="G1507" s="139"/>
      <c r="H1507" s="139"/>
      <c r="I1507" s="139"/>
      <c r="J1507" s="139"/>
      <c r="K1507" s="139"/>
      <c r="L1507" s="243"/>
      <c r="M1507" s="243"/>
      <c r="N1507" s="139"/>
      <c r="O1507" s="139"/>
      <c r="P1507" s="139"/>
      <c r="Q1507" s="147"/>
      <c r="R1507" s="139"/>
      <c r="S1507" s="139"/>
      <c r="T1507" s="139"/>
      <c r="U1507" s="139"/>
      <c r="V1507" s="139"/>
      <c r="W1507" s="139"/>
      <c r="X1507" s="146"/>
      <c r="Y1507" s="148"/>
      <c r="Z1507" s="145"/>
      <c r="AA1507" s="139"/>
      <c r="AB1507" s="149"/>
      <c r="AC1507" s="119"/>
      <c r="AD1507" s="139"/>
      <c r="AE1507" s="139"/>
      <c r="AF1507" s="139"/>
      <c r="AG1507" s="139"/>
      <c r="AH1507" s="139"/>
      <c r="AI1507" s="139"/>
      <c r="AJ1507" s="139"/>
      <c r="AK1507" s="139"/>
      <c r="AL1507" s="139"/>
      <c r="AM1507" s="139"/>
      <c r="AN1507" s="139"/>
      <c r="AO1507" s="139"/>
      <c r="AP1507" s="139"/>
      <c r="AQ1507" s="174"/>
      <c r="AR1507" s="222"/>
    </row>
    <row r="1508" spans="2:44" s="22" customFormat="1" ht="18" customHeight="1" x14ac:dyDescent="0.25">
      <c r="B1508" s="145"/>
      <c r="C1508" s="139"/>
      <c r="D1508" s="146"/>
      <c r="E1508" s="139"/>
      <c r="F1508" s="139"/>
      <c r="G1508" s="139"/>
      <c r="H1508" s="139"/>
      <c r="I1508" s="139"/>
      <c r="J1508" s="139"/>
      <c r="K1508" s="139"/>
      <c r="L1508" s="243"/>
      <c r="M1508" s="243"/>
      <c r="N1508" s="139"/>
      <c r="O1508" s="139"/>
      <c r="P1508" s="139"/>
      <c r="Q1508" s="147"/>
      <c r="R1508" s="139"/>
      <c r="S1508" s="139"/>
      <c r="T1508" s="139"/>
      <c r="U1508" s="139"/>
      <c r="V1508" s="139"/>
      <c r="W1508" s="139"/>
      <c r="X1508" s="146"/>
      <c r="Y1508" s="148"/>
      <c r="Z1508" s="145"/>
      <c r="AA1508" s="139"/>
      <c r="AB1508" s="149"/>
      <c r="AC1508" s="119"/>
      <c r="AD1508" s="139"/>
      <c r="AE1508" s="139"/>
      <c r="AF1508" s="139"/>
      <c r="AG1508" s="139"/>
      <c r="AH1508" s="139"/>
      <c r="AI1508" s="139"/>
      <c r="AJ1508" s="139"/>
      <c r="AK1508" s="139"/>
      <c r="AL1508" s="139"/>
      <c r="AM1508" s="139"/>
      <c r="AN1508" s="139"/>
      <c r="AO1508" s="139"/>
      <c r="AP1508" s="139"/>
      <c r="AQ1508" s="174"/>
      <c r="AR1508" s="222"/>
    </row>
    <row r="1509" spans="2:44" s="22" customFormat="1" ht="18" customHeight="1" x14ac:dyDescent="0.25">
      <c r="B1509" s="145"/>
      <c r="C1509" s="139"/>
      <c r="D1509" s="146"/>
      <c r="E1509" s="139"/>
      <c r="F1509" s="139"/>
      <c r="G1509" s="139"/>
      <c r="H1509" s="139"/>
      <c r="I1509" s="139"/>
      <c r="J1509" s="139"/>
      <c r="K1509" s="139"/>
      <c r="L1509" s="243"/>
      <c r="M1509" s="243"/>
      <c r="N1509" s="139"/>
      <c r="O1509" s="139"/>
      <c r="P1509" s="139"/>
      <c r="Q1509" s="147"/>
      <c r="R1509" s="139"/>
      <c r="S1509" s="139"/>
      <c r="T1509" s="139"/>
      <c r="U1509" s="139"/>
      <c r="V1509" s="139"/>
      <c r="W1509" s="139"/>
      <c r="X1509" s="146"/>
      <c r="Y1509" s="148"/>
      <c r="Z1509" s="145"/>
      <c r="AA1509" s="139"/>
      <c r="AB1509" s="149"/>
      <c r="AC1509" s="119"/>
      <c r="AD1509" s="139"/>
      <c r="AE1509" s="139"/>
      <c r="AF1509" s="139"/>
      <c r="AG1509" s="139"/>
      <c r="AH1509" s="139"/>
      <c r="AI1509" s="139"/>
      <c r="AJ1509" s="139"/>
      <c r="AK1509" s="139"/>
      <c r="AL1509" s="139"/>
      <c r="AM1509" s="139"/>
      <c r="AN1509" s="139"/>
      <c r="AO1509" s="139"/>
      <c r="AP1509" s="139"/>
      <c r="AQ1509" s="174"/>
      <c r="AR1509" s="222"/>
    </row>
    <row r="1510" spans="2:44" s="141" customFormat="1" ht="18" customHeight="1" x14ac:dyDescent="0.25">
      <c r="B1510" s="145"/>
      <c r="C1510" s="139"/>
      <c r="D1510" s="146"/>
      <c r="E1510" s="139"/>
      <c r="F1510" s="139"/>
      <c r="G1510" s="139"/>
      <c r="H1510" s="139"/>
      <c r="I1510" s="139"/>
      <c r="J1510" s="139"/>
      <c r="K1510" s="139"/>
      <c r="L1510" s="243"/>
      <c r="M1510" s="243"/>
      <c r="N1510" s="139"/>
      <c r="O1510" s="139"/>
      <c r="P1510" s="139"/>
      <c r="Q1510" s="147"/>
      <c r="R1510" s="139"/>
      <c r="S1510" s="139"/>
      <c r="T1510" s="139"/>
      <c r="U1510" s="139"/>
      <c r="V1510" s="139"/>
      <c r="W1510" s="139"/>
      <c r="X1510" s="146"/>
      <c r="Y1510" s="148"/>
      <c r="Z1510" s="145"/>
      <c r="AA1510" s="139"/>
      <c r="AB1510" s="149"/>
      <c r="AC1510" s="119"/>
      <c r="AD1510" s="139"/>
      <c r="AE1510" s="139"/>
      <c r="AF1510" s="139"/>
      <c r="AG1510" s="139"/>
      <c r="AH1510" s="139"/>
      <c r="AI1510" s="139"/>
      <c r="AJ1510" s="139"/>
      <c r="AK1510" s="139"/>
      <c r="AL1510" s="139"/>
      <c r="AM1510" s="139"/>
      <c r="AN1510" s="139"/>
      <c r="AO1510" s="139"/>
      <c r="AP1510" s="139"/>
      <c r="AQ1510" s="174"/>
      <c r="AR1510" s="222"/>
    </row>
    <row r="1511" spans="2:44" s="22" customFormat="1" ht="18" customHeight="1" x14ac:dyDescent="0.25">
      <c r="B1511" s="145"/>
      <c r="C1511" s="139"/>
      <c r="D1511" s="146"/>
      <c r="E1511" s="139"/>
      <c r="F1511" s="139"/>
      <c r="G1511" s="139"/>
      <c r="H1511" s="139"/>
      <c r="I1511" s="139"/>
      <c r="J1511" s="139"/>
      <c r="K1511" s="139"/>
      <c r="L1511" s="243"/>
      <c r="M1511" s="243"/>
      <c r="N1511" s="139"/>
      <c r="O1511" s="139"/>
      <c r="P1511" s="139"/>
      <c r="Q1511" s="147"/>
      <c r="R1511" s="139"/>
      <c r="S1511" s="139"/>
      <c r="T1511" s="139"/>
      <c r="U1511" s="139"/>
      <c r="V1511" s="139"/>
      <c r="W1511" s="139"/>
      <c r="X1511" s="146"/>
      <c r="Y1511" s="148"/>
      <c r="Z1511" s="145"/>
      <c r="AA1511" s="139"/>
      <c r="AB1511" s="149"/>
      <c r="AC1511" s="119"/>
      <c r="AD1511" s="139"/>
      <c r="AE1511" s="139"/>
      <c r="AF1511" s="139"/>
      <c r="AG1511" s="139"/>
      <c r="AH1511" s="139"/>
      <c r="AI1511" s="139"/>
      <c r="AJ1511" s="139"/>
      <c r="AK1511" s="139"/>
      <c r="AL1511" s="139"/>
      <c r="AM1511" s="139"/>
      <c r="AN1511" s="139"/>
      <c r="AO1511" s="139"/>
      <c r="AP1511" s="139"/>
      <c r="AQ1511" s="174"/>
      <c r="AR1511" s="222"/>
    </row>
    <row r="1512" spans="2:44" s="22" customFormat="1" ht="18" customHeight="1" x14ac:dyDescent="0.25">
      <c r="B1512" s="145"/>
      <c r="C1512" s="139"/>
      <c r="D1512" s="146"/>
      <c r="E1512" s="139"/>
      <c r="F1512" s="139"/>
      <c r="G1512" s="139"/>
      <c r="H1512" s="139"/>
      <c r="I1512" s="139"/>
      <c r="J1512" s="139"/>
      <c r="K1512" s="139"/>
      <c r="L1512" s="243"/>
      <c r="M1512" s="243"/>
      <c r="N1512" s="139"/>
      <c r="O1512" s="139"/>
      <c r="P1512" s="139"/>
      <c r="Q1512" s="147"/>
      <c r="R1512" s="139"/>
      <c r="S1512" s="139"/>
      <c r="T1512" s="139"/>
      <c r="U1512" s="139"/>
      <c r="V1512" s="139"/>
      <c r="W1512" s="139"/>
      <c r="X1512" s="146"/>
      <c r="Y1512" s="148"/>
      <c r="Z1512" s="145"/>
      <c r="AA1512" s="139"/>
      <c r="AB1512" s="149"/>
      <c r="AC1512" s="119"/>
      <c r="AD1512" s="139"/>
      <c r="AE1512" s="139"/>
      <c r="AF1512" s="139"/>
      <c r="AG1512" s="139"/>
      <c r="AH1512" s="139"/>
      <c r="AI1512" s="139"/>
      <c r="AJ1512" s="139"/>
      <c r="AK1512" s="139"/>
      <c r="AL1512" s="139"/>
      <c r="AM1512" s="139"/>
      <c r="AN1512" s="139"/>
      <c r="AO1512" s="139"/>
      <c r="AP1512" s="139"/>
      <c r="AQ1512" s="174"/>
      <c r="AR1512" s="222"/>
    </row>
    <row r="1513" spans="2:44" s="22" customFormat="1" ht="18" customHeight="1" x14ac:dyDescent="0.25">
      <c r="B1513" s="145"/>
      <c r="C1513" s="139"/>
      <c r="D1513" s="146"/>
      <c r="E1513" s="139"/>
      <c r="F1513" s="139"/>
      <c r="G1513" s="139"/>
      <c r="H1513" s="139"/>
      <c r="I1513" s="139"/>
      <c r="J1513" s="139"/>
      <c r="K1513" s="139"/>
      <c r="L1513" s="243"/>
      <c r="M1513" s="243"/>
      <c r="N1513" s="139"/>
      <c r="O1513" s="139"/>
      <c r="P1513" s="139"/>
      <c r="Q1513" s="147"/>
      <c r="R1513" s="139"/>
      <c r="S1513" s="139"/>
      <c r="T1513" s="139"/>
      <c r="U1513" s="139"/>
      <c r="V1513" s="139"/>
      <c r="W1513" s="139"/>
      <c r="X1513" s="146"/>
      <c r="Y1513" s="148"/>
      <c r="Z1513" s="145"/>
      <c r="AA1513" s="139"/>
      <c r="AB1513" s="149"/>
      <c r="AC1513" s="119"/>
      <c r="AD1513" s="139"/>
      <c r="AE1513" s="139"/>
      <c r="AF1513" s="139"/>
      <c r="AG1513" s="139"/>
      <c r="AH1513" s="139"/>
      <c r="AI1513" s="139"/>
      <c r="AJ1513" s="139"/>
      <c r="AK1513" s="139"/>
      <c r="AL1513" s="139"/>
      <c r="AM1513" s="139"/>
      <c r="AN1513" s="139"/>
      <c r="AO1513" s="139"/>
      <c r="AP1513" s="139"/>
      <c r="AQ1513" s="174"/>
      <c r="AR1513" s="222"/>
    </row>
    <row r="1514" spans="2:44" s="22" customFormat="1" ht="18" customHeight="1" x14ac:dyDescent="0.25">
      <c r="B1514" s="145"/>
      <c r="C1514" s="139"/>
      <c r="D1514" s="146"/>
      <c r="E1514" s="139"/>
      <c r="F1514" s="139"/>
      <c r="G1514" s="139"/>
      <c r="H1514" s="139"/>
      <c r="I1514" s="139"/>
      <c r="J1514" s="139"/>
      <c r="K1514" s="139"/>
      <c r="L1514" s="243"/>
      <c r="M1514" s="243"/>
      <c r="N1514" s="139"/>
      <c r="O1514" s="139"/>
      <c r="P1514" s="139"/>
      <c r="Q1514" s="147"/>
      <c r="R1514" s="139"/>
      <c r="S1514" s="139"/>
      <c r="T1514" s="139"/>
      <c r="U1514" s="139"/>
      <c r="V1514" s="139"/>
      <c r="W1514" s="139"/>
      <c r="X1514" s="146"/>
      <c r="Y1514" s="148"/>
      <c r="Z1514" s="145"/>
      <c r="AA1514" s="139"/>
      <c r="AB1514" s="149"/>
      <c r="AC1514" s="119"/>
      <c r="AD1514" s="139"/>
      <c r="AE1514" s="139"/>
      <c r="AF1514" s="139"/>
      <c r="AG1514" s="139"/>
      <c r="AH1514" s="139"/>
      <c r="AI1514" s="139"/>
      <c r="AJ1514" s="139"/>
      <c r="AK1514" s="139"/>
      <c r="AL1514" s="139"/>
      <c r="AM1514" s="139"/>
      <c r="AN1514" s="139"/>
      <c r="AO1514" s="139"/>
      <c r="AP1514" s="139"/>
      <c r="AQ1514" s="174"/>
      <c r="AR1514" s="222"/>
    </row>
    <row r="1515" spans="2:44" s="22" customFormat="1" ht="18" customHeight="1" x14ac:dyDescent="0.25">
      <c r="B1515" s="145"/>
      <c r="C1515" s="139"/>
      <c r="D1515" s="146"/>
      <c r="E1515" s="139"/>
      <c r="F1515" s="139"/>
      <c r="G1515" s="139"/>
      <c r="H1515" s="139"/>
      <c r="I1515" s="139"/>
      <c r="J1515" s="139"/>
      <c r="K1515" s="139"/>
      <c r="L1515" s="243"/>
      <c r="M1515" s="243"/>
      <c r="N1515" s="139"/>
      <c r="O1515" s="139"/>
      <c r="P1515" s="139"/>
      <c r="Q1515" s="147"/>
      <c r="R1515" s="139"/>
      <c r="S1515" s="139"/>
      <c r="T1515" s="139"/>
      <c r="U1515" s="139"/>
      <c r="V1515" s="139"/>
      <c r="W1515" s="139"/>
      <c r="X1515" s="146"/>
      <c r="Y1515" s="148"/>
      <c r="Z1515" s="145"/>
      <c r="AA1515" s="139"/>
      <c r="AB1515" s="149"/>
      <c r="AC1515" s="119"/>
      <c r="AD1515" s="139"/>
      <c r="AE1515" s="139"/>
      <c r="AF1515" s="139"/>
      <c r="AG1515" s="139"/>
      <c r="AH1515" s="139"/>
      <c r="AI1515" s="139"/>
      <c r="AJ1515" s="139"/>
      <c r="AK1515" s="139"/>
      <c r="AL1515" s="139"/>
      <c r="AM1515" s="139"/>
      <c r="AN1515" s="139"/>
      <c r="AO1515" s="139"/>
      <c r="AP1515" s="139"/>
      <c r="AQ1515" s="174"/>
      <c r="AR1515" s="222"/>
    </row>
    <row r="1516" spans="2:44" s="22" customFormat="1" ht="18" customHeight="1" x14ac:dyDescent="0.25">
      <c r="B1516" s="145"/>
      <c r="C1516" s="139"/>
      <c r="D1516" s="146"/>
      <c r="E1516" s="139"/>
      <c r="F1516" s="139"/>
      <c r="G1516" s="139"/>
      <c r="H1516" s="139"/>
      <c r="I1516" s="139"/>
      <c r="J1516" s="139"/>
      <c r="K1516" s="139"/>
      <c r="L1516" s="243"/>
      <c r="M1516" s="243"/>
      <c r="N1516" s="139"/>
      <c r="O1516" s="139"/>
      <c r="P1516" s="139"/>
      <c r="Q1516" s="147"/>
      <c r="R1516" s="139"/>
      <c r="S1516" s="139"/>
      <c r="T1516" s="139"/>
      <c r="U1516" s="139"/>
      <c r="V1516" s="139"/>
      <c r="W1516" s="139"/>
      <c r="X1516" s="146"/>
      <c r="Y1516" s="148"/>
      <c r="Z1516" s="145"/>
      <c r="AA1516" s="139"/>
      <c r="AB1516" s="149"/>
      <c r="AC1516" s="119"/>
      <c r="AD1516" s="139"/>
      <c r="AE1516" s="139"/>
      <c r="AF1516" s="139"/>
      <c r="AG1516" s="139"/>
      <c r="AH1516" s="139"/>
      <c r="AI1516" s="139"/>
      <c r="AJ1516" s="139"/>
      <c r="AK1516" s="139"/>
      <c r="AL1516" s="139"/>
      <c r="AM1516" s="139"/>
      <c r="AN1516" s="139"/>
      <c r="AO1516" s="139"/>
      <c r="AP1516" s="139"/>
      <c r="AQ1516" s="174"/>
      <c r="AR1516" s="222"/>
    </row>
    <row r="1517" spans="2:44" s="22" customFormat="1" ht="18" customHeight="1" x14ac:dyDescent="0.25">
      <c r="B1517" s="145"/>
      <c r="C1517" s="139"/>
      <c r="D1517" s="146"/>
      <c r="E1517" s="139"/>
      <c r="F1517" s="139"/>
      <c r="G1517" s="139"/>
      <c r="H1517" s="139"/>
      <c r="I1517" s="139"/>
      <c r="J1517" s="139"/>
      <c r="K1517" s="139"/>
      <c r="L1517" s="243"/>
      <c r="M1517" s="243"/>
      <c r="N1517" s="139"/>
      <c r="O1517" s="139"/>
      <c r="P1517" s="139"/>
      <c r="Q1517" s="147"/>
      <c r="R1517" s="139"/>
      <c r="S1517" s="139"/>
      <c r="T1517" s="139"/>
      <c r="U1517" s="139"/>
      <c r="V1517" s="139"/>
      <c r="W1517" s="139"/>
      <c r="X1517" s="146"/>
      <c r="Y1517" s="148"/>
      <c r="Z1517" s="145"/>
      <c r="AA1517" s="139"/>
      <c r="AB1517" s="149"/>
      <c r="AC1517" s="119"/>
      <c r="AD1517" s="139"/>
      <c r="AE1517" s="139"/>
      <c r="AF1517" s="139"/>
      <c r="AG1517" s="139"/>
      <c r="AH1517" s="139"/>
      <c r="AI1517" s="139"/>
      <c r="AJ1517" s="139"/>
      <c r="AK1517" s="139"/>
      <c r="AL1517" s="139"/>
      <c r="AM1517" s="139"/>
      <c r="AN1517" s="139"/>
      <c r="AO1517" s="139"/>
      <c r="AP1517" s="139"/>
      <c r="AQ1517" s="174"/>
      <c r="AR1517" s="222"/>
    </row>
    <row r="1518" spans="2:44" s="22" customFormat="1" ht="18" customHeight="1" x14ac:dyDescent="0.25">
      <c r="B1518" s="145"/>
      <c r="C1518" s="139"/>
      <c r="D1518" s="146"/>
      <c r="E1518" s="139"/>
      <c r="F1518" s="139"/>
      <c r="G1518" s="139"/>
      <c r="H1518" s="139"/>
      <c r="I1518" s="139"/>
      <c r="J1518" s="139"/>
      <c r="K1518" s="139"/>
      <c r="L1518" s="243"/>
      <c r="M1518" s="243"/>
      <c r="N1518" s="139"/>
      <c r="O1518" s="139"/>
      <c r="P1518" s="139"/>
      <c r="Q1518" s="147"/>
      <c r="R1518" s="139"/>
      <c r="S1518" s="139"/>
      <c r="T1518" s="139"/>
      <c r="U1518" s="139"/>
      <c r="V1518" s="139"/>
      <c r="W1518" s="139"/>
      <c r="X1518" s="146"/>
      <c r="Y1518" s="148"/>
      <c r="Z1518" s="145"/>
      <c r="AA1518" s="139"/>
      <c r="AB1518" s="149"/>
      <c r="AC1518" s="119"/>
      <c r="AD1518" s="139"/>
      <c r="AE1518" s="139"/>
      <c r="AF1518" s="139"/>
      <c r="AG1518" s="139"/>
      <c r="AH1518" s="139"/>
      <c r="AI1518" s="139"/>
      <c r="AJ1518" s="139"/>
      <c r="AK1518" s="139"/>
      <c r="AL1518" s="139"/>
      <c r="AM1518" s="139"/>
      <c r="AN1518" s="139"/>
      <c r="AO1518" s="139"/>
      <c r="AP1518" s="139"/>
      <c r="AQ1518" s="174"/>
      <c r="AR1518" s="222"/>
    </row>
    <row r="1519" spans="2:44" s="22" customFormat="1" ht="18" customHeight="1" x14ac:dyDescent="0.25">
      <c r="B1519" s="145"/>
      <c r="C1519" s="139"/>
      <c r="D1519" s="146"/>
      <c r="E1519" s="139"/>
      <c r="F1519" s="139"/>
      <c r="G1519" s="139"/>
      <c r="H1519" s="139"/>
      <c r="I1519" s="139"/>
      <c r="J1519" s="139"/>
      <c r="K1519" s="139"/>
      <c r="L1519" s="243"/>
      <c r="M1519" s="243"/>
      <c r="N1519" s="139"/>
      <c r="O1519" s="139"/>
      <c r="P1519" s="139"/>
      <c r="Q1519" s="147"/>
      <c r="R1519" s="139"/>
      <c r="S1519" s="139"/>
      <c r="T1519" s="139"/>
      <c r="U1519" s="139"/>
      <c r="V1519" s="139"/>
      <c r="W1519" s="139"/>
      <c r="X1519" s="146"/>
      <c r="Y1519" s="148"/>
      <c r="Z1519" s="145"/>
      <c r="AA1519" s="139"/>
      <c r="AB1519" s="149"/>
      <c r="AC1519" s="119"/>
      <c r="AD1519" s="139"/>
      <c r="AE1519" s="139"/>
      <c r="AF1519" s="139"/>
      <c r="AG1519" s="139"/>
      <c r="AH1519" s="139"/>
      <c r="AI1519" s="139"/>
      <c r="AJ1519" s="139"/>
      <c r="AK1519" s="139"/>
      <c r="AL1519" s="139"/>
      <c r="AM1519" s="139"/>
      <c r="AN1519" s="139"/>
      <c r="AO1519" s="139"/>
      <c r="AP1519" s="139"/>
      <c r="AQ1519" s="174"/>
      <c r="AR1519" s="222"/>
    </row>
    <row r="1520" spans="2:44" s="22" customFormat="1" ht="18" customHeight="1" x14ac:dyDescent="0.25">
      <c r="B1520" s="145"/>
      <c r="C1520" s="139"/>
      <c r="D1520" s="146"/>
      <c r="E1520" s="139"/>
      <c r="F1520" s="139"/>
      <c r="G1520" s="139"/>
      <c r="H1520" s="139"/>
      <c r="I1520" s="139"/>
      <c r="J1520" s="139"/>
      <c r="K1520" s="139"/>
      <c r="L1520" s="243"/>
      <c r="M1520" s="243"/>
      <c r="N1520" s="139"/>
      <c r="O1520" s="139"/>
      <c r="P1520" s="139"/>
      <c r="Q1520" s="147"/>
      <c r="R1520" s="139"/>
      <c r="S1520" s="139"/>
      <c r="T1520" s="139"/>
      <c r="U1520" s="139"/>
      <c r="V1520" s="139"/>
      <c r="W1520" s="139"/>
      <c r="X1520" s="146"/>
      <c r="Y1520" s="148"/>
      <c r="Z1520" s="145"/>
      <c r="AA1520" s="139"/>
      <c r="AB1520" s="149"/>
      <c r="AC1520" s="119"/>
      <c r="AD1520" s="139"/>
      <c r="AE1520" s="139"/>
      <c r="AF1520" s="139"/>
      <c r="AG1520" s="139"/>
      <c r="AH1520" s="139"/>
      <c r="AI1520" s="139"/>
      <c r="AJ1520" s="139"/>
      <c r="AK1520" s="139"/>
      <c r="AL1520" s="139"/>
      <c r="AM1520" s="139"/>
      <c r="AN1520" s="139"/>
      <c r="AO1520" s="139"/>
      <c r="AP1520" s="139"/>
      <c r="AQ1520" s="174"/>
      <c r="AR1520" s="222"/>
    </row>
    <row r="1521" spans="2:44" s="22" customFormat="1" ht="18" customHeight="1" x14ac:dyDescent="0.25">
      <c r="B1521" s="145"/>
      <c r="C1521" s="139"/>
      <c r="D1521" s="146"/>
      <c r="E1521" s="139"/>
      <c r="F1521" s="139"/>
      <c r="G1521" s="139"/>
      <c r="H1521" s="139"/>
      <c r="I1521" s="139"/>
      <c r="J1521" s="139"/>
      <c r="K1521" s="139"/>
      <c r="L1521" s="243"/>
      <c r="M1521" s="243"/>
      <c r="N1521" s="139"/>
      <c r="O1521" s="139"/>
      <c r="P1521" s="139"/>
      <c r="Q1521" s="147"/>
      <c r="R1521" s="139"/>
      <c r="S1521" s="139"/>
      <c r="T1521" s="139"/>
      <c r="U1521" s="139"/>
      <c r="V1521" s="139"/>
      <c r="W1521" s="139"/>
      <c r="X1521" s="146"/>
      <c r="Y1521" s="148"/>
      <c r="Z1521" s="145"/>
      <c r="AA1521" s="139"/>
      <c r="AB1521" s="149"/>
      <c r="AC1521" s="119"/>
      <c r="AD1521" s="139"/>
      <c r="AE1521" s="139"/>
      <c r="AF1521" s="139"/>
      <c r="AG1521" s="139"/>
      <c r="AH1521" s="139"/>
      <c r="AI1521" s="139"/>
      <c r="AJ1521" s="139"/>
      <c r="AK1521" s="139"/>
      <c r="AL1521" s="139"/>
      <c r="AM1521" s="139"/>
      <c r="AN1521" s="139"/>
      <c r="AO1521" s="139"/>
      <c r="AP1521" s="139"/>
      <c r="AQ1521" s="174"/>
      <c r="AR1521" s="222"/>
    </row>
    <row r="1522" spans="2:44" s="22" customFormat="1" ht="18" customHeight="1" x14ac:dyDescent="0.25">
      <c r="B1522" s="145"/>
      <c r="C1522" s="139"/>
      <c r="D1522" s="146"/>
      <c r="E1522" s="139"/>
      <c r="F1522" s="139"/>
      <c r="G1522" s="139"/>
      <c r="H1522" s="139"/>
      <c r="I1522" s="139"/>
      <c r="J1522" s="139"/>
      <c r="K1522" s="139"/>
      <c r="L1522" s="243"/>
      <c r="M1522" s="243"/>
      <c r="N1522" s="139"/>
      <c r="O1522" s="139"/>
      <c r="P1522" s="139"/>
      <c r="Q1522" s="147"/>
      <c r="R1522" s="139"/>
      <c r="S1522" s="139"/>
      <c r="T1522" s="139"/>
      <c r="U1522" s="139"/>
      <c r="V1522" s="139"/>
      <c r="W1522" s="139"/>
      <c r="X1522" s="146"/>
      <c r="Y1522" s="148"/>
      <c r="Z1522" s="145"/>
      <c r="AA1522" s="139"/>
      <c r="AB1522" s="149"/>
      <c r="AC1522" s="119"/>
      <c r="AD1522" s="139"/>
      <c r="AE1522" s="139"/>
      <c r="AF1522" s="139"/>
      <c r="AG1522" s="139"/>
      <c r="AH1522" s="139"/>
      <c r="AI1522" s="139"/>
      <c r="AJ1522" s="139"/>
      <c r="AK1522" s="139"/>
      <c r="AL1522" s="139"/>
      <c r="AM1522" s="139"/>
      <c r="AN1522" s="139"/>
      <c r="AO1522" s="139"/>
      <c r="AP1522" s="139"/>
      <c r="AQ1522" s="174"/>
      <c r="AR1522" s="222"/>
    </row>
    <row r="1523" spans="2:44" s="22" customFormat="1" ht="18" customHeight="1" x14ac:dyDescent="0.25">
      <c r="B1523" s="145"/>
      <c r="C1523" s="139"/>
      <c r="D1523" s="146"/>
      <c r="E1523" s="139"/>
      <c r="F1523" s="139"/>
      <c r="G1523" s="139"/>
      <c r="H1523" s="139"/>
      <c r="I1523" s="139"/>
      <c r="J1523" s="139"/>
      <c r="K1523" s="139"/>
      <c r="L1523" s="243"/>
      <c r="M1523" s="243"/>
      <c r="N1523" s="139"/>
      <c r="O1523" s="139"/>
      <c r="P1523" s="139"/>
      <c r="Q1523" s="147"/>
      <c r="R1523" s="139"/>
      <c r="S1523" s="139"/>
      <c r="T1523" s="139"/>
      <c r="U1523" s="139"/>
      <c r="V1523" s="139"/>
      <c r="W1523" s="139"/>
      <c r="X1523" s="146"/>
      <c r="Y1523" s="148"/>
      <c r="Z1523" s="145"/>
      <c r="AA1523" s="139"/>
      <c r="AB1523" s="149"/>
      <c r="AC1523" s="119"/>
      <c r="AD1523" s="139"/>
      <c r="AE1523" s="139"/>
      <c r="AF1523" s="139"/>
      <c r="AG1523" s="139"/>
      <c r="AH1523" s="139"/>
      <c r="AI1523" s="139"/>
      <c r="AJ1523" s="139"/>
      <c r="AK1523" s="139"/>
      <c r="AL1523" s="139"/>
      <c r="AM1523" s="139"/>
      <c r="AN1523" s="139"/>
      <c r="AO1523" s="139"/>
      <c r="AP1523" s="139"/>
      <c r="AQ1523" s="174"/>
      <c r="AR1523" s="222"/>
    </row>
    <row r="1524" spans="2:44" s="22" customFormat="1" ht="18" customHeight="1" x14ac:dyDescent="0.25">
      <c r="B1524" s="145"/>
      <c r="C1524" s="139"/>
      <c r="D1524" s="146"/>
      <c r="E1524" s="139"/>
      <c r="F1524" s="139"/>
      <c r="G1524" s="139"/>
      <c r="H1524" s="139"/>
      <c r="I1524" s="139"/>
      <c r="J1524" s="139"/>
      <c r="K1524" s="139"/>
      <c r="L1524" s="243"/>
      <c r="M1524" s="243"/>
      <c r="N1524" s="139"/>
      <c r="O1524" s="139"/>
      <c r="P1524" s="139"/>
      <c r="Q1524" s="147"/>
      <c r="R1524" s="139"/>
      <c r="S1524" s="139"/>
      <c r="T1524" s="139"/>
      <c r="U1524" s="139"/>
      <c r="V1524" s="139"/>
      <c r="W1524" s="139"/>
      <c r="X1524" s="146"/>
      <c r="Y1524" s="148"/>
      <c r="Z1524" s="145"/>
      <c r="AA1524" s="139"/>
      <c r="AB1524" s="149"/>
      <c r="AC1524" s="119"/>
      <c r="AD1524" s="139"/>
      <c r="AE1524" s="139"/>
      <c r="AF1524" s="139"/>
      <c r="AG1524" s="139"/>
      <c r="AH1524" s="139"/>
      <c r="AI1524" s="139"/>
      <c r="AJ1524" s="139"/>
      <c r="AK1524" s="139"/>
      <c r="AL1524" s="139"/>
      <c r="AM1524" s="139"/>
      <c r="AN1524" s="139"/>
      <c r="AO1524" s="139"/>
      <c r="AP1524" s="139"/>
      <c r="AQ1524" s="174"/>
      <c r="AR1524" s="222"/>
    </row>
    <row r="1525" spans="2:44" s="22" customFormat="1" ht="18" customHeight="1" x14ac:dyDescent="0.25">
      <c r="B1525" s="145"/>
      <c r="C1525" s="139"/>
      <c r="D1525" s="146"/>
      <c r="E1525" s="139"/>
      <c r="F1525" s="139"/>
      <c r="G1525" s="139"/>
      <c r="H1525" s="139"/>
      <c r="I1525" s="139"/>
      <c r="J1525" s="139"/>
      <c r="K1525" s="139"/>
      <c r="L1525" s="243"/>
      <c r="M1525" s="243"/>
      <c r="N1525" s="139"/>
      <c r="O1525" s="139"/>
      <c r="P1525" s="139"/>
      <c r="Q1525" s="147"/>
      <c r="R1525" s="139"/>
      <c r="S1525" s="139"/>
      <c r="T1525" s="139"/>
      <c r="U1525" s="139"/>
      <c r="V1525" s="139"/>
      <c r="W1525" s="139"/>
      <c r="X1525" s="146"/>
      <c r="Y1525" s="148"/>
      <c r="Z1525" s="145"/>
      <c r="AA1525" s="139"/>
      <c r="AB1525" s="149"/>
      <c r="AC1525" s="119"/>
      <c r="AD1525" s="139"/>
      <c r="AE1525" s="139"/>
      <c r="AF1525" s="139"/>
      <c r="AG1525" s="139"/>
      <c r="AH1525" s="139"/>
      <c r="AI1525" s="139"/>
      <c r="AJ1525" s="139"/>
      <c r="AK1525" s="139"/>
      <c r="AL1525" s="139"/>
      <c r="AM1525" s="139"/>
      <c r="AN1525" s="139"/>
      <c r="AO1525" s="139"/>
      <c r="AP1525" s="139"/>
      <c r="AQ1525" s="174"/>
      <c r="AR1525" s="222"/>
    </row>
    <row r="1526" spans="2:44" s="141" customFormat="1" ht="18" customHeight="1" x14ac:dyDescent="0.25">
      <c r="B1526" s="145"/>
      <c r="C1526" s="139"/>
      <c r="D1526" s="146"/>
      <c r="E1526" s="139"/>
      <c r="F1526" s="139"/>
      <c r="G1526" s="139"/>
      <c r="H1526" s="139"/>
      <c r="I1526" s="139"/>
      <c r="J1526" s="139"/>
      <c r="K1526" s="139"/>
      <c r="L1526" s="243"/>
      <c r="M1526" s="243"/>
      <c r="N1526" s="139"/>
      <c r="O1526" s="139"/>
      <c r="P1526" s="139"/>
      <c r="Q1526" s="147"/>
      <c r="R1526" s="139"/>
      <c r="S1526" s="139"/>
      <c r="T1526" s="139"/>
      <c r="U1526" s="139"/>
      <c r="V1526" s="139"/>
      <c r="W1526" s="139"/>
      <c r="X1526" s="146"/>
      <c r="Y1526" s="148"/>
      <c r="Z1526" s="145"/>
      <c r="AA1526" s="139"/>
      <c r="AB1526" s="149"/>
      <c r="AC1526" s="119"/>
      <c r="AD1526" s="139"/>
      <c r="AE1526" s="139"/>
      <c r="AF1526" s="139"/>
      <c r="AG1526" s="139"/>
      <c r="AH1526" s="139"/>
      <c r="AI1526" s="139"/>
      <c r="AJ1526" s="139"/>
      <c r="AK1526" s="139"/>
      <c r="AL1526" s="139"/>
      <c r="AM1526" s="139"/>
      <c r="AN1526" s="139"/>
      <c r="AO1526" s="139"/>
      <c r="AP1526" s="139"/>
      <c r="AQ1526" s="174"/>
      <c r="AR1526" s="222"/>
    </row>
    <row r="1527" spans="2:44" s="22" customFormat="1" ht="18" customHeight="1" x14ac:dyDescent="0.25">
      <c r="B1527" s="145"/>
      <c r="C1527" s="139"/>
      <c r="D1527" s="146"/>
      <c r="E1527" s="139"/>
      <c r="F1527" s="139"/>
      <c r="G1527" s="139"/>
      <c r="H1527" s="139"/>
      <c r="I1527" s="139"/>
      <c r="J1527" s="139"/>
      <c r="K1527" s="139"/>
      <c r="L1527" s="243"/>
      <c r="M1527" s="243"/>
      <c r="N1527" s="139"/>
      <c r="O1527" s="139"/>
      <c r="P1527" s="139"/>
      <c r="Q1527" s="147"/>
      <c r="R1527" s="139"/>
      <c r="S1527" s="139"/>
      <c r="T1527" s="139"/>
      <c r="U1527" s="139"/>
      <c r="V1527" s="139"/>
      <c r="W1527" s="139"/>
      <c r="X1527" s="146"/>
      <c r="Y1527" s="148"/>
      <c r="Z1527" s="145"/>
      <c r="AA1527" s="139"/>
      <c r="AB1527" s="149"/>
      <c r="AC1527" s="119"/>
      <c r="AD1527" s="139"/>
      <c r="AE1527" s="139"/>
      <c r="AF1527" s="139"/>
      <c r="AG1527" s="139"/>
      <c r="AH1527" s="139"/>
      <c r="AI1527" s="139"/>
      <c r="AJ1527" s="139"/>
      <c r="AK1527" s="139"/>
      <c r="AL1527" s="139"/>
      <c r="AM1527" s="139"/>
      <c r="AN1527" s="139"/>
      <c r="AO1527" s="139"/>
      <c r="AP1527" s="139"/>
      <c r="AQ1527" s="174"/>
      <c r="AR1527" s="222"/>
    </row>
    <row r="1528" spans="2:44" s="22" customFormat="1" ht="18" customHeight="1" x14ac:dyDescent="0.25">
      <c r="B1528" s="145"/>
      <c r="C1528" s="139"/>
      <c r="D1528" s="146"/>
      <c r="E1528" s="139"/>
      <c r="F1528" s="139"/>
      <c r="G1528" s="139"/>
      <c r="H1528" s="139"/>
      <c r="I1528" s="139"/>
      <c r="J1528" s="139"/>
      <c r="K1528" s="139"/>
      <c r="L1528" s="243"/>
      <c r="M1528" s="243"/>
      <c r="N1528" s="139"/>
      <c r="O1528" s="139"/>
      <c r="P1528" s="139"/>
      <c r="Q1528" s="147"/>
      <c r="R1528" s="139"/>
      <c r="S1528" s="139"/>
      <c r="T1528" s="139"/>
      <c r="U1528" s="139"/>
      <c r="V1528" s="139"/>
      <c r="W1528" s="139"/>
      <c r="X1528" s="146"/>
      <c r="Y1528" s="148"/>
      <c r="Z1528" s="145"/>
      <c r="AA1528" s="139"/>
      <c r="AB1528" s="149"/>
      <c r="AC1528" s="119"/>
      <c r="AD1528" s="139"/>
      <c r="AE1528" s="139"/>
      <c r="AF1528" s="139"/>
      <c r="AG1528" s="139"/>
      <c r="AH1528" s="139"/>
      <c r="AI1528" s="139"/>
      <c r="AJ1528" s="139"/>
      <c r="AK1528" s="139"/>
      <c r="AL1528" s="139"/>
      <c r="AM1528" s="139"/>
      <c r="AN1528" s="139"/>
      <c r="AO1528" s="139"/>
      <c r="AP1528" s="139"/>
      <c r="AQ1528" s="174"/>
      <c r="AR1528" s="222"/>
    </row>
    <row r="1529" spans="2:44" s="22" customFormat="1" ht="18" customHeight="1" x14ac:dyDescent="0.25">
      <c r="B1529" s="145"/>
      <c r="C1529" s="139"/>
      <c r="D1529" s="146"/>
      <c r="E1529" s="139"/>
      <c r="F1529" s="139"/>
      <c r="G1529" s="139"/>
      <c r="H1529" s="139"/>
      <c r="I1529" s="139"/>
      <c r="J1529" s="139"/>
      <c r="K1529" s="139"/>
      <c r="L1529" s="243"/>
      <c r="M1529" s="243"/>
      <c r="N1529" s="139"/>
      <c r="O1529" s="139"/>
      <c r="P1529" s="139"/>
      <c r="Q1529" s="147"/>
      <c r="R1529" s="139"/>
      <c r="S1529" s="139"/>
      <c r="T1529" s="139"/>
      <c r="U1529" s="139"/>
      <c r="V1529" s="139"/>
      <c r="W1529" s="139"/>
      <c r="X1529" s="146"/>
      <c r="Y1529" s="148"/>
      <c r="Z1529" s="145"/>
      <c r="AA1529" s="139"/>
      <c r="AB1529" s="149"/>
      <c r="AC1529" s="119"/>
      <c r="AD1529" s="139"/>
      <c r="AE1529" s="139"/>
      <c r="AF1529" s="139"/>
      <c r="AG1529" s="139"/>
      <c r="AH1529" s="139"/>
      <c r="AI1529" s="139"/>
      <c r="AJ1529" s="139"/>
      <c r="AK1529" s="139"/>
      <c r="AL1529" s="139"/>
      <c r="AM1529" s="139"/>
      <c r="AN1529" s="139"/>
      <c r="AO1529" s="139"/>
      <c r="AP1529" s="139"/>
      <c r="AQ1529" s="174"/>
      <c r="AR1529" s="222"/>
    </row>
    <row r="1530" spans="2:44" s="22" customFormat="1" ht="18" customHeight="1" x14ac:dyDescent="0.25">
      <c r="B1530" s="145"/>
      <c r="C1530" s="139"/>
      <c r="D1530" s="146"/>
      <c r="E1530" s="139"/>
      <c r="F1530" s="139"/>
      <c r="G1530" s="139"/>
      <c r="H1530" s="139"/>
      <c r="I1530" s="139"/>
      <c r="J1530" s="139"/>
      <c r="K1530" s="139"/>
      <c r="L1530" s="243"/>
      <c r="M1530" s="243"/>
      <c r="N1530" s="139"/>
      <c r="O1530" s="139"/>
      <c r="P1530" s="139"/>
      <c r="Q1530" s="147"/>
      <c r="R1530" s="139"/>
      <c r="S1530" s="139"/>
      <c r="T1530" s="139"/>
      <c r="U1530" s="139"/>
      <c r="V1530" s="139"/>
      <c r="W1530" s="139"/>
      <c r="X1530" s="146"/>
      <c r="Y1530" s="148"/>
      <c r="Z1530" s="145"/>
      <c r="AA1530" s="139"/>
      <c r="AB1530" s="149"/>
      <c r="AC1530" s="119"/>
      <c r="AD1530" s="139"/>
      <c r="AE1530" s="139"/>
      <c r="AF1530" s="139"/>
      <c r="AG1530" s="139"/>
      <c r="AH1530" s="139"/>
      <c r="AI1530" s="139"/>
      <c r="AJ1530" s="139"/>
      <c r="AK1530" s="139"/>
      <c r="AL1530" s="139"/>
      <c r="AM1530" s="139"/>
      <c r="AN1530" s="139"/>
      <c r="AO1530" s="139"/>
      <c r="AP1530" s="139"/>
      <c r="AQ1530" s="174"/>
      <c r="AR1530" s="222"/>
    </row>
    <row r="1531" spans="2:44" s="22" customFormat="1" ht="18" customHeight="1" x14ac:dyDescent="0.25">
      <c r="B1531" s="145"/>
      <c r="C1531" s="139"/>
      <c r="D1531" s="146"/>
      <c r="E1531" s="139"/>
      <c r="F1531" s="139"/>
      <c r="G1531" s="139"/>
      <c r="H1531" s="139"/>
      <c r="I1531" s="139"/>
      <c r="J1531" s="139"/>
      <c r="K1531" s="139"/>
      <c r="L1531" s="243"/>
      <c r="M1531" s="243"/>
      <c r="N1531" s="139"/>
      <c r="O1531" s="139"/>
      <c r="P1531" s="139"/>
      <c r="Q1531" s="147"/>
      <c r="R1531" s="139"/>
      <c r="S1531" s="139"/>
      <c r="T1531" s="139"/>
      <c r="U1531" s="139"/>
      <c r="V1531" s="139"/>
      <c r="W1531" s="139"/>
      <c r="X1531" s="146"/>
      <c r="Y1531" s="148"/>
      <c r="Z1531" s="145"/>
      <c r="AA1531" s="139"/>
      <c r="AB1531" s="149"/>
      <c r="AC1531" s="119"/>
      <c r="AD1531" s="139"/>
      <c r="AE1531" s="139"/>
      <c r="AF1531" s="139"/>
      <c r="AG1531" s="139"/>
      <c r="AH1531" s="139"/>
      <c r="AI1531" s="139"/>
      <c r="AJ1531" s="139"/>
      <c r="AK1531" s="139"/>
      <c r="AL1531" s="139"/>
      <c r="AM1531" s="139"/>
      <c r="AN1531" s="139"/>
      <c r="AO1531" s="139"/>
      <c r="AP1531" s="139"/>
      <c r="AQ1531" s="174"/>
      <c r="AR1531" s="222"/>
    </row>
    <row r="1532" spans="2:44" s="22" customFormat="1" ht="18" customHeight="1" x14ac:dyDescent="0.25">
      <c r="B1532" s="145"/>
      <c r="C1532" s="139"/>
      <c r="D1532" s="146"/>
      <c r="E1532" s="139"/>
      <c r="F1532" s="139"/>
      <c r="G1532" s="139"/>
      <c r="H1532" s="139"/>
      <c r="I1532" s="139"/>
      <c r="J1532" s="139"/>
      <c r="K1532" s="139"/>
      <c r="L1532" s="243"/>
      <c r="M1532" s="243"/>
      <c r="N1532" s="139"/>
      <c r="O1532" s="139"/>
      <c r="P1532" s="139"/>
      <c r="Q1532" s="147"/>
      <c r="R1532" s="139"/>
      <c r="S1532" s="139"/>
      <c r="T1532" s="139"/>
      <c r="U1532" s="139"/>
      <c r="V1532" s="139"/>
      <c r="W1532" s="139"/>
      <c r="X1532" s="146"/>
      <c r="Y1532" s="148"/>
      <c r="Z1532" s="145"/>
      <c r="AA1532" s="139"/>
      <c r="AB1532" s="149"/>
      <c r="AC1532" s="119"/>
      <c r="AD1532" s="139"/>
      <c r="AE1532" s="139"/>
      <c r="AF1532" s="139"/>
      <c r="AG1532" s="139"/>
      <c r="AH1532" s="139"/>
      <c r="AI1532" s="139"/>
      <c r="AJ1532" s="139"/>
      <c r="AK1532" s="139"/>
      <c r="AL1532" s="139"/>
      <c r="AM1532" s="139"/>
      <c r="AN1532" s="139"/>
      <c r="AO1532" s="139"/>
      <c r="AP1532" s="139"/>
      <c r="AQ1532" s="174"/>
      <c r="AR1532" s="222"/>
    </row>
    <row r="1533" spans="2:44" s="22" customFormat="1" ht="18" customHeight="1" x14ac:dyDescent="0.25">
      <c r="B1533" s="145"/>
      <c r="C1533" s="139"/>
      <c r="D1533" s="146"/>
      <c r="E1533" s="139"/>
      <c r="F1533" s="139"/>
      <c r="G1533" s="139"/>
      <c r="H1533" s="139"/>
      <c r="I1533" s="139"/>
      <c r="J1533" s="139"/>
      <c r="K1533" s="139"/>
      <c r="L1533" s="243"/>
      <c r="M1533" s="243"/>
      <c r="N1533" s="139"/>
      <c r="O1533" s="139"/>
      <c r="P1533" s="139"/>
      <c r="Q1533" s="147"/>
      <c r="R1533" s="139"/>
      <c r="S1533" s="139"/>
      <c r="T1533" s="139"/>
      <c r="U1533" s="139"/>
      <c r="V1533" s="139"/>
      <c r="W1533" s="139"/>
      <c r="X1533" s="146"/>
      <c r="Y1533" s="148"/>
      <c r="Z1533" s="145"/>
      <c r="AA1533" s="139"/>
      <c r="AB1533" s="149"/>
      <c r="AC1533" s="119"/>
      <c r="AD1533" s="139"/>
      <c r="AE1533" s="139"/>
      <c r="AF1533" s="139"/>
      <c r="AG1533" s="139"/>
      <c r="AH1533" s="139"/>
      <c r="AI1533" s="139"/>
      <c r="AJ1533" s="139"/>
      <c r="AK1533" s="139"/>
      <c r="AL1533" s="139"/>
      <c r="AM1533" s="139"/>
      <c r="AN1533" s="139"/>
      <c r="AO1533" s="139"/>
      <c r="AP1533" s="139"/>
      <c r="AQ1533" s="174"/>
      <c r="AR1533" s="222"/>
    </row>
    <row r="1534" spans="2:44" s="22" customFormat="1" ht="18" customHeight="1" x14ac:dyDescent="0.25">
      <c r="B1534" s="145"/>
      <c r="C1534" s="139"/>
      <c r="D1534" s="146"/>
      <c r="E1534" s="139"/>
      <c r="F1534" s="139"/>
      <c r="G1534" s="139"/>
      <c r="H1534" s="139"/>
      <c r="I1534" s="139"/>
      <c r="J1534" s="139"/>
      <c r="K1534" s="139"/>
      <c r="L1534" s="243"/>
      <c r="M1534" s="243"/>
      <c r="N1534" s="139"/>
      <c r="O1534" s="139"/>
      <c r="P1534" s="139"/>
      <c r="Q1534" s="147"/>
      <c r="R1534" s="139"/>
      <c r="S1534" s="139"/>
      <c r="T1534" s="139"/>
      <c r="U1534" s="139"/>
      <c r="V1534" s="139"/>
      <c r="W1534" s="139"/>
      <c r="X1534" s="146"/>
      <c r="Y1534" s="148"/>
      <c r="Z1534" s="145"/>
      <c r="AA1534" s="139"/>
      <c r="AB1534" s="149"/>
      <c r="AC1534" s="119"/>
      <c r="AD1534" s="139"/>
      <c r="AE1534" s="139"/>
      <c r="AF1534" s="139"/>
      <c r="AG1534" s="139"/>
      <c r="AH1534" s="139"/>
      <c r="AI1534" s="139"/>
      <c r="AJ1534" s="139"/>
      <c r="AK1534" s="139"/>
      <c r="AL1534" s="139"/>
      <c r="AM1534" s="139"/>
      <c r="AN1534" s="139"/>
      <c r="AO1534" s="139"/>
      <c r="AP1534" s="139"/>
      <c r="AQ1534" s="174"/>
      <c r="AR1534" s="222"/>
    </row>
    <row r="1535" spans="2:44" s="141" customFormat="1" ht="18" customHeight="1" x14ac:dyDescent="0.25">
      <c r="B1535" s="145"/>
      <c r="C1535" s="139"/>
      <c r="D1535" s="146"/>
      <c r="E1535" s="139"/>
      <c r="F1535" s="139"/>
      <c r="G1535" s="139"/>
      <c r="H1535" s="139"/>
      <c r="I1535" s="139"/>
      <c r="J1535" s="139"/>
      <c r="K1535" s="139"/>
      <c r="L1535" s="243"/>
      <c r="M1535" s="243"/>
      <c r="N1535" s="139"/>
      <c r="O1535" s="139"/>
      <c r="P1535" s="139"/>
      <c r="Q1535" s="147"/>
      <c r="R1535" s="139"/>
      <c r="S1535" s="139"/>
      <c r="T1535" s="139"/>
      <c r="U1535" s="139"/>
      <c r="V1535" s="139"/>
      <c r="W1535" s="139"/>
      <c r="X1535" s="146"/>
      <c r="Y1535" s="148"/>
      <c r="Z1535" s="145"/>
      <c r="AA1535" s="139"/>
      <c r="AB1535" s="149"/>
      <c r="AC1535" s="119"/>
      <c r="AD1535" s="139"/>
      <c r="AE1535" s="139"/>
      <c r="AF1535" s="139"/>
      <c r="AG1535" s="139"/>
      <c r="AH1535" s="139"/>
      <c r="AI1535" s="139"/>
      <c r="AJ1535" s="139"/>
      <c r="AK1535" s="139"/>
      <c r="AL1535" s="139"/>
      <c r="AM1535" s="139"/>
      <c r="AN1535" s="139"/>
      <c r="AO1535" s="139"/>
      <c r="AP1535" s="139"/>
      <c r="AQ1535" s="174"/>
      <c r="AR1535" s="222"/>
    </row>
    <row r="1536" spans="2:44" s="141" customFormat="1" ht="18" customHeight="1" x14ac:dyDescent="0.25">
      <c r="B1536" s="145"/>
      <c r="C1536" s="139"/>
      <c r="D1536" s="146"/>
      <c r="E1536" s="139"/>
      <c r="F1536" s="139"/>
      <c r="G1536" s="139"/>
      <c r="H1536" s="139"/>
      <c r="I1536" s="139"/>
      <c r="J1536" s="139"/>
      <c r="K1536" s="139"/>
      <c r="L1536" s="243"/>
      <c r="M1536" s="243"/>
      <c r="N1536" s="139"/>
      <c r="O1536" s="139"/>
      <c r="P1536" s="139"/>
      <c r="Q1536" s="147"/>
      <c r="R1536" s="139"/>
      <c r="S1536" s="139"/>
      <c r="T1536" s="139"/>
      <c r="U1536" s="139"/>
      <c r="V1536" s="139"/>
      <c r="W1536" s="139"/>
      <c r="X1536" s="146"/>
      <c r="Y1536" s="148"/>
      <c r="Z1536" s="145"/>
      <c r="AA1536" s="139"/>
      <c r="AB1536" s="149"/>
      <c r="AC1536" s="119"/>
      <c r="AD1536" s="139"/>
      <c r="AE1536" s="139"/>
      <c r="AF1536" s="139"/>
      <c r="AG1536" s="139"/>
      <c r="AH1536" s="139"/>
      <c r="AI1536" s="139"/>
      <c r="AJ1536" s="139"/>
      <c r="AK1536" s="139"/>
      <c r="AL1536" s="139"/>
      <c r="AM1536" s="139"/>
      <c r="AN1536" s="139"/>
      <c r="AO1536" s="139"/>
      <c r="AP1536" s="139"/>
      <c r="AQ1536" s="174"/>
      <c r="AR1536" s="222"/>
    </row>
    <row r="1537" spans="2:44" s="22" customFormat="1" ht="18" customHeight="1" x14ac:dyDescent="0.25">
      <c r="B1537" s="145"/>
      <c r="C1537" s="139"/>
      <c r="D1537" s="146"/>
      <c r="E1537" s="139"/>
      <c r="F1537" s="139"/>
      <c r="G1537" s="139"/>
      <c r="H1537" s="139"/>
      <c r="I1537" s="139"/>
      <c r="J1537" s="139"/>
      <c r="K1537" s="139"/>
      <c r="L1537" s="243"/>
      <c r="M1537" s="243"/>
      <c r="N1537" s="139"/>
      <c r="O1537" s="139"/>
      <c r="P1537" s="139"/>
      <c r="Q1537" s="147"/>
      <c r="R1537" s="139"/>
      <c r="S1537" s="139"/>
      <c r="T1537" s="139"/>
      <c r="U1537" s="139"/>
      <c r="V1537" s="139"/>
      <c r="W1537" s="139"/>
      <c r="X1537" s="146"/>
      <c r="Y1537" s="148"/>
      <c r="Z1537" s="145"/>
      <c r="AA1537" s="139"/>
      <c r="AB1537" s="149"/>
      <c r="AC1537" s="119"/>
      <c r="AD1537" s="139"/>
      <c r="AE1537" s="139"/>
      <c r="AF1537" s="139"/>
      <c r="AG1537" s="139"/>
      <c r="AH1537" s="139"/>
      <c r="AI1537" s="139"/>
      <c r="AJ1537" s="139"/>
      <c r="AK1537" s="139"/>
      <c r="AL1537" s="139"/>
      <c r="AM1537" s="139"/>
      <c r="AN1537" s="139"/>
      <c r="AO1537" s="139"/>
      <c r="AP1537" s="139"/>
      <c r="AQ1537" s="174"/>
      <c r="AR1537" s="222"/>
    </row>
    <row r="1538" spans="2:44" s="140" customFormat="1" ht="18" customHeight="1" x14ac:dyDescent="0.25">
      <c r="B1538" s="145"/>
      <c r="C1538" s="139"/>
      <c r="D1538" s="146"/>
      <c r="E1538" s="139"/>
      <c r="F1538" s="139"/>
      <c r="G1538" s="139"/>
      <c r="H1538" s="139"/>
      <c r="I1538" s="139"/>
      <c r="J1538" s="139"/>
      <c r="K1538" s="139"/>
      <c r="L1538" s="243"/>
      <c r="M1538" s="243"/>
      <c r="N1538" s="139"/>
      <c r="O1538" s="139"/>
      <c r="P1538" s="139"/>
      <c r="Q1538" s="147"/>
      <c r="R1538" s="139"/>
      <c r="S1538" s="139"/>
      <c r="T1538" s="139"/>
      <c r="U1538" s="139"/>
      <c r="V1538" s="139"/>
      <c r="W1538" s="139"/>
      <c r="X1538" s="146"/>
      <c r="Y1538" s="148"/>
      <c r="Z1538" s="145"/>
      <c r="AA1538" s="139"/>
      <c r="AB1538" s="149"/>
      <c r="AC1538" s="119"/>
      <c r="AD1538" s="139"/>
      <c r="AE1538" s="139"/>
      <c r="AF1538" s="139"/>
      <c r="AG1538" s="139"/>
      <c r="AH1538" s="139"/>
      <c r="AI1538" s="139"/>
      <c r="AJ1538" s="139"/>
      <c r="AK1538" s="139"/>
      <c r="AL1538" s="139"/>
      <c r="AM1538" s="139"/>
      <c r="AN1538" s="139"/>
      <c r="AO1538" s="139"/>
      <c r="AP1538" s="139"/>
      <c r="AQ1538" s="174"/>
      <c r="AR1538" s="222"/>
    </row>
    <row r="1539" spans="2:44" s="22" customFormat="1" ht="18" customHeight="1" x14ac:dyDescent="0.25">
      <c r="B1539" s="145"/>
      <c r="C1539" s="139"/>
      <c r="D1539" s="146"/>
      <c r="E1539" s="139"/>
      <c r="F1539" s="139"/>
      <c r="G1539" s="139"/>
      <c r="H1539" s="139"/>
      <c r="I1539" s="139"/>
      <c r="J1539" s="139"/>
      <c r="K1539" s="139"/>
      <c r="L1539" s="243"/>
      <c r="M1539" s="243"/>
      <c r="N1539" s="139"/>
      <c r="O1539" s="139"/>
      <c r="P1539" s="139"/>
      <c r="Q1539" s="147"/>
      <c r="R1539" s="139"/>
      <c r="S1539" s="139"/>
      <c r="T1539" s="139"/>
      <c r="U1539" s="139"/>
      <c r="V1539" s="139"/>
      <c r="W1539" s="139"/>
      <c r="X1539" s="146"/>
      <c r="Y1539" s="148"/>
      <c r="Z1539" s="145"/>
      <c r="AA1539" s="139"/>
      <c r="AB1539" s="149"/>
      <c r="AC1539" s="119"/>
      <c r="AD1539" s="139"/>
      <c r="AE1539" s="139"/>
      <c r="AF1539" s="139"/>
      <c r="AG1539" s="139"/>
      <c r="AH1539" s="139"/>
      <c r="AI1539" s="139"/>
      <c r="AJ1539" s="139"/>
      <c r="AK1539" s="139"/>
      <c r="AL1539" s="139"/>
      <c r="AM1539" s="139"/>
      <c r="AN1539" s="139"/>
      <c r="AO1539" s="139"/>
      <c r="AP1539" s="139"/>
      <c r="AQ1539" s="174"/>
      <c r="AR1539" s="222"/>
    </row>
    <row r="1540" spans="2:44" s="22" customFormat="1" ht="18" customHeight="1" x14ac:dyDescent="0.25">
      <c r="B1540" s="145"/>
      <c r="C1540" s="139"/>
      <c r="D1540" s="146"/>
      <c r="E1540" s="139"/>
      <c r="F1540" s="139"/>
      <c r="G1540" s="139"/>
      <c r="H1540" s="139"/>
      <c r="I1540" s="139"/>
      <c r="J1540" s="139"/>
      <c r="K1540" s="139"/>
      <c r="L1540" s="243"/>
      <c r="M1540" s="243"/>
      <c r="N1540" s="139"/>
      <c r="O1540" s="139"/>
      <c r="P1540" s="139"/>
      <c r="Q1540" s="147"/>
      <c r="R1540" s="139"/>
      <c r="S1540" s="139"/>
      <c r="T1540" s="139"/>
      <c r="U1540" s="139"/>
      <c r="V1540" s="139"/>
      <c r="W1540" s="139"/>
      <c r="X1540" s="146"/>
      <c r="Y1540" s="148"/>
      <c r="Z1540" s="145"/>
      <c r="AA1540" s="139"/>
      <c r="AB1540" s="149"/>
      <c r="AC1540" s="119"/>
      <c r="AD1540" s="139"/>
      <c r="AE1540" s="139"/>
      <c r="AF1540" s="139"/>
      <c r="AG1540" s="139"/>
      <c r="AH1540" s="139"/>
      <c r="AI1540" s="139"/>
      <c r="AJ1540" s="139"/>
      <c r="AK1540" s="139"/>
      <c r="AL1540" s="139"/>
      <c r="AM1540" s="139"/>
      <c r="AN1540" s="139"/>
      <c r="AO1540" s="139"/>
      <c r="AP1540" s="139"/>
      <c r="AQ1540" s="174"/>
      <c r="AR1540" s="222"/>
    </row>
    <row r="1541" spans="2:44" s="22" customFormat="1" ht="18" customHeight="1" x14ac:dyDescent="0.25">
      <c r="B1541" s="145"/>
      <c r="C1541" s="139"/>
      <c r="D1541" s="146"/>
      <c r="E1541" s="139"/>
      <c r="F1541" s="139"/>
      <c r="G1541" s="139"/>
      <c r="H1541" s="139"/>
      <c r="I1541" s="139"/>
      <c r="J1541" s="139"/>
      <c r="K1541" s="139"/>
      <c r="L1541" s="243"/>
      <c r="M1541" s="243"/>
      <c r="N1541" s="139"/>
      <c r="O1541" s="139"/>
      <c r="P1541" s="139"/>
      <c r="Q1541" s="147"/>
      <c r="R1541" s="139"/>
      <c r="S1541" s="139"/>
      <c r="T1541" s="139"/>
      <c r="U1541" s="139"/>
      <c r="V1541" s="139"/>
      <c r="W1541" s="139"/>
      <c r="X1541" s="146"/>
      <c r="Y1541" s="148"/>
      <c r="Z1541" s="145"/>
      <c r="AA1541" s="139"/>
      <c r="AB1541" s="149"/>
      <c r="AC1541" s="119"/>
      <c r="AD1541" s="139"/>
      <c r="AE1541" s="139"/>
      <c r="AF1541" s="139"/>
      <c r="AG1541" s="139"/>
      <c r="AH1541" s="139"/>
      <c r="AI1541" s="139"/>
      <c r="AJ1541" s="139"/>
      <c r="AK1541" s="139"/>
      <c r="AL1541" s="139"/>
      <c r="AM1541" s="139"/>
      <c r="AN1541" s="139"/>
      <c r="AO1541" s="139"/>
      <c r="AP1541" s="139"/>
      <c r="AQ1541" s="174"/>
      <c r="AR1541" s="222"/>
    </row>
    <row r="1542" spans="2:44" s="22" customFormat="1" ht="18" customHeight="1" x14ac:dyDescent="0.25">
      <c r="B1542" s="145"/>
      <c r="C1542" s="139"/>
      <c r="D1542" s="146"/>
      <c r="E1542" s="139"/>
      <c r="F1542" s="139"/>
      <c r="G1542" s="139"/>
      <c r="H1542" s="139"/>
      <c r="I1542" s="139"/>
      <c r="J1542" s="139"/>
      <c r="K1542" s="139"/>
      <c r="L1542" s="243"/>
      <c r="M1542" s="243"/>
      <c r="N1542" s="139"/>
      <c r="O1542" s="139"/>
      <c r="P1542" s="139"/>
      <c r="Q1542" s="147"/>
      <c r="R1542" s="139"/>
      <c r="S1542" s="139"/>
      <c r="T1542" s="139"/>
      <c r="U1542" s="139"/>
      <c r="V1542" s="139"/>
      <c r="W1542" s="139"/>
      <c r="X1542" s="146"/>
      <c r="Y1542" s="148"/>
      <c r="Z1542" s="145"/>
      <c r="AA1542" s="139"/>
      <c r="AB1542" s="149"/>
      <c r="AC1542" s="119"/>
      <c r="AD1542" s="139"/>
      <c r="AE1542" s="139"/>
      <c r="AF1542" s="139"/>
      <c r="AG1542" s="139"/>
      <c r="AH1542" s="139"/>
      <c r="AI1542" s="139"/>
      <c r="AJ1542" s="139"/>
      <c r="AK1542" s="139"/>
      <c r="AL1542" s="139"/>
      <c r="AM1542" s="139"/>
      <c r="AN1542" s="139"/>
      <c r="AO1542" s="139"/>
      <c r="AP1542" s="139"/>
      <c r="AQ1542" s="174"/>
      <c r="AR1542" s="222"/>
    </row>
    <row r="1543" spans="2:44" s="22" customFormat="1" ht="18" customHeight="1" x14ac:dyDescent="0.25">
      <c r="B1543" s="145"/>
      <c r="C1543" s="139"/>
      <c r="D1543" s="146"/>
      <c r="E1543" s="139"/>
      <c r="F1543" s="139"/>
      <c r="G1543" s="139"/>
      <c r="H1543" s="139"/>
      <c r="I1543" s="139"/>
      <c r="J1543" s="139"/>
      <c r="K1543" s="139"/>
      <c r="L1543" s="243"/>
      <c r="M1543" s="243"/>
      <c r="N1543" s="139"/>
      <c r="O1543" s="139"/>
      <c r="P1543" s="139"/>
      <c r="Q1543" s="147"/>
      <c r="R1543" s="139"/>
      <c r="S1543" s="139"/>
      <c r="T1543" s="139"/>
      <c r="U1543" s="139"/>
      <c r="V1543" s="139"/>
      <c r="W1543" s="139"/>
      <c r="X1543" s="146"/>
      <c r="Y1543" s="148"/>
      <c r="Z1543" s="145"/>
      <c r="AA1543" s="139"/>
      <c r="AB1543" s="149"/>
      <c r="AC1543" s="119"/>
      <c r="AD1543" s="139"/>
      <c r="AE1543" s="139"/>
      <c r="AF1543" s="139"/>
      <c r="AG1543" s="139"/>
      <c r="AH1543" s="139"/>
      <c r="AI1543" s="139"/>
      <c r="AJ1543" s="139"/>
      <c r="AK1543" s="139"/>
      <c r="AL1543" s="139"/>
      <c r="AM1543" s="139"/>
      <c r="AN1543" s="139"/>
      <c r="AO1543" s="139"/>
      <c r="AP1543" s="139"/>
      <c r="AQ1543" s="174"/>
      <c r="AR1543" s="222"/>
    </row>
    <row r="1544" spans="2:44" s="22" customFormat="1" ht="18" customHeight="1" x14ac:dyDescent="0.25">
      <c r="B1544" s="145"/>
      <c r="C1544" s="139"/>
      <c r="D1544" s="146"/>
      <c r="E1544" s="139"/>
      <c r="F1544" s="139"/>
      <c r="G1544" s="139"/>
      <c r="H1544" s="139"/>
      <c r="I1544" s="139"/>
      <c r="J1544" s="139"/>
      <c r="K1544" s="139"/>
      <c r="L1544" s="243"/>
      <c r="M1544" s="243"/>
      <c r="N1544" s="139"/>
      <c r="O1544" s="139"/>
      <c r="P1544" s="139"/>
      <c r="Q1544" s="147"/>
      <c r="R1544" s="139"/>
      <c r="S1544" s="139"/>
      <c r="T1544" s="139"/>
      <c r="U1544" s="139"/>
      <c r="V1544" s="139"/>
      <c r="W1544" s="139"/>
      <c r="X1544" s="146"/>
      <c r="Y1544" s="148"/>
      <c r="Z1544" s="145"/>
      <c r="AA1544" s="139"/>
      <c r="AB1544" s="149"/>
      <c r="AC1544" s="119"/>
      <c r="AD1544" s="139"/>
      <c r="AE1544" s="139"/>
      <c r="AF1544" s="139"/>
      <c r="AG1544" s="139"/>
      <c r="AH1544" s="139"/>
      <c r="AI1544" s="139"/>
      <c r="AJ1544" s="139"/>
      <c r="AK1544" s="139"/>
      <c r="AL1544" s="139"/>
      <c r="AM1544" s="139"/>
      <c r="AN1544" s="139"/>
      <c r="AO1544" s="139"/>
      <c r="AP1544" s="139"/>
      <c r="AQ1544" s="174"/>
      <c r="AR1544" s="222"/>
    </row>
    <row r="1545" spans="2:44" s="22" customFormat="1" ht="18" customHeight="1" x14ac:dyDescent="0.25">
      <c r="B1545" s="145"/>
      <c r="C1545" s="139"/>
      <c r="D1545" s="146"/>
      <c r="E1545" s="139"/>
      <c r="F1545" s="139"/>
      <c r="G1545" s="139"/>
      <c r="H1545" s="139"/>
      <c r="I1545" s="139"/>
      <c r="J1545" s="139"/>
      <c r="K1545" s="139"/>
      <c r="L1545" s="243"/>
      <c r="M1545" s="243"/>
      <c r="N1545" s="139"/>
      <c r="O1545" s="139"/>
      <c r="P1545" s="139"/>
      <c r="Q1545" s="147"/>
      <c r="R1545" s="139"/>
      <c r="S1545" s="139"/>
      <c r="T1545" s="139"/>
      <c r="U1545" s="139"/>
      <c r="V1545" s="139"/>
      <c r="W1545" s="139"/>
      <c r="X1545" s="146"/>
      <c r="Y1545" s="148"/>
      <c r="Z1545" s="145"/>
      <c r="AA1545" s="139"/>
      <c r="AB1545" s="149"/>
      <c r="AC1545" s="119"/>
      <c r="AD1545" s="139"/>
      <c r="AE1545" s="139"/>
      <c r="AF1545" s="139"/>
      <c r="AG1545" s="139"/>
      <c r="AH1545" s="139"/>
      <c r="AI1545" s="139"/>
      <c r="AJ1545" s="139"/>
      <c r="AK1545" s="139"/>
      <c r="AL1545" s="139"/>
      <c r="AM1545" s="139"/>
      <c r="AN1545" s="139"/>
      <c r="AO1545" s="139"/>
      <c r="AP1545" s="139"/>
      <c r="AQ1545" s="174"/>
      <c r="AR1545" s="222"/>
    </row>
    <row r="1546" spans="2:44" s="22" customFormat="1" ht="18" customHeight="1" x14ac:dyDescent="0.25">
      <c r="B1546" s="145"/>
      <c r="C1546" s="139"/>
      <c r="D1546" s="146"/>
      <c r="E1546" s="139"/>
      <c r="F1546" s="139"/>
      <c r="G1546" s="139"/>
      <c r="H1546" s="139"/>
      <c r="I1546" s="139"/>
      <c r="J1546" s="139"/>
      <c r="K1546" s="139"/>
      <c r="L1546" s="243"/>
      <c r="M1546" s="243"/>
      <c r="N1546" s="139"/>
      <c r="O1546" s="139"/>
      <c r="P1546" s="139"/>
      <c r="Q1546" s="147"/>
      <c r="R1546" s="139"/>
      <c r="S1546" s="139"/>
      <c r="T1546" s="139"/>
      <c r="U1546" s="139"/>
      <c r="V1546" s="139"/>
      <c r="W1546" s="139"/>
      <c r="X1546" s="146"/>
      <c r="Y1546" s="148"/>
      <c r="Z1546" s="145"/>
      <c r="AA1546" s="139"/>
      <c r="AB1546" s="149"/>
      <c r="AC1546" s="119"/>
      <c r="AD1546" s="139"/>
      <c r="AE1546" s="139"/>
      <c r="AF1546" s="139"/>
      <c r="AG1546" s="139"/>
      <c r="AH1546" s="139"/>
      <c r="AI1546" s="139"/>
      <c r="AJ1546" s="139"/>
      <c r="AK1546" s="139"/>
      <c r="AL1546" s="139"/>
      <c r="AM1546" s="139"/>
      <c r="AN1546" s="139"/>
      <c r="AO1546" s="139"/>
      <c r="AP1546" s="139"/>
      <c r="AQ1546" s="174"/>
      <c r="AR1546" s="222"/>
    </row>
    <row r="1547" spans="2:44" s="22" customFormat="1" ht="18" customHeight="1" x14ac:dyDescent="0.25">
      <c r="B1547" s="145"/>
      <c r="C1547" s="139"/>
      <c r="D1547" s="146"/>
      <c r="E1547" s="139"/>
      <c r="F1547" s="139"/>
      <c r="G1547" s="139"/>
      <c r="H1547" s="139"/>
      <c r="I1547" s="139"/>
      <c r="J1547" s="139"/>
      <c r="K1547" s="139"/>
      <c r="L1547" s="243"/>
      <c r="M1547" s="243"/>
      <c r="N1547" s="139"/>
      <c r="O1547" s="139"/>
      <c r="P1547" s="139"/>
      <c r="Q1547" s="147"/>
      <c r="R1547" s="139"/>
      <c r="S1547" s="139"/>
      <c r="T1547" s="139"/>
      <c r="U1547" s="139"/>
      <c r="V1547" s="139"/>
      <c r="W1547" s="139"/>
      <c r="X1547" s="146"/>
      <c r="Y1547" s="148"/>
      <c r="Z1547" s="145"/>
      <c r="AA1547" s="139"/>
      <c r="AB1547" s="149"/>
      <c r="AC1547" s="119"/>
      <c r="AD1547" s="139"/>
      <c r="AE1547" s="139"/>
      <c r="AF1547" s="139"/>
      <c r="AG1547" s="139"/>
      <c r="AH1547" s="139"/>
      <c r="AI1547" s="139"/>
      <c r="AJ1547" s="139"/>
      <c r="AK1547" s="139"/>
      <c r="AL1547" s="139"/>
      <c r="AM1547" s="139"/>
      <c r="AN1547" s="139"/>
      <c r="AO1547" s="139"/>
      <c r="AP1547" s="139"/>
      <c r="AQ1547" s="174"/>
      <c r="AR1547" s="222"/>
    </row>
    <row r="1548" spans="2:44" s="22" customFormat="1" ht="18" customHeight="1" x14ac:dyDescent="0.25">
      <c r="B1548" s="145"/>
      <c r="C1548" s="139"/>
      <c r="D1548" s="146"/>
      <c r="E1548" s="139"/>
      <c r="F1548" s="139"/>
      <c r="G1548" s="139"/>
      <c r="H1548" s="139"/>
      <c r="I1548" s="139"/>
      <c r="J1548" s="139"/>
      <c r="K1548" s="139"/>
      <c r="L1548" s="243"/>
      <c r="M1548" s="243"/>
      <c r="N1548" s="139"/>
      <c r="O1548" s="139"/>
      <c r="P1548" s="139"/>
      <c r="Q1548" s="147"/>
      <c r="R1548" s="139"/>
      <c r="S1548" s="139"/>
      <c r="T1548" s="139"/>
      <c r="U1548" s="139"/>
      <c r="V1548" s="139"/>
      <c r="W1548" s="139"/>
      <c r="X1548" s="146"/>
      <c r="Y1548" s="148"/>
      <c r="Z1548" s="145"/>
      <c r="AA1548" s="139"/>
      <c r="AB1548" s="149"/>
      <c r="AC1548" s="119"/>
      <c r="AD1548" s="139"/>
      <c r="AE1548" s="139"/>
      <c r="AF1548" s="139"/>
      <c r="AG1548" s="139"/>
      <c r="AH1548" s="139"/>
      <c r="AI1548" s="139"/>
      <c r="AJ1548" s="139"/>
      <c r="AK1548" s="139"/>
      <c r="AL1548" s="139"/>
      <c r="AM1548" s="139"/>
      <c r="AN1548" s="139"/>
      <c r="AO1548" s="139"/>
      <c r="AP1548" s="139"/>
      <c r="AQ1548" s="174"/>
      <c r="AR1548" s="222"/>
    </row>
    <row r="1549" spans="2:44" s="22" customFormat="1" ht="18" customHeight="1" x14ac:dyDescent="0.25">
      <c r="B1549" s="145"/>
      <c r="C1549" s="139"/>
      <c r="D1549" s="146"/>
      <c r="E1549" s="139"/>
      <c r="F1549" s="139"/>
      <c r="G1549" s="139"/>
      <c r="H1549" s="139"/>
      <c r="I1549" s="139"/>
      <c r="J1549" s="139"/>
      <c r="K1549" s="139"/>
      <c r="L1549" s="243"/>
      <c r="M1549" s="243"/>
      <c r="N1549" s="139"/>
      <c r="O1549" s="139"/>
      <c r="P1549" s="139"/>
      <c r="Q1549" s="147"/>
      <c r="R1549" s="139"/>
      <c r="S1549" s="139"/>
      <c r="T1549" s="139"/>
      <c r="U1549" s="139"/>
      <c r="V1549" s="139"/>
      <c r="W1549" s="139"/>
      <c r="X1549" s="146"/>
      <c r="Y1549" s="148"/>
      <c r="Z1549" s="145"/>
      <c r="AA1549" s="139"/>
      <c r="AB1549" s="149"/>
      <c r="AC1549" s="119"/>
      <c r="AD1549" s="139"/>
      <c r="AE1549" s="139"/>
      <c r="AF1549" s="139"/>
      <c r="AG1549" s="139"/>
      <c r="AH1549" s="139"/>
      <c r="AI1549" s="139"/>
      <c r="AJ1549" s="139"/>
      <c r="AK1549" s="139"/>
      <c r="AL1549" s="139"/>
      <c r="AM1549" s="139"/>
      <c r="AN1549" s="139"/>
      <c r="AO1549" s="139"/>
      <c r="AP1549" s="139"/>
      <c r="AQ1549" s="174"/>
      <c r="AR1549" s="222"/>
    </row>
    <row r="1550" spans="2:44" s="22" customFormat="1" ht="18" customHeight="1" x14ac:dyDescent="0.25">
      <c r="B1550" s="145"/>
      <c r="C1550" s="139"/>
      <c r="D1550" s="146"/>
      <c r="E1550" s="139"/>
      <c r="F1550" s="139"/>
      <c r="G1550" s="139"/>
      <c r="H1550" s="139"/>
      <c r="I1550" s="139"/>
      <c r="J1550" s="139"/>
      <c r="K1550" s="139"/>
      <c r="L1550" s="243"/>
      <c r="M1550" s="243"/>
      <c r="N1550" s="139"/>
      <c r="O1550" s="139"/>
      <c r="P1550" s="139"/>
      <c r="Q1550" s="147"/>
      <c r="R1550" s="139"/>
      <c r="S1550" s="139"/>
      <c r="T1550" s="139"/>
      <c r="U1550" s="139"/>
      <c r="V1550" s="139"/>
      <c r="W1550" s="139"/>
      <c r="X1550" s="146"/>
      <c r="Y1550" s="148"/>
      <c r="Z1550" s="145"/>
      <c r="AA1550" s="139"/>
      <c r="AB1550" s="149"/>
      <c r="AC1550" s="119"/>
      <c r="AD1550" s="139"/>
      <c r="AE1550" s="139"/>
      <c r="AF1550" s="139"/>
      <c r="AG1550" s="139"/>
      <c r="AH1550" s="139"/>
      <c r="AI1550" s="139"/>
      <c r="AJ1550" s="139"/>
      <c r="AK1550" s="139"/>
      <c r="AL1550" s="139"/>
      <c r="AM1550" s="139"/>
      <c r="AN1550" s="139"/>
      <c r="AO1550" s="139"/>
      <c r="AP1550" s="139"/>
      <c r="AQ1550" s="174"/>
      <c r="AR1550" s="222"/>
    </row>
    <row r="1551" spans="2:44" s="22" customFormat="1" ht="18" customHeight="1" x14ac:dyDescent="0.25">
      <c r="B1551" s="145"/>
      <c r="C1551" s="139"/>
      <c r="D1551" s="146"/>
      <c r="E1551" s="139"/>
      <c r="F1551" s="139"/>
      <c r="G1551" s="139"/>
      <c r="H1551" s="139"/>
      <c r="I1551" s="139"/>
      <c r="J1551" s="139"/>
      <c r="K1551" s="139"/>
      <c r="L1551" s="243"/>
      <c r="M1551" s="243"/>
      <c r="N1551" s="139"/>
      <c r="O1551" s="139"/>
      <c r="P1551" s="139"/>
      <c r="Q1551" s="147"/>
      <c r="R1551" s="139"/>
      <c r="S1551" s="139"/>
      <c r="T1551" s="139"/>
      <c r="U1551" s="139"/>
      <c r="V1551" s="139"/>
      <c r="W1551" s="139"/>
      <c r="X1551" s="146"/>
      <c r="Y1551" s="148"/>
      <c r="Z1551" s="145"/>
      <c r="AA1551" s="139"/>
      <c r="AB1551" s="149"/>
      <c r="AC1551" s="119"/>
      <c r="AD1551" s="139"/>
      <c r="AE1551" s="139"/>
      <c r="AF1551" s="139"/>
      <c r="AG1551" s="139"/>
      <c r="AH1551" s="139"/>
      <c r="AI1551" s="139"/>
      <c r="AJ1551" s="139"/>
      <c r="AK1551" s="139"/>
      <c r="AL1551" s="139"/>
      <c r="AM1551" s="139"/>
      <c r="AN1551" s="139"/>
      <c r="AO1551" s="139"/>
      <c r="AP1551" s="139"/>
      <c r="AQ1551" s="174"/>
      <c r="AR1551" s="222"/>
    </row>
    <row r="1552" spans="2:44" s="22" customFormat="1" ht="18" customHeight="1" x14ac:dyDescent="0.25">
      <c r="B1552" s="145"/>
      <c r="C1552" s="139"/>
      <c r="D1552" s="146"/>
      <c r="E1552" s="139"/>
      <c r="F1552" s="139"/>
      <c r="G1552" s="139"/>
      <c r="H1552" s="139"/>
      <c r="I1552" s="139"/>
      <c r="J1552" s="139"/>
      <c r="K1552" s="139"/>
      <c r="L1552" s="243"/>
      <c r="M1552" s="243"/>
      <c r="N1552" s="139"/>
      <c r="O1552" s="139"/>
      <c r="P1552" s="139"/>
      <c r="Q1552" s="147"/>
      <c r="R1552" s="139"/>
      <c r="S1552" s="139"/>
      <c r="T1552" s="139"/>
      <c r="U1552" s="139"/>
      <c r="V1552" s="139"/>
      <c r="W1552" s="139"/>
      <c r="X1552" s="146"/>
      <c r="Y1552" s="148"/>
      <c r="Z1552" s="145"/>
      <c r="AA1552" s="139"/>
      <c r="AB1552" s="149"/>
      <c r="AC1552" s="119"/>
      <c r="AD1552" s="139"/>
      <c r="AE1552" s="139"/>
      <c r="AF1552" s="139"/>
      <c r="AG1552" s="139"/>
      <c r="AH1552" s="139"/>
      <c r="AI1552" s="139"/>
      <c r="AJ1552" s="139"/>
      <c r="AK1552" s="139"/>
      <c r="AL1552" s="139"/>
      <c r="AM1552" s="139"/>
      <c r="AN1552" s="139"/>
      <c r="AO1552" s="139"/>
      <c r="AP1552" s="139"/>
      <c r="AQ1552" s="174"/>
      <c r="AR1552" s="222"/>
    </row>
    <row r="1553" spans="2:44" s="22" customFormat="1" ht="18" customHeight="1" x14ac:dyDescent="0.25">
      <c r="B1553" s="145"/>
      <c r="C1553" s="139"/>
      <c r="D1553" s="146"/>
      <c r="E1553" s="139"/>
      <c r="F1553" s="139"/>
      <c r="G1553" s="139"/>
      <c r="H1553" s="139"/>
      <c r="I1553" s="139"/>
      <c r="J1553" s="139"/>
      <c r="K1553" s="139"/>
      <c r="L1553" s="243"/>
      <c r="M1553" s="243"/>
      <c r="N1553" s="139"/>
      <c r="O1553" s="139"/>
      <c r="P1553" s="139"/>
      <c r="Q1553" s="147"/>
      <c r="R1553" s="139"/>
      <c r="S1553" s="139"/>
      <c r="T1553" s="139"/>
      <c r="U1553" s="139"/>
      <c r="V1553" s="139"/>
      <c r="W1553" s="139"/>
      <c r="X1553" s="146"/>
      <c r="Y1553" s="148"/>
      <c r="Z1553" s="145"/>
      <c r="AA1553" s="139"/>
      <c r="AB1553" s="149"/>
      <c r="AC1553" s="119"/>
      <c r="AD1553" s="139"/>
      <c r="AE1553" s="139"/>
      <c r="AF1553" s="139"/>
      <c r="AG1553" s="139"/>
      <c r="AH1553" s="139"/>
      <c r="AI1553" s="139"/>
      <c r="AJ1553" s="139"/>
      <c r="AK1553" s="139"/>
      <c r="AL1553" s="139"/>
      <c r="AM1553" s="139"/>
      <c r="AN1553" s="139"/>
      <c r="AO1553" s="139"/>
      <c r="AP1553" s="139"/>
      <c r="AQ1553" s="174"/>
      <c r="AR1553" s="222"/>
    </row>
    <row r="1554" spans="2:44" s="140" customFormat="1" ht="18" customHeight="1" x14ac:dyDescent="0.25">
      <c r="B1554" s="145"/>
      <c r="C1554" s="139"/>
      <c r="D1554" s="146"/>
      <c r="E1554" s="139"/>
      <c r="F1554" s="139"/>
      <c r="G1554" s="139"/>
      <c r="H1554" s="139"/>
      <c r="I1554" s="139"/>
      <c r="J1554" s="139"/>
      <c r="K1554" s="139"/>
      <c r="L1554" s="243"/>
      <c r="M1554" s="243"/>
      <c r="N1554" s="139"/>
      <c r="O1554" s="139"/>
      <c r="P1554" s="139"/>
      <c r="Q1554" s="147"/>
      <c r="R1554" s="139"/>
      <c r="S1554" s="139"/>
      <c r="T1554" s="139"/>
      <c r="U1554" s="139"/>
      <c r="V1554" s="139"/>
      <c r="W1554" s="139"/>
      <c r="X1554" s="146"/>
      <c r="Y1554" s="148"/>
      <c r="Z1554" s="145"/>
      <c r="AA1554" s="139"/>
      <c r="AB1554" s="149"/>
      <c r="AC1554" s="119"/>
      <c r="AD1554" s="139"/>
      <c r="AE1554" s="139"/>
      <c r="AF1554" s="139"/>
      <c r="AG1554" s="139"/>
      <c r="AH1554" s="139"/>
      <c r="AI1554" s="139"/>
      <c r="AJ1554" s="139"/>
      <c r="AK1554" s="139"/>
      <c r="AL1554" s="139"/>
      <c r="AM1554" s="139"/>
      <c r="AN1554" s="139"/>
      <c r="AO1554" s="139"/>
      <c r="AP1554" s="139"/>
      <c r="AQ1554" s="174"/>
      <c r="AR1554" s="222"/>
    </row>
    <row r="1555" spans="2:44" s="22" customFormat="1" ht="18" customHeight="1" x14ac:dyDescent="0.25">
      <c r="B1555" s="145"/>
      <c r="C1555" s="139"/>
      <c r="D1555" s="146"/>
      <c r="E1555" s="139"/>
      <c r="F1555" s="139"/>
      <c r="G1555" s="139"/>
      <c r="H1555" s="139"/>
      <c r="I1555" s="139"/>
      <c r="J1555" s="139"/>
      <c r="K1555" s="139"/>
      <c r="L1555" s="243"/>
      <c r="M1555" s="243"/>
      <c r="N1555" s="139"/>
      <c r="O1555" s="139"/>
      <c r="P1555" s="139"/>
      <c r="Q1555" s="147"/>
      <c r="R1555" s="139"/>
      <c r="S1555" s="139"/>
      <c r="T1555" s="139"/>
      <c r="U1555" s="139"/>
      <c r="V1555" s="139"/>
      <c r="W1555" s="139"/>
      <c r="X1555" s="146"/>
      <c r="Y1555" s="148"/>
      <c r="Z1555" s="145"/>
      <c r="AA1555" s="139"/>
      <c r="AB1555" s="149"/>
      <c r="AC1555" s="119"/>
      <c r="AD1555" s="139"/>
      <c r="AE1555" s="139"/>
      <c r="AF1555" s="139"/>
      <c r="AG1555" s="139"/>
      <c r="AH1555" s="139"/>
      <c r="AI1555" s="139"/>
      <c r="AJ1555" s="139"/>
      <c r="AK1555" s="139"/>
      <c r="AL1555" s="139"/>
      <c r="AM1555" s="139"/>
      <c r="AN1555" s="139"/>
      <c r="AO1555" s="139"/>
      <c r="AP1555" s="139"/>
      <c r="AQ1555" s="174"/>
      <c r="AR1555" s="222"/>
    </row>
    <row r="1556" spans="2:44" s="22" customFormat="1" ht="18" customHeight="1" x14ac:dyDescent="0.25">
      <c r="B1556" s="145"/>
      <c r="C1556" s="139"/>
      <c r="D1556" s="146"/>
      <c r="E1556" s="139"/>
      <c r="F1556" s="139"/>
      <c r="G1556" s="139"/>
      <c r="H1556" s="139"/>
      <c r="I1556" s="139"/>
      <c r="J1556" s="139"/>
      <c r="K1556" s="139"/>
      <c r="L1556" s="243"/>
      <c r="M1556" s="243"/>
      <c r="N1556" s="139"/>
      <c r="O1556" s="139"/>
      <c r="P1556" s="139"/>
      <c r="Q1556" s="147"/>
      <c r="R1556" s="139"/>
      <c r="S1556" s="139"/>
      <c r="T1556" s="139"/>
      <c r="U1556" s="139"/>
      <c r="V1556" s="139"/>
      <c r="W1556" s="139"/>
      <c r="X1556" s="146"/>
      <c r="Y1556" s="148"/>
      <c r="Z1556" s="145"/>
      <c r="AA1556" s="139"/>
      <c r="AB1556" s="149"/>
      <c r="AC1556" s="119"/>
      <c r="AD1556" s="139"/>
      <c r="AE1556" s="139"/>
      <c r="AF1556" s="139"/>
      <c r="AG1556" s="139"/>
      <c r="AH1556" s="139"/>
      <c r="AI1556" s="139"/>
      <c r="AJ1556" s="139"/>
      <c r="AK1556" s="139"/>
      <c r="AL1556" s="139"/>
      <c r="AM1556" s="139"/>
      <c r="AN1556" s="139"/>
      <c r="AO1556" s="139"/>
      <c r="AP1556" s="139"/>
      <c r="AQ1556" s="174"/>
      <c r="AR1556" s="222"/>
    </row>
    <row r="1557" spans="2:44" s="140" customFormat="1" ht="18" customHeight="1" x14ac:dyDescent="0.25">
      <c r="B1557" s="145"/>
      <c r="C1557" s="139"/>
      <c r="D1557" s="146"/>
      <c r="E1557" s="139"/>
      <c r="F1557" s="139"/>
      <c r="G1557" s="139"/>
      <c r="H1557" s="139"/>
      <c r="I1557" s="139"/>
      <c r="J1557" s="139"/>
      <c r="K1557" s="139"/>
      <c r="L1557" s="243"/>
      <c r="M1557" s="243"/>
      <c r="N1557" s="139"/>
      <c r="O1557" s="139"/>
      <c r="P1557" s="139"/>
      <c r="Q1557" s="147"/>
      <c r="R1557" s="139"/>
      <c r="S1557" s="139"/>
      <c r="T1557" s="139"/>
      <c r="U1557" s="139"/>
      <c r="V1557" s="139"/>
      <c r="W1557" s="139"/>
      <c r="X1557" s="146"/>
      <c r="Y1557" s="148"/>
      <c r="Z1557" s="145"/>
      <c r="AA1557" s="139"/>
      <c r="AB1557" s="149"/>
      <c r="AC1557" s="119"/>
      <c r="AD1557" s="139"/>
      <c r="AE1557" s="139"/>
      <c r="AF1557" s="139"/>
      <c r="AG1557" s="139"/>
      <c r="AH1557" s="139"/>
      <c r="AI1557" s="139"/>
      <c r="AJ1557" s="139"/>
      <c r="AK1557" s="139"/>
      <c r="AL1557" s="139"/>
      <c r="AM1557" s="139"/>
      <c r="AN1557" s="139"/>
      <c r="AO1557" s="139"/>
      <c r="AP1557" s="139"/>
      <c r="AQ1557" s="174"/>
      <c r="AR1557" s="222"/>
    </row>
    <row r="1558" spans="2:44" s="22" customFormat="1" ht="18" customHeight="1" x14ac:dyDescent="0.25">
      <c r="B1558" s="145"/>
      <c r="C1558" s="139"/>
      <c r="D1558" s="146"/>
      <c r="E1558" s="139"/>
      <c r="F1558" s="139"/>
      <c r="G1558" s="139"/>
      <c r="H1558" s="139"/>
      <c r="I1558" s="139"/>
      <c r="J1558" s="139"/>
      <c r="K1558" s="139"/>
      <c r="L1558" s="243"/>
      <c r="M1558" s="243"/>
      <c r="N1558" s="139"/>
      <c r="O1558" s="139"/>
      <c r="P1558" s="139"/>
      <c r="Q1558" s="147"/>
      <c r="R1558" s="139"/>
      <c r="S1558" s="139"/>
      <c r="T1558" s="139"/>
      <c r="U1558" s="139"/>
      <c r="V1558" s="139"/>
      <c r="W1558" s="139"/>
      <c r="X1558" s="146"/>
      <c r="Y1558" s="148"/>
      <c r="Z1558" s="145"/>
      <c r="AA1558" s="139"/>
      <c r="AB1558" s="149"/>
      <c r="AC1558" s="119"/>
      <c r="AD1558" s="139"/>
      <c r="AE1558" s="139"/>
      <c r="AF1558" s="139"/>
      <c r="AG1558" s="139"/>
      <c r="AH1558" s="139"/>
      <c r="AI1558" s="139"/>
      <c r="AJ1558" s="139"/>
      <c r="AK1558" s="139"/>
      <c r="AL1558" s="139"/>
      <c r="AM1558" s="139"/>
      <c r="AN1558" s="139"/>
      <c r="AO1558" s="139"/>
      <c r="AP1558" s="139"/>
      <c r="AQ1558" s="174"/>
      <c r="AR1558" s="222"/>
    </row>
    <row r="1559" spans="2:44" s="22" customFormat="1" ht="18" customHeight="1" x14ac:dyDescent="0.25">
      <c r="B1559" s="145"/>
      <c r="C1559" s="139"/>
      <c r="D1559" s="146"/>
      <c r="E1559" s="139"/>
      <c r="F1559" s="139"/>
      <c r="G1559" s="139"/>
      <c r="H1559" s="139"/>
      <c r="I1559" s="139"/>
      <c r="J1559" s="139"/>
      <c r="K1559" s="139"/>
      <c r="L1559" s="243"/>
      <c r="M1559" s="243"/>
      <c r="N1559" s="139"/>
      <c r="O1559" s="139"/>
      <c r="P1559" s="139"/>
      <c r="Q1559" s="147"/>
      <c r="R1559" s="139"/>
      <c r="S1559" s="139"/>
      <c r="T1559" s="139"/>
      <c r="U1559" s="139"/>
      <c r="V1559" s="139"/>
      <c r="W1559" s="139"/>
      <c r="X1559" s="146"/>
      <c r="Y1559" s="148"/>
      <c r="Z1559" s="145"/>
      <c r="AA1559" s="139"/>
      <c r="AB1559" s="149"/>
      <c r="AC1559" s="119"/>
      <c r="AD1559" s="139"/>
      <c r="AE1559" s="139"/>
      <c r="AF1559" s="139"/>
      <c r="AG1559" s="139"/>
      <c r="AH1559" s="139"/>
      <c r="AI1559" s="139"/>
      <c r="AJ1559" s="139"/>
      <c r="AK1559" s="139"/>
      <c r="AL1559" s="139"/>
      <c r="AM1559" s="139"/>
      <c r="AN1559" s="139"/>
      <c r="AO1559" s="139"/>
      <c r="AP1559" s="139"/>
      <c r="AQ1559" s="174"/>
      <c r="AR1559" s="222"/>
    </row>
    <row r="1560" spans="2:44" s="22" customFormat="1" ht="18" customHeight="1" x14ac:dyDescent="0.25">
      <c r="B1560" s="145"/>
      <c r="C1560" s="139"/>
      <c r="D1560" s="146"/>
      <c r="E1560" s="139"/>
      <c r="F1560" s="139"/>
      <c r="G1560" s="139"/>
      <c r="H1560" s="139"/>
      <c r="I1560" s="139"/>
      <c r="J1560" s="139"/>
      <c r="K1560" s="139"/>
      <c r="L1560" s="243"/>
      <c r="M1560" s="243"/>
      <c r="N1560" s="139"/>
      <c r="O1560" s="139"/>
      <c r="P1560" s="139"/>
      <c r="Q1560" s="147"/>
      <c r="R1560" s="139"/>
      <c r="S1560" s="139"/>
      <c r="T1560" s="139"/>
      <c r="U1560" s="139"/>
      <c r="V1560" s="139"/>
      <c r="W1560" s="139"/>
      <c r="X1560" s="146"/>
      <c r="Y1560" s="148"/>
      <c r="Z1560" s="145"/>
      <c r="AA1560" s="139"/>
      <c r="AB1560" s="149"/>
      <c r="AC1560" s="119"/>
      <c r="AD1560" s="139"/>
      <c r="AE1560" s="139"/>
      <c r="AF1560" s="139"/>
      <c r="AG1560" s="139"/>
      <c r="AH1560" s="139"/>
      <c r="AI1560" s="139"/>
      <c r="AJ1560" s="139"/>
      <c r="AK1560" s="139"/>
      <c r="AL1560" s="139"/>
      <c r="AM1560" s="139"/>
      <c r="AN1560" s="139"/>
      <c r="AO1560" s="139"/>
      <c r="AP1560" s="139"/>
      <c r="AQ1560" s="174"/>
      <c r="AR1560" s="222"/>
    </row>
    <row r="1561" spans="2:44" s="141" customFormat="1" ht="18" customHeight="1" x14ac:dyDescent="0.25">
      <c r="B1561" s="145"/>
      <c r="C1561" s="139"/>
      <c r="D1561" s="146"/>
      <c r="E1561" s="139"/>
      <c r="F1561" s="139"/>
      <c r="G1561" s="139"/>
      <c r="H1561" s="139"/>
      <c r="I1561" s="139"/>
      <c r="J1561" s="139"/>
      <c r="K1561" s="139"/>
      <c r="L1561" s="243"/>
      <c r="M1561" s="243"/>
      <c r="N1561" s="139"/>
      <c r="O1561" s="139"/>
      <c r="P1561" s="139"/>
      <c r="Q1561" s="147"/>
      <c r="R1561" s="139"/>
      <c r="S1561" s="139"/>
      <c r="T1561" s="139"/>
      <c r="U1561" s="139"/>
      <c r="V1561" s="139"/>
      <c r="W1561" s="139"/>
      <c r="X1561" s="146"/>
      <c r="Y1561" s="148"/>
      <c r="Z1561" s="145"/>
      <c r="AA1561" s="139"/>
      <c r="AB1561" s="149"/>
      <c r="AC1561" s="119"/>
      <c r="AD1561" s="139"/>
      <c r="AE1561" s="139"/>
      <c r="AF1561" s="139"/>
      <c r="AG1561" s="139"/>
      <c r="AH1561" s="139"/>
      <c r="AI1561" s="139"/>
      <c r="AJ1561" s="139"/>
      <c r="AK1561" s="139"/>
      <c r="AL1561" s="139"/>
      <c r="AM1561" s="139"/>
      <c r="AN1561" s="139"/>
      <c r="AO1561" s="139"/>
      <c r="AP1561" s="139"/>
      <c r="AQ1561" s="174"/>
      <c r="AR1561" s="222"/>
    </row>
    <row r="1562" spans="2:44" s="140" customFormat="1" ht="18" customHeight="1" x14ac:dyDescent="0.25">
      <c r="B1562" s="145"/>
      <c r="C1562" s="139"/>
      <c r="D1562" s="146"/>
      <c r="E1562" s="139"/>
      <c r="F1562" s="139"/>
      <c r="G1562" s="139"/>
      <c r="H1562" s="139"/>
      <c r="I1562" s="139"/>
      <c r="J1562" s="139"/>
      <c r="K1562" s="139"/>
      <c r="L1562" s="243"/>
      <c r="M1562" s="243"/>
      <c r="N1562" s="139"/>
      <c r="O1562" s="139"/>
      <c r="P1562" s="139"/>
      <c r="Q1562" s="147"/>
      <c r="R1562" s="139"/>
      <c r="S1562" s="139"/>
      <c r="T1562" s="139"/>
      <c r="U1562" s="139"/>
      <c r="V1562" s="139"/>
      <c r="W1562" s="139"/>
      <c r="X1562" s="146"/>
      <c r="Y1562" s="148"/>
      <c r="Z1562" s="145"/>
      <c r="AA1562" s="139"/>
      <c r="AB1562" s="149"/>
      <c r="AC1562" s="119"/>
      <c r="AD1562" s="139"/>
      <c r="AE1562" s="139"/>
      <c r="AF1562" s="139"/>
      <c r="AG1562" s="139"/>
      <c r="AH1562" s="139"/>
      <c r="AI1562" s="139"/>
      <c r="AJ1562" s="139"/>
      <c r="AK1562" s="139"/>
      <c r="AL1562" s="139"/>
      <c r="AM1562" s="139"/>
      <c r="AN1562" s="139"/>
      <c r="AO1562" s="139"/>
      <c r="AP1562" s="139"/>
      <c r="AQ1562" s="174"/>
      <c r="AR1562" s="222"/>
    </row>
    <row r="1563" spans="2:44" s="22" customFormat="1" ht="18" customHeight="1" x14ac:dyDescent="0.25">
      <c r="B1563" s="145"/>
      <c r="C1563" s="139"/>
      <c r="D1563" s="146"/>
      <c r="E1563" s="139"/>
      <c r="F1563" s="139"/>
      <c r="G1563" s="139"/>
      <c r="H1563" s="139"/>
      <c r="I1563" s="139"/>
      <c r="J1563" s="139"/>
      <c r="K1563" s="139"/>
      <c r="L1563" s="243"/>
      <c r="M1563" s="243"/>
      <c r="N1563" s="139"/>
      <c r="O1563" s="139"/>
      <c r="P1563" s="139"/>
      <c r="Q1563" s="147"/>
      <c r="R1563" s="139"/>
      <c r="S1563" s="139"/>
      <c r="T1563" s="139"/>
      <c r="U1563" s="139"/>
      <c r="V1563" s="139"/>
      <c r="W1563" s="139"/>
      <c r="X1563" s="146"/>
      <c r="Y1563" s="148"/>
      <c r="Z1563" s="145"/>
      <c r="AA1563" s="139"/>
      <c r="AB1563" s="149"/>
      <c r="AC1563" s="119"/>
      <c r="AD1563" s="139"/>
      <c r="AE1563" s="139"/>
      <c r="AF1563" s="139"/>
      <c r="AG1563" s="139"/>
      <c r="AH1563" s="139"/>
      <c r="AI1563" s="139"/>
      <c r="AJ1563" s="139"/>
      <c r="AK1563" s="139"/>
      <c r="AL1563" s="139"/>
      <c r="AM1563" s="139"/>
      <c r="AN1563" s="139"/>
      <c r="AO1563" s="139"/>
      <c r="AP1563" s="139"/>
      <c r="AQ1563" s="174"/>
      <c r="AR1563" s="222"/>
    </row>
    <row r="1564" spans="2:44" s="22" customFormat="1" ht="18" customHeight="1" x14ac:dyDescent="0.25">
      <c r="B1564" s="145"/>
      <c r="C1564" s="139"/>
      <c r="D1564" s="146"/>
      <c r="E1564" s="139"/>
      <c r="F1564" s="139"/>
      <c r="G1564" s="139"/>
      <c r="H1564" s="139"/>
      <c r="I1564" s="139"/>
      <c r="J1564" s="139"/>
      <c r="K1564" s="139"/>
      <c r="L1564" s="243"/>
      <c r="M1564" s="243"/>
      <c r="N1564" s="139"/>
      <c r="O1564" s="139"/>
      <c r="P1564" s="139"/>
      <c r="Q1564" s="147"/>
      <c r="R1564" s="139"/>
      <c r="S1564" s="139"/>
      <c r="T1564" s="139"/>
      <c r="U1564" s="139"/>
      <c r="V1564" s="139"/>
      <c r="W1564" s="139"/>
      <c r="X1564" s="146"/>
      <c r="Y1564" s="148"/>
      <c r="Z1564" s="145"/>
      <c r="AA1564" s="139"/>
      <c r="AB1564" s="149"/>
      <c r="AC1564" s="119"/>
      <c r="AD1564" s="139"/>
      <c r="AE1564" s="139"/>
      <c r="AF1564" s="139"/>
      <c r="AG1564" s="139"/>
      <c r="AH1564" s="139"/>
      <c r="AI1564" s="139"/>
      <c r="AJ1564" s="139"/>
      <c r="AK1564" s="139"/>
      <c r="AL1564" s="139"/>
      <c r="AM1564" s="139"/>
      <c r="AN1564" s="139"/>
      <c r="AO1564" s="139"/>
      <c r="AP1564" s="139"/>
      <c r="AQ1564" s="174"/>
      <c r="AR1564" s="222"/>
    </row>
    <row r="1565" spans="2:44" s="22" customFormat="1" ht="18" customHeight="1" x14ac:dyDescent="0.25">
      <c r="B1565" s="145"/>
      <c r="C1565" s="139"/>
      <c r="D1565" s="146"/>
      <c r="E1565" s="139"/>
      <c r="F1565" s="139"/>
      <c r="G1565" s="139"/>
      <c r="H1565" s="139"/>
      <c r="I1565" s="139"/>
      <c r="J1565" s="139"/>
      <c r="K1565" s="139"/>
      <c r="L1565" s="243"/>
      <c r="M1565" s="243"/>
      <c r="N1565" s="139"/>
      <c r="O1565" s="139"/>
      <c r="P1565" s="139"/>
      <c r="Q1565" s="147"/>
      <c r="R1565" s="139"/>
      <c r="S1565" s="139"/>
      <c r="T1565" s="139"/>
      <c r="U1565" s="139"/>
      <c r="V1565" s="139"/>
      <c r="W1565" s="139"/>
      <c r="X1565" s="146"/>
      <c r="Y1565" s="148"/>
      <c r="Z1565" s="145"/>
      <c r="AA1565" s="139"/>
      <c r="AB1565" s="149"/>
      <c r="AC1565" s="119"/>
      <c r="AD1565" s="139"/>
      <c r="AE1565" s="139"/>
      <c r="AF1565" s="139"/>
      <c r="AG1565" s="139"/>
      <c r="AH1565" s="139"/>
      <c r="AI1565" s="139"/>
      <c r="AJ1565" s="139"/>
      <c r="AK1565" s="139"/>
      <c r="AL1565" s="139"/>
      <c r="AM1565" s="139"/>
      <c r="AN1565" s="139"/>
      <c r="AO1565" s="139"/>
      <c r="AP1565" s="139"/>
      <c r="AQ1565" s="174"/>
      <c r="AR1565" s="222"/>
    </row>
    <row r="1566" spans="2:44" s="141" customFormat="1" ht="18" customHeight="1" x14ac:dyDescent="0.25">
      <c r="B1566" s="145"/>
      <c r="C1566" s="139"/>
      <c r="D1566" s="146"/>
      <c r="E1566" s="139"/>
      <c r="F1566" s="139"/>
      <c r="G1566" s="139"/>
      <c r="H1566" s="139"/>
      <c r="I1566" s="139"/>
      <c r="J1566" s="139"/>
      <c r="K1566" s="139"/>
      <c r="L1566" s="243"/>
      <c r="M1566" s="243"/>
      <c r="N1566" s="139"/>
      <c r="O1566" s="139"/>
      <c r="P1566" s="139"/>
      <c r="Q1566" s="147"/>
      <c r="R1566" s="139"/>
      <c r="S1566" s="139"/>
      <c r="T1566" s="139"/>
      <c r="U1566" s="139"/>
      <c r="V1566" s="139"/>
      <c r="W1566" s="139"/>
      <c r="X1566" s="146"/>
      <c r="Y1566" s="148"/>
      <c r="Z1566" s="145"/>
      <c r="AA1566" s="139"/>
      <c r="AB1566" s="149"/>
      <c r="AC1566" s="119"/>
      <c r="AD1566" s="139"/>
      <c r="AE1566" s="139"/>
      <c r="AF1566" s="139"/>
      <c r="AG1566" s="139"/>
      <c r="AH1566" s="139"/>
      <c r="AI1566" s="139"/>
      <c r="AJ1566" s="139"/>
      <c r="AK1566" s="139"/>
      <c r="AL1566" s="139"/>
      <c r="AM1566" s="139"/>
      <c r="AN1566" s="139"/>
      <c r="AO1566" s="139"/>
      <c r="AP1566" s="139"/>
      <c r="AQ1566" s="174"/>
      <c r="AR1566" s="222"/>
    </row>
    <row r="1567" spans="2:44" s="141" customFormat="1" ht="18" customHeight="1" x14ac:dyDescent="0.25">
      <c r="B1567" s="145"/>
      <c r="C1567" s="139"/>
      <c r="D1567" s="146"/>
      <c r="E1567" s="139"/>
      <c r="F1567" s="139"/>
      <c r="G1567" s="139"/>
      <c r="H1567" s="139"/>
      <c r="I1567" s="139"/>
      <c r="J1567" s="139"/>
      <c r="K1567" s="139"/>
      <c r="L1567" s="243"/>
      <c r="M1567" s="243"/>
      <c r="N1567" s="139"/>
      <c r="O1567" s="139"/>
      <c r="P1567" s="139"/>
      <c r="Q1567" s="147"/>
      <c r="R1567" s="139"/>
      <c r="S1567" s="139"/>
      <c r="T1567" s="139"/>
      <c r="U1567" s="139"/>
      <c r="V1567" s="139"/>
      <c r="W1567" s="139"/>
      <c r="X1567" s="146"/>
      <c r="Y1567" s="148"/>
      <c r="Z1567" s="145"/>
      <c r="AA1567" s="139"/>
      <c r="AB1567" s="149"/>
      <c r="AC1567" s="119"/>
      <c r="AD1567" s="139"/>
      <c r="AE1567" s="139"/>
      <c r="AF1567" s="139"/>
      <c r="AG1567" s="139"/>
      <c r="AH1567" s="139"/>
      <c r="AI1567" s="139"/>
      <c r="AJ1567" s="139"/>
      <c r="AK1567" s="139"/>
      <c r="AL1567" s="139"/>
      <c r="AM1567" s="139"/>
      <c r="AN1567" s="139"/>
      <c r="AO1567" s="139"/>
      <c r="AP1567" s="139"/>
      <c r="AQ1567" s="174"/>
      <c r="AR1567" s="222"/>
    </row>
    <row r="1568" spans="2:44" s="141" customFormat="1" ht="18" customHeight="1" x14ac:dyDescent="0.25">
      <c r="B1568" s="145"/>
      <c r="C1568" s="139"/>
      <c r="D1568" s="146"/>
      <c r="E1568" s="139"/>
      <c r="F1568" s="139"/>
      <c r="G1568" s="139"/>
      <c r="H1568" s="139"/>
      <c r="I1568" s="139"/>
      <c r="J1568" s="139"/>
      <c r="K1568" s="139"/>
      <c r="L1568" s="243"/>
      <c r="M1568" s="243"/>
      <c r="N1568" s="139"/>
      <c r="O1568" s="139"/>
      <c r="P1568" s="139"/>
      <c r="Q1568" s="147"/>
      <c r="R1568" s="139"/>
      <c r="S1568" s="139"/>
      <c r="T1568" s="139"/>
      <c r="U1568" s="139"/>
      <c r="V1568" s="139"/>
      <c r="W1568" s="139"/>
      <c r="X1568" s="146"/>
      <c r="Y1568" s="148"/>
      <c r="Z1568" s="145"/>
      <c r="AA1568" s="139"/>
      <c r="AB1568" s="149"/>
      <c r="AC1568" s="119"/>
      <c r="AD1568" s="139"/>
      <c r="AE1568" s="139"/>
      <c r="AF1568" s="139"/>
      <c r="AG1568" s="139"/>
      <c r="AH1568" s="139"/>
      <c r="AI1568" s="139"/>
      <c r="AJ1568" s="139"/>
      <c r="AK1568" s="139"/>
      <c r="AL1568" s="139"/>
      <c r="AM1568" s="139"/>
      <c r="AN1568" s="139"/>
      <c r="AO1568" s="139"/>
      <c r="AP1568" s="139"/>
      <c r="AQ1568" s="174"/>
      <c r="AR1568" s="222"/>
    </row>
    <row r="1569" spans="2:44" s="22" customFormat="1" ht="18" customHeight="1" x14ac:dyDescent="0.25">
      <c r="B1569" s="145"/>
      <c r="C1569" s="139"/>
      <c r="D1569" s="146"/>
      <c r="E1569" s="139"/>
      <c r="F1569" s="139"/>
      <c r="G1569" s="139"/>
      <c r="H1569" s="139"/>
      <c r="I1569" s="139"/>
      <c r="J1569" s="139"/>
      <c r="K1569" s="139"/>
      <c r="L1569" s="243"/>
      <c r="M1569" s="243"/>
      <c r="N1569" s="139"/>
      <c r="O1569" s="139"/>
      <c r="P1569" s="139"/>
      <c r="Q1569" s="147"/>
      <c r="R1569" s="139"/>
      <c r="S1569" s="139"/>
      <c r="T1569" s="139"/>
      <c r="U1569" s="139"/>
      <c r="V1569" s="139"/>
      <c r="W1569" s="139"/>
      <c r="X1569" s="146"/>
      <c r="Y1569" s="148"/>
      <c r="Z1569" s="145"/>
      <c r="AA1569" s="139"/>
      <c r="AB1569" s="149"/>
      <c r="AC1569" s="119"/>
      <c r="AD1569" s="139"/>
      <c r="AE1569" s="139"/>
      <c r="AF1569" s="139"/>
      <c r="AG1569" s="139"/>
      <c r="AH1569" s="139"/>
      <c r="AI1569" s="139"/>
      <c r="AJ1569" s="139"/>
      <c r="AK1569" s="139"/>
      <c r="AL1569" s="139"/>
      <c r="AM1569" s="139"/>
      <c r="AN1569" s="139"/>
      <c r="AO1569" s="139"/>
      <c r="AP1569" s="139"/>
      <c r="AQ1569" s="174"/>
      <c r="AR1569" s="222"/>
    </row>
    <row r="1570" spans="2:44" s="22" customFormat="1" ht="18" customHeight="1" x14ac:dyDescent="0.25">
      <c r="B1570" s="145"/>
      <c r="C1570" s="139"/>
      <c r="D1570" s="146"/>
      <c r="E1570" s="139"/>
      <c r="F1570" s="139"/>
      <c r="G1570" s="139"/>
      <c r="H1570" s="139"/>
      <c r="I1570" s="139"/>
      <c r="J1570" s="139"/>
      <c r="K1570" s="139"/>
      <c r="L1570" s="243"/>
      <c r="M1570" s="243"/>
      <c r="N1570" s="139"/>
      <c r="O1570" s="139"/>
      <c r="P1570" s="139"/>
      <c r="Q1570" s="147"/>
      <c r="R1570" s="139"/>
      <c r="S1570" s="139"/>
      <c r="T1570" s="139"/>
      <c r="U1570" s="139"/>
      <c r="V1570" s="139"/>
      <c r="W1570" s="139"/>
      <c r="X1570" s="146"/>
      <c r="Y1570" s="148"/>
      <c r="Z1570" s="145"/>
      <c r="AA1570" s="139"/>
      <c r="AB1570" s="149"/>
      <c r="AC1570" s="119"/>
      <c r="AD1570" s="139"/>
      <c r="AE1570" s="139"/>
      <c r="AF1570" s="139"/>
      <c r="AG1570" s="139"/>
      <c r="AH1570" s="139"/>
      <c r="AI1570" s="139"/>
      <c r="AJ1570" s="139"/>
      <c r="AK1570" s="139"/>
      <c r="AL1570" s="139"/>
      <c r="AM1570" s="139"/>
      <c r="AN1570" s="139"/>
      <c r="AO1570" s="139"/>
      <c r="AP1570" s="139"/>
      <c r="AQ1570" s="174"/>
      <c r="AR1570" s="222"/>
    </row>
    <row r="1571" spans="2:44" s="22" customFormat="1" ht="18" customHeight="1" x14ac:dyDescent="0.25">
      <c r="B1571" s="145"/>
      <c r="C1571" s="139"/>
      <c r="D1571" s="146"/>
      <c r="E1571" s="139"/>
      <c r="F1571" s="139"/>
      <c r="G1571" s="139"/>
      <c r="H1571" s="139"/>
      <c r="I1571" s="139"/>
      <c r="J1571" s="139"/>
      <c r="K1571" s="139"/>
      <c r="L1571" s="243"/>
      <c r="M1571" s="243"/>
      <c r="N1571" s="139"/>
      <c r="O1571" s="139"/>
      <c r="P1571" s="139"/>
      <c r="Q1571" s="147"/>
      <c r="R1571" s="139"/>
      <c r="S1571" s="139"/>
      <c r="T1571" s="139"/>
      <c r="U1571" s="139"/>
      <c r="V1571" s="139"/>
      <c r="W1571" s="139"/>
      <c r="X1571" s="146"/>
      <c r="Y1571" s="148"/>
      <c r="Z1571" s="145"/>
      <c r="AA1571" s="139"/>
      <c r="AB1571" s="149"/>
      <c r="AC1571" s="119"/>
      <c r="AD1571" s="139"/>
      <c r="AE1571" s="139"/>
      <c r="AF1571" s="139"/>
      <c r="AG1571" s="139"/>
      <c r="AH1571" s="139"/>
      <c r="AI1571" s="139"/>
      <c r="AJ1571" s="139"/>
      <c r="AK1571" s="139"/>
      <c r="AL1571" s="139"/>
      <c r="AM1571" s="139"/>
      <c r="AN1571" s="139"/>
      <c r="AO1571" s="139"/>
      <c r="AP1571" s="139"/>
      <c r="AQ1571" s="174"/>
      <c r="AR1571" s="222"/>
    </row>
    <row r="1572" spans="2:44" s="22" customFormat="1" ht="18" customHeight="1" x14ac:dyDescent="0.25">
      <c r="B1572" s="145"/>
      <c r="C1572" s="139"/>
      <c r="D1572" s="146"/>
      <c r="E1572" s="139"/>
      <c r="F1572" s="139"/>
      <c r="G1572" s="139"/>
      <c r="H1572" s="139"/>
      <c r="I1572" s="139"/>
      <c r="J1572" s="139"/>
      <c r="K1572" s="139"/>
      <c r="L1572" s="243"/>
      <c r="M1572" s="243"/>
      <c r="N1572" s="139"/>
      <c r="O1572" s="139"/>
      <c r="P1572" s="139"/>
      <c r="Q1572" s="147"/>
      <c r="R1572" s="139"/>
      <c r="S1572" s="139"/>
      <c r="T1572" s="139"/>
      <c r="U1572" s="139"/>
      <c r="V1572" s="139"/>
      <c r="W1572" s="139"/>
      <c r="X1572" s="146"/>
      <c r="Y1572" s="148"/>
      <c r="Z1572" s="145"/>
      <c r="AA1572" s="139"/>
      <c r="AB1572" s="149"/>
      <c r="AC1572" s="119"/>
      <c r="AD1572" s="139"/>
      <c r="AE1572" s="139"/>
      <c r="AF1572" s="139"/>
      <c r="AG1572" s="139"/>
      <c r="AH1572" s="139"/>
      <c r="AI1572" s="139"/>
      <c r="AJ1572" s="139"/>
      <c r="AK1572" s="139"/>
      <c r="AL1572" s="139"/>
      <c r="AM1572" s="139"/>
      <c r="AN1572" s="139"/>
      <c r="AO1572" s="139"/>
      <c r="AP1572" s="139"/>
      <c r="AQ1572" s="174"/>
      <c r="AR1572" s="222"/>
    </row>
    <row r="1573" spans="2:44" s="22" customFormat="1" ht="18" customHeight="1" x14ac:dyDescent="0.25">
      <c r="B1573" s="145"/>
      <c r="C1573" s="139"/>
      <c r="D1573" s="146"/>
      <c r="E1573" s="139"/>
      <c r="F1573" s="139"/>
      <c r="G1573" s="139"/>
      <c r="H1573" s="139"/>
      <c r="I1573" s="139"/>
      <c r="J1573" s="139"/>
      <c r="K1573" s="139"/>
      <c r="L1573" s="243"/>
      <c r="M1573" s="243"/>
      <c r="N1573" s="139"/>
      <c r="O1573" s="139"/>
      <c r="P1573" s="139"/>
      <c r="Q1573" s="147"/>
      <c r="R1573" s="139"/>
      <c r="S1573" s="139"/>
      <c r="T1573" s="139"/>
      <c r="U1573" s="139"/>
      <c r="V1573" s="139"/>
      <c r="W1573" s="139"/>
      <c r="X1573" s="146"/>
      <c r="Y1573" s="148"/>
      <c r="Z1573" s="145"/>
      <c r="AA1573" s="139"/>
      <c r="AB1573" s="149"/>
      <c r="AC1573" s="119"/>
      <c r="AD1573" s="139"/>
      <c r="AE1573" s="139"/>
      <c r="AF1573" s="139"/>
      <c r="AG1573" s="139"/>
      <c r="AH1573" s="139"/>
      <c r="AI1573" s="139"/>
      <c r="AJ1573" s="139"/>
      <c r="AK1573" s="139"/>
      <c r="AL1573" s="139"/>
      <c r="AM1573" s="139"/>
      <c r="AN1573" s="139"/>
      <c r="AO1573" s="139"/>
      <c r="AP1573" s="139"/>
      <c r="AQ1573" s="174"/>
      <c r="AR1573" s="222"/>
    </row>
    <row r="1574" spans="2:44" s="141" customFormat="1" ht="18" customHeight="1" x14ac:dyDescent="0.25">
      <c r="B1574" s="145"/>
      <c r="C1574" s="139"/>
      <c r="D1574" s="146"/>
      <c r="E1574" s="139"/>
      <c r="F1574" s="139"/>
      <c r="G1574" s="139"/>
      <c r="H1574" s="139"/>
      <c r="I1574" s="139"/>
      <c r="J1574" s="139"/>
      <c r="K1574" s="139"/>
      <c r="L1574" s="243"/>
      <c r="M1574" s="243"/>
      <c r="N1574" s="139"/>
      <c r="O1574" s="139"/>
      <c r="P1574" s="139"/>
      <c r="Q1574" s="147"/>
      <c r="R1574" s="139"/>
      <c r="S1574" s="139"/>
      <c r="T1574" s="139"/>
      <c r="U1574" s="139"/>
      <c r="V1574" s="139"/>
      <c r="W1574" s="139"/>
      <c r="X1574" s="146"/>
      <c r="Y1574" s="148"/>
      <c r="Z1574" s="145"/>
      <c r="AA1574" s="139"/>
      <c r="AB1574" s="149"/>
      <c r="AC1574" s="119"/>
      <c r="AD1574" s="139"/>
      <c r="AE1574" s="139"/>
      <c r="AF1574" s="139"/>
      <c r="AG1574" s="139"/>
      <c r="AH1574" s="139"/>
      <c r="AI1574" s="139"/>
      <c r="AJ1574" s="139"/>
      <c r="AK1574" s="139"/>
      <c r="AL1574" s="139"/>
      <c r="AM1574" s="139"/>
      <c r="AN1574" s="139"/>
      <c r="AO1574" s="139"/>
      <c r="AP1574" s="139"/>
      <c r="AQ1574" s="174"/>
      <c r="AR1574" s="222"/>
    </row>
    <row r="1575" spans="2:44" s="22" customFormat="1" ht="18" customHeight="1" x14ac:dyDescent="0.25">
      <c r="B1575" s="145"/>
      <c r="C1575" s="139"/>
      <c r="D1575" s="146"/>
      <c r="E1575" s="139"/>
      <c r="F1575" s="139"/>
      <c r="G1575" s="139"/>
      <c r="H1575" s="139"/>
      <c r="I1575" s="139"/>
      <c r="J1575" s="139"/>
      <c r="K1575" s="139"/>
      <c r="L1575" s="243"/>
      <c r="M1575" s="243"/>
      <c r="N1575" s="139"/>
      <c r="O1575" s="139"/>
      <c r="P1575" s="139"/>
      <c r="Q1575" s="147"/>
      <c r="R1575" s="139"/>
      <c r="S1575" s="139"/>
      <c r="T1575" s="139"/>
      <c r="U1575" s="139"/>
      <c r="V1575" s="139"/>
      <c r="W1575" s="139"/>
      <c r="X1575" s="146"/>
      <c r="Y1575" s="148"/>
      <c r="Z1575" s="145"/>
      <c r="AA1575" s="139"/>
      <c r="AB1575" s="149"/>
      <c r="AC1575" s="119"/>
      <c r="AD1575" s="139"/>
      <c r="AE1575" s="139"/>
      <c r="AF1575" s="139"/>
      <c r="AG1575" s="139"/>
      <c r="AH1575" s="139"/>
      <c r="AI1575" s="139"/>
      <c r="AJ1575" s="139"/>
      <c r="AK1575" s="139"/>
      <c r="AL1575" s="139"/>
      <c r="AM1575" s="139"/>
      <c r="AN1575" s="139"/>
      <c r="AO1575" s="139"/>
      <c r="AP1575" s="139"/>
      <c r="AQ1575" s="174"/>
      <c r="AR1575" s="222"/>
    </row>
    <row r="1576" spans="2:44" s="22" customFormat="1" ht="18" customHeight="1" x14ac:dyDescent="0.25">
      <c r="B1576" s="145"/>
      <c r="C1576" s="139"/>
      <c r="D1576" s="146"/>
      <c r="E1576" s="139"/>
      <c r="F1576" s="139"/>
      <c r="G1576" s="139"/>
      <c r="H1576" s="139"/>
      <c r="I1576" s="139"/>
      <c r="J1576" s="139"/>
      <c r="K1576" s="139"/>
      <c r="L1576" s="243"/>
      <c r="M1576" s="243"/>
      <c r="N1576" s="139"/>
      <c r="O1576" s="139"/>
      <c r="P1576" s="139"/>
      <c r="Q1576" s="147"/>
      <c r="R1576" s="139"/>
      <c r="S1576" s="139"/>
      <c r="T1576" s="139"/>
      <c r="U1576" s="139"/>
      <c r="V1576" s="139"/>
      <c r="W1576" s="139"/>
      <c r="X1576" s="146"/>
      <c r="Y1576" s="148"/>
      <c r="Z1576" s="145"/>
      <c r="AA1576" s="139"/>
      <c r="AB1576" s="149"/>
      <c r="AC1576" s="119"/>
      <c r="AD1576" s="139"/>
      <c r="AE1576" s="139"/>
      <c r="AF1576" s="139"/>
      <c r="AG1576" s="139"/>
      <c r="AH1576" s="139"/>
      <c r="AI1576" s="139"/>
      <c r="AJ1576" s="139"/>
      <c r="AK1576" s="139"/>
      <c r="AL1576" s="139"/>
      <c r="AM1576" s="139"/>
      <c r="AN1576" s="139"/>
      <c r="AO1576" s="139"/>
      <c r="AP1576" s="139"/>
      <c r="AQ1576" s="174"/>
      <c r="AR1576" s="222"/>
    </row>
    <row r="1577" spans="2:44" s="22" customFormat="1" ht="18" customHeight="1" x14ac:dyDescent="0.25">
      <c r="B1577" s="145"/>
      <c r="C1577" s="139"/>
      <c r="D1577" s="146"/>
      <c r="E1577" s="139"/>
      <c r="F1577" s="139"/>
      <c r="G1577" s="139"/>
      <c r="H1577" s="139"/>
      <c r="I1577" s="139"/>
      <c r="J1577" s="139"/>
      <c r="K1577" s="139"/>
      <c r="L1577" s="243"/>
      <c r="M1577" s="243"/>
      <c r="N1577" s="139"/>
      <c r="O1577" s="139"/>
      <c r="P1577" s="139"/>
      <c r="Q1577" s="147"/>
      <c r="R1577" s="139"/>
      <c r="S1577" s="139"/>
      <c r="T1577" s="139"/>
      <c r="U1577" s="139"/>
      <c r="V1577" s="139"/>
      <c r="W1577" s="139"/>
      <c r="X1577" s="146"/>
      <c r="Y1577" s="148"/>
      <c r="Z1577" s="145"/>
      <c r="AA1577" s="139"/>
      <c r="AB1577" s="149"/>
      <c r="AC1577" s="119"/>
      <c r="AD1577" s="139"/>
      <c r="AE1577" s="139"/>
      <c r="AF1577" s="139"/>
      <c r="AG1577" s="139"/>
      <c r="AH1577" s="139"/>
      <c r="AI1577" s="139"/>
      <c r="AJ1577" s="139"/>
      <c r="AK1577" s="139"/>
      <c r="AL1577" s="139"/>
      <c r="AM1577" s="139"/>
      <c r="AN1577" s="139"/>
      <c r="AO1577" s="139"/>
      <c r="AP1577" s="139"/>
      <c r="AQ1577" s="174"/>
      <c r="AR1577" s="222"/>
    </row>
    <row r="1578" spans="2:44" s="22" customFormat="1" ht="18" customHeight="1" x14ac:dyDescent="0.25">
      <c r="B1578" s="145"/>
      <c r="C1578" s="139"/>
      <c r="D1578" s="146"/>
      <c r="E1578" s="139"/>
      <c r="F1578" s="139"/>
      <c r="G1578" s="139"/>
      <c r="H1578" s="139"/>
      <c r="I1578" s="139"/>
      <c r="J1578" s="139"/>
      <c r="K1578" s="139"/>
      <c r="L1578" s="243"/>
      <c r="M1578" s="243"/>
      <c r="N1578" s="139"/>
      <c r="O1578" s="139"/>
      <c r="P1578" s="139"/>
      <c r="Q1578" s="147"/>
      <c r="R1578" s="139"/>
      <c r="S1578" s="139"/>
      <c r="T1578" s="139"/>
      <c r="U1578" s="139"/>
      <c r="V1578" s="139"/>
      <c r="W1578" s="139"/>
      <c r="X1578" s="146"/>
      <c r="Y1578" s="148"/>
      <c r="Z1578" s="145"/>
      <c r="AA1578" s="139"/>
      <c r="AB1578" s="149"/>
      <c r="AC1578" s="119"/>
      <c r="AD1578" s="139"/>
      <c r="AE1578" s="139"/>
      <c r="AF1578" s="139"/>
      <c r="AG1578" s="139"/>
      <c r="AH1578" s="139"/>
      <c r="AI1578" s="139"/>
      <c r="AJ1578" s="139"/>
      <c r="AK1578" s="139"/>
      <c r="AL1578" s="139"/>
      <c r="AM1578" s="139"/>
      <c r="AN1578" s="139"/>
      <c r="AO1578" s="139"/>
      <c r="AP1578" s="139"/>
      <c r="AQ1578" s="174"/>
      <c r="AR1578" s="222"/>
    </row>
    <row r="1579" spans="2:44" s="22" customFormat="1" ht="18" customHeight="1" x14ac:dyDescent="0.25">
      <c r="B1579" s="145"/>
      <c r="C1579" s="139"/>
      <c r="D1579" s="146"/>
      <c r="E1579" s="139"/>
      <c r="F1579" s="139"/>
      <c r="G1579" s="139"/>
      <c r="H1579" s="139"/>
      <c r="I1579" s="139"/>
      <c r="J1579" s="139"/>
      <c r="K1579" s="139"/>
      <c r="L1579" s="243"/>
      <c r="M1579" s="243"/>
      <c r="N1579" s="139"/>
      <c r="O1579" s="139"/>
      <c r="P1579" s="139"/>
      <c r="Q1579" s="147"/>
      <c r="R1579" s="139"/>
      <c r="S1579" s="139"/>
      <c r="T1579" s="139"/>
      <c r="U1579" s="139"/>
      <c r="V1579" s="139"/>
      <c r="W1579" s="139"/>
      <c r="X1579" s="146"/>
      <c r="Y1579" s="148"/>
      <c r="Z1579" s="145"/>
      <c r="AA1579" s="139"/>
      <c r="AB1579" s="149"/>
      <c r="AC1579" s="119"/>
      <c r="AD1579" s="139"/>
      <c r="AE1579" s="139"/>
      <c r="AF1579" s="139"/>
      <c r="AG1579" s="139"/>
      <c r="AH1579" s="139"/>
      <c r="AI1579" s="139"/>
      <c r="AJ1579" s="139"/>
      <c r="AK1579" s="139"/>
      <c r="AL1579" s="139"/>
      <c r="AM1579" s="139"/>
      <c r="AN1579" s="139"/>
      <c r="AO1579" s="139"/>
      <c r="AP1579" s="139"/>
      <c r="AQ1579" s="174"/>
      <c r="AR1579" s="222"/>
    </row>
    <row r="1580" spans="2:44" s="22" customFormat="1" ht="18" customHeight="1" x14ac:dyDescent="0.25">
      <c r="B1580" s="145"/>
      <c r="C1580" s="139"/>
      <c r="D1580" s="146"/>
      <c r="E1580" s="139"/>
      <c r="F1580" s="139"/>
      <c r="G1580" s="139"/>
      <c r="H1580" s="139"/>
      <c r="I1580" s="139"/>
      <c r="J1580" s="139"/>
      <c r="K1580" s="139"/>
      <c r="L1580" s="243"/>
      <c r="M1580" s="243"/>
      <c r="N1580" s="139"/>
      <c r="O1580" s="139"/>
      <c r="P1580" s="139"/>
      <c r="Q1580" s="147"/>
      <c r="R1580" s="139"/>
      <c r="S1580" s="139"/>
      <c r="T1580" s="139"/>
      <c r="U1580" s="139"/>
      <c r="V1580" s="139"/>
      <c r="W1580" s="139"/>
      <c r="X1580" s="146"/>
      <c r="Y1580" s="148"/>
      <c r="Z1580" s="145"/>
      <c r="AA1580" s="139"/>
      <c r="AB1580" s="149"/>
      <c r="AC1580" s="119"/>
      <c r="AD1580" s="139"/>
      <c r="AE1580" s="139"/>
      <c r="AF1580" s="139"/>
      <c r="AG1580" s="139"/>
      <c r="AH1580" s="139"/>
      <c r="AI1580" s="139"/>
      <c r="AJ1580" s="139"/>
      <c r="AK1580" s="139"/>
      <c r="AL1580" s="139"/>
      <c r="AM1580" s="139"/>
      <c r="AN1580" s="139"/>
      <c r="AO1580" s="139"/>
      <c r="AP1580" s="139"/>
      <c r="AQ1580" s="174"/>
      <c r="AR1580" s="222"/>
    </row>
    <row r="1581" spans="2:44" s="22" customFormat="1" ht="18" customHeight="1" x14ac:dyDescent="0.25">
      <c r="B1581" s="145"/>
      <c r="C1581" s="139"/>
      <c r="D1581" s="146"/>
      <c r="E1581" s="139"/>
      <c r="F1581" s="139"/>
      <c r="G1581" s="139"/>
      <c r="H1581" s="139"/>
      <c r="I1581" s="139"/>
      <c r="J1581" s="139"/>
      <c r="K1581" s="139"/>
      <c r="L1581" s="243"/>
      <c r="M1581" s="243"/>
      <c r="N1581" s="139"/>
      <c r="O1581" s="139"/>
      <c r="P1581" s="139"/>
      <c r="Q1581" s="147"/>
      <c r="R1581" s="139"/>
      <c r="S1581" s="139"/>
      <c r="T1581" s="139"/>
      <c r="U1581" s="139"/>
      <c r="V1581" s="139"/>
      <c r="W1581" s="139"/>
      <c r="X1581" s="146"/>
      <c r="Y1581" s="148"/>
      <c r="Z1581" s="145"/>
      <c r="AA1581" s="139"/>
      <c r="AB1581" s="149"/>
      <c r="AC1581" s="119"/>
      <c r="AD1581" s="139"/>
      <c r="AE1581" s="139"/>
      <c r="AF1581" s="139"/>
      <c r="AG1581" s="139"/>
      <c r="AH1581" s="139"/>
      <c r="AI1581" s="139"/>
      <c r="AJ1581" s="139"/>
      <c r="AK1581" s="139"/>
      <c r="AL1581" s="139"/>
      <c r="AM1581" s="139"/>
      <c r="AN1581" s="139"/>
      <c r="AO1581" s="139"/>
      <c r="AP1581" s="139"/>
      <c r="AQ1581" s="174"/>
      <c r="AR1581" s="222"/>
    </row>
    <row r="1582" spans="2:44" s="22" customFormat="1" ht="18" customHeight="1" x14ac:dyDescent="0.25">
      <c r="B1582" s="145"/>
      <c r="C1582" s="139"/>
      <c r="D1582" s="146"/>
      <c r="E1582" s="139"/>
      <c r="F1582" s="139"/>
      <c r="G1582" s="139"/>
      <c r="H1582" s="139"/>
      <c r="I1582" s="139"/>
      <c r="J1582" s="139"/>
      <c r="K1582" s="139"/>
      <c r="L1582" s="243"/>
      <c r="M1582" s="243"/>
      <c r="N1582" s="139"/>
      <c r="O1582" s="139"/>
      <c r="P1582" s="139"/>
      <c r="Q1582" s="147"/>
      <c r="R1582" s="139"/>
      <c r="S1582" s="139"/>
      <c r="T1582" s="139"/>
      <c r="U1582" s="139"/>
      <c r="V1582" s="139"/>
      <c r="W1582" s="139"/>
      <c r="X1582" s="146"/>
      <c r="Y1582" s="148"/>
      <c r="Z1582" s="145"/>
      <c r="AA1582" s="139"/>
      <c r="AB1582" s="149"/>
      <c r="AC1582" s="119"/>
      <c r="AD1582" s="139"/>
      <c r="AE1582" s="139"/>
      <c r="AF1582" s="139"/>
      <c r="AG1582" s="139"/>
      <c r="AH1582" s="139"/>
      <c r="AI1582" s="139"/>
      <c r="AJ1582" s="139"/>
      <c r="AK1582" s="139"/>
      <c r="AL1582" s="139"/>
      <c r="AM1582" s="139"/>
      <c r="AN1582" s="139"/>
      <c r="AO1582" s="139"/>
      <c r="AP1582" s="139"/>
      <c r="AQ1582" s="174"/>
      <c r="AR1582" s="222"/>
    </row>
    <row r="1583" spans="2:44" s="141" customFormat="1" ht="18" customHeight="1" x14ac:dyDescent="0.25">
      <c r="B1583" s="145"/>
      <c r="C1583" s="139"/>
      <c r="D1583" s="146"/>
      <c r="E1583" s="139"/>
      <c r="F1583" s="139"/>
      <c r="G1583" s="139"/>
      <c r="H1583" s="139"/>
      <c r="I1583" s="139"/>
      <c r="J1583" s="139"/>
      <c r="K1583" s="139"/>
      <c r="L1583" s="243"/>
      <c r="M1583" s="243"/>
      <c r="N1583" s="139"/>
      <c r="O1583" s="139"/>
      <c r="P1583" s="139"/>
      <c r="Q1583" s="147"/>
      <c r="R1583" s="139"/>
      <c r="S1583" s="139"/>
      <c r="T1583" s="139"/>
      <c r="U1583" s="139"/>
      <c r="V1583" s="139"/>
      <c r="W1583" s="139"/>
      <c r="X1583" s="146"/>
      <c r="Y1583" s="148"/>
      <c r="Z1583" s="145"/>
      <c r="AA1583" s="139"/>
      <c r="AB1583" s="149"/>
      <c r="AC1583" s="119"/>
      <c r="AD1583" s="139"/>
      <c r="AE1583" s="139"/>
      <c r="AF1583" s="139"/>
      <c r="AG1583" s="139"/>
      <c r="AH1583" s="139"/>
      <c r="AI1583" s="139"/>
      <c r="AJ1583" s="139"/>
      <c r="AK1583" s="139"/>
      <c r="AL1583" s="139"/>
      <c r="AM1583" s="139"/>
      <c r="AN1583" s="139"/>
      <c r="AO1583" s="139"/>
      <c r="AP1583" s="139"/>
      <c r="AQ1583" s="174"/>
      <c r="AR1583" s="222"/>
    </row>
    <row r="1584" spans="2:44" s="22" customFormat="1" ht="18" customHeight="1" x14ac:dyDescent="0.25">
      <c r="B1584" s="145"/>
      <c r="C1584" s="139"/>
      <c r="D1584" s="146"/>
      <c r="E1584" s="139"/>
      <c r="F1584" s="139"/>
      <c r="G1584" s="139"/>
      <c r="H1584" s="139"/>
      <c r="I1584" s="139"/>
      <c r="J1584" s="139"/>
      <c r="K1584" s="139"/>
      <c r="L1584" s="243"/>
      <c r="M1584" s="243"/>
      <c r="N1584" s="139"/>
      <c r="O1584" s="139"/>
      <c r="P1584" s="139"/>
      <c r="Q1584" s="147"/>
      <c r="R1584" s="139"/>
      <c r="S1584" s="139"/>
      <c r="T1584" s="139"/>
      <c r="U1584" s="139"/>
      <c r="V1584" s="139"/>
      <c r="W1584" s="139"/>
      <c r="X1584" s="146"/>
      <c r="Y1584" s="148"/>
      <c r="Z1584" s="145"/>
      <c r="AA1584" s="139"/>
      <c r="AB1584" s="149"/>
      <c r="AC1584" s="119"/>
      <c r="AD1584" s="139"/>
      <c r="AE1584" s="139"/>
      <c r="AF1584" s="139"/>
      <c r="AG1584" s="139"/>
      <c r="AH1584" s="139"/>
      <c r="AI1584" s="139"/>
      <c r="AJ1584" s="139"/>
      <c r="AK1584" s="139"/>
      <c r="AL1584" s="139"/>
      <c r="AM1584" s="139"/>
      <c r="AN1584" s="139"/>
      <c r="AO1584" s="139"/>
      <c r="AP1584" s="139"/>
      <c r="AQ1584" s="174"/>
      <c r="AR1584" s="222"/>
    </row>
    <row r="1585" spans="2:44" s="22" customFormat="1" ht="18" customHeight="1" x14ac:dyDescent="0.25">
      <c r="B1585" s="145"/>
      <c r="C1585" s="139"/>
      <c r="D1585" s="146"/>
      <c r="E1585" s="139"/>
      <c r="F1585" s="139"/>
      <c r="G1585" s="139"/>
      <c r="H1585" s="139"/>
      <c r="I1585" s="139"/>
      <c r="J1585" s="139"/>
      <c r="K1585" s="139"/>
      <c r="L1585" s="243"/>
      <c r="M1585" s="243"/>
      <c r="N1585" s="139"/>
      <c r="O1585" s="139"/>
      <c r="P1585" s="139"/>
      <c r="Q1585" s="147"/>
      <c r="R1585" s="139"/>
      <c r="S1585" s="139"/>
      <c r="T1585" s="139"/>
      <c r="U1585" s="139"/>
      <c r="V1585" s="139"/>
      <c r="W1585" s="139"/>
      <c r="X1585" s="146"/>
      <c r="Y1585" s="148"/>
      <c r="Z1585" s="145"/>
      <c r="AA1585" s="139"/>
      <c r="AB1585" s="149"/>
      <c r="AC1585" s="119"/>
      <c r="AD1585" s="139"/>
      <c r="AE1585" s="139"/>
      <c r="AF1585" s="139"/>
      <c r="AG1585" s="139"/>
      <c r="AH1585" s="139"/>
      <c r="AI1585" s="139"/>
      <c r="AJ1585" s="139"/>
      <c r="AK1585" s="139"/>
      <c r="AL1585" s="139"/>
      <c r="AM1585" s="139"/>
      <c r="AN1585" s="139"/>
      <c r="AO1585" s="139"/>
      <c r="AP1585" s="139"/>
      <c r="AQ1585" s="174"/>
      <c r="AR1585" s="222"/>
    </row>
    <row r="1586" spans="2:44" s="22" customFormat="1" ht="18" customHeight="1" x14ac:dyDescent="0.25">
      <c r="B1586" s="145"/>
      <c r="C1586" s="139"/>
      <c r="D1586" s="146"/>
      <c r="E1586" s="139"/>
      <c r="F1586" s="139"/>
      <c r="G1586" s="139"/>
      <c r="H1586" s="139"/>
      <c r="I1586" s="139"/>
      <c r="J1586" s="139"/>
      <c r="K1586" s="139"/>
      <c r="L1586" s="243"/>
      <c r="M1586" s="243"/>
      <c r="N1586" s="139"/>
      <c r="O1586" s="139"/>
      <c r="P1586" s="139"/>
      <c r="Q1586" s="147"/>
      <c r="R1586" s="139"/>
      <c r="S1586" s="139"/>
      <c r="T1586" s="139"/>
      <c r="U1586" s="139"/>
      <c r="V1586" s="139"/>
      <c r="W1586" s="139"/>
      <c r="X1586" s="146"/>
      <c r="Y1586" s="148"/>
      <c r="Z1586" s="145"/>
      <c r="AA1586" s="139"/>
      <c r="AB1586" s="149"/>
      <c r="AC1586" s="119"/>
      <c r="AD1586" s="139"/>
      <c r="AE1586" s="139"/>
      <c r="AF1586" s="139"/>
      <c r="AG1586" s="139"/>
      <c r="AH1586" s="139"/>
      <c r="AI1586" s="139"/>
      <c r="AJ1586" s="139"/>
      <c r="AK1586" s="139"/>
      <c r="AL1586" s="139"/>
      <c r="AM1586" s="139"/>
      <c r="AN1586" s="139"/>
      <c r="AO1586" s="139"/>
      <c r="AP1586" s="139"/>
      <c r="AQ1586" s="174"/>
      <c r="AR1586" s="222"/>
    </row>
    <row r="1587" spans="2:44" s="22" customFormat="1" ht="18" customHeight="1" x14ac:dyDescent="0.25">
      <c r="B1587" s="145"/>
      <c r="C1587" s="139"/>
      <c r="D1587" s="146"/>
      <c r="E1587" s="139"/>
      <c r="F1587" s="139"/>
      <c r="G1587" s="139"/>
      <c r="H1587" s="139"/>
      <c r="I1587" s="139"/>
      <c r="J1587" s="139"/>
      <c r="K1587" s="139"/>
      <c r="L1587" s="243"/>
      <c r="M1587" s="243"/>
      <c r="N1587" s="139"/>
      <c r="O1587" s="139"/>
      <c r="P1587" s="139"/>
      <c r="Q1587" s="147"/>
      <c r="R1587" s="139"/>
      <c r="S1587" s="139"/>
      <c r="T1587" s="139"/>
      <c r="U1587" s="139"/>
      <c r="V1587" s="139"/>
      <c r="W1587" s="139"/>
      <c r="X1587" s="146"/>
      <c r="Y1587" s="148"/>
      <c r="Z1587" s="145"/>
      <c r="AA1587" s="139"/>
      <c r="AB1587" s="149"/>
      <c r="AC1587" s="119"/>
      <c r="AD1587" s="139"/>
      <c r="AE1587" s="139"/>
      <c r="AF1587" s="139"/>
      <c r="AG1587" s="139"/>
      <c r="AH1587" s="139"/>
      <c r="AI1587" s="139"/>
      <c r="AJ1587" s="139"/>
      <c r="AK1587" s="139"/>
      <c r="AL1587" s="139"/>
      <c r="AM1587" s="139"/>
      <c r="AN1587" s="139"/>
      <c r="AO1587" s="139"/>
      <c r="AP1587" s="139"/>
      <c r="AQ1587" s="174"/>
      <c r="AR1587" s="222"/>
    </row>
    <row r="1588" spans="2:44" s="140" customFormat="1" ht="18" customHeight="1" x14ac:dyDescent="0.25">
      <c r="B1588" s="145"/>
      <c r="C1588" s="139"/>
      <c r="D1588" s="146"/>
      <c r="E1588" s="139"/>
      <c r="F1588" s="139"/>
      <c r="G1588" s="139"/>
      <c r="H1588" s="139"/>
      <c r="I1588" s="139"/>
      <c r="J1588" s="139"/>
      <c r="K1588" s="139"/>
      <c r="L1588" s="243"/>
      <c r="M1588" s="243"/>
      <c r="N1588" s="139"/>
      <c r="O1588" s="139"/>
      <c r="P1588" s="139"/>
      <c r="Q1588" s="147"/>
      <c r="R1588" s="139"/>
      <c r="S1588" s="139"/>
      <c r="T1588" s="139"/>
      <c r="U1588" s="139"/>
      <c r="V1588" s="139"/>
      <c r="W1588" s="139"/>
      <c r="X1588" s="146"/>
      <c r="Y1588" s="148"/>
      <c r="Z1588" s="145"/>
      <c r="AA1588" s="139"/>
      <c r="AB1588" s="149"/>
      <c r="AC1588" s="119"/>
      <c r="AD1588" s="139"/>
      <c r="AE1588" s="139"/>
      <c r="AF1588" s="139"/>
      <c r="AG1588" s="139"/>
      <c r="AH1588" s="139"/>
      <c r="AI1588" s="139"/>
      <c r="AJ1588" s="139"/>
      <c r="AK1588" s="139"/>
      <c r="AL1588" s="139"/>
      <c r="AM1588" s="139"/>
      <c r="AN1588" s="139"/>
      <c r="AO1588" s="139"/>
      <c r="AP1588" s="139"/>
      <c r="AQ1588" s="174"/>
      <c r="AR1588" s="222"/>
    </row>
    <row r="1589" spans="2:44" s="22" customFormat="1" ht="18" customHeight="1" x14ac:dyDescent="0.25">
      <c r="B1589" s="145"/>
      <c r="C1589" s="139"/>
      <c r="D1589" s="146"/>
      <c r="E1589" s="139"/>
      <c r="F1589" s="139"/>
      <c r="G1589" s="139"/>
      <c r="H1589" s="139"/>
      <c r="I1589" s="139"/>
      <c r="J1589" s="139"/>
      <c r="K1589" s="139"/>
      <c r="L1589" s="243"/>
      <c r="M1589" s="243"/>
      <c r="N1589" s="139"/>
      <c r="O1589" s="139"/>
      <c r="P1589" s="139"/>
      <c r="Q1589" s="147"/>
      <c r="R1589" s="139"/>
      <c r="S1589" s="139"/>
      <c r="T1589" s="139"/>
      <c r="U1589" s="139"/>
      <c r="V1589" s="139"/>
      <c r="W1589" s="139"/>
      <c r="X1589" s="146"/>
      <c r="Y1589" s="148"/>
      <c r="Z1589" s="145"/>
      <c r="AA1589" s="139"/>
      <c r="AB1589" s="149"/>
      <c r="AC1589" s="119"/>
      <c r="AD1589" s="139"/>
      <c r="AE1589" s="139"/>
      <c r="AF1589" s="139"/>
      <c r="AG1589" s="139"/>
      <c r="AH1589" s="139"/>
      <c r="AI1589" s="139"/>
      <c r="AJ1589" s="139"/>
      <c r="AK1589" s="139"/>
      <c r="AL1589" s="139"/>
      <c r="AM1589" s="139"/>
      <c r="AN1589" s="139"/>
      <c r="AO1589" s="139"/>
      <c r="AP1589" s="139"/>
      <c r="AQ1589" s="174"/>
      <c r="AR1589" s="222"/>
    </row>
    <row r="1590" spans="2:44" s="22" customFormat="1" ht="18" customHeight="1" x14ac:dyDescent="0.25">
      <c r="B1590" s="145"/>
      <c r="C1590" s="139"/>
      <c r="D1590" s="146"/>
      <c r="E1590" s="139"/>
      <c r="F1590" s="139"/>
      <c r="G1590" s="139"/>
      <c r="H1590" s="139"/>
      <c r="I1590" s="139"/>
      <c r="J1590" s="139"/>
      <c r="K1590" s="139"/>
      <c r="L1590" s="243"/>
      <c r="M1590" s="243"/>
      <c r="N1590" s="139"/>
      <c r="O1590" s="139"/>
      <c r="P1590" s="139"/>
      <c r="Q1590" s="147"/>
      <c r="R1590" s="139"/>
      <c r="S1590" s="139"/>
      <c r="T1590" s="139"/>
      <c r="U1590" s="139"/>
      <c r="V1590" s="139"/>
      <c r="W1590" s="139"/>
      <c r="X1590" s="146"/>
      <c r="Y1590" s="148"/>
      <c r="Z1590" s="145"/>
      <c r="AA1590" s="139"/>
      <c r="AB1590" s="149"/>
      <c r="AC1590" s="119"/>
      <c r="AD1590" s="139"/>
      <c r="AE1590" s="139"/>
      <c r="AF1590" s="139"/>
      <c r="AG1590" s="139"/>
      <c r="AH1590" s="139"/>
      <c r="AI1590" s="139"/>
      <c r="AJ1590" s="139"/>
      <c r="AK1590" s="139"/>
      <c r="AL1590" s="139"/>
      <c r="AM1590" s="139"/>
      <c r="AN1590" s="139"/>
      <c r="AO1590" s="139"/>
      <c r="AP1590" s="139"/>
      <c r="AQ1590" s="174"/>
      <c r="AR1590" s="222"/>
    </row>
    <row r="1591" spans="2:44" s="22" customFormat="1" ht="18" customHeight="1" x14ac:dyDescent="0.25">
      <c r="B1591" s="145"/>
      <c r="C1591" s="139"/>
      <c r="D1591" s="146"/>
      <c r="E1591" s="139"/>
      <c r="F1591" s="139"/>
      <c r="G1591" s="139"/>
      <c r="H1591" s="139"/>
      <c r="I1591" s="139"/>
      <c r="J1591" s="139"/>
      <c r="K1591" s="139"/>
      <c r="L1591" s="243"/>
      <c r="M1591" s="243"/>
      <c r="N1591" s="139"/>
      <c r="O1591" s="139"/>
      <c r="P1591" s="139"/>
      <c r="Q1591" s="147"/>
      <c r="R1591" s="139"/>
      <c r="S1591" s="139"/>
      <c r="T1591" s="139"/>
      <c r="U1591" s="139"/>
      <c r="V1591" s="139"/>
      <c r="W1591" s="139"/>
      <c r="X1591" s="146"/>
      <c r="Y1591" s="148"/>
      <c r="Z1591" s="145"/>
      <c r="AA1591" s="139"/>
      <c r="AB1591" s="149"/>
      <c r="AC1591" s="119"/>
      <c r="AD1591" s="139"/>
      <c r="AE1591" s="139"/>
      <c r="AF1591" s="139"/>
      <c r="AG1591" s="139"/>
      <c r="AH1591" s="139"/>
      <c r="AI1591" s="139"/>
      <c r="AJ1591" s="139"/>
      <c r="AK1591" s="139"/>
      <c r="AL1591" s="139"/>
      <c r="AM1591" s="139"/>
      <c r="AN1591" s="139"/>
      <c r="AO1591" s="139"/>
      <c r="AP1591" s="139"/>
      <c r="AQ1591" s="174"/>
      <c r="AR1591" s="222"/>
    </row>
    <row r="1592" spans="2:44" s="22" customFormat="1" ht="18" customHeight="1" x14ac:dyDescent="0.25">
      <c r="B1592" s="145"/>
      <c r="C1592" s="139"/>
      <c r="D1592" s="146"/>
      <c r="E1592" s="139"/>
      <c r="F1592" s="139"/>
      <c r="G1592" s="139"/>
      <c r="H1592" s="139"/>
      <c r="I1592" s="139"/>
      <c r="J1592" s="139"/>
      <c r="K1592" s="139"/>
      <c r="L1592" s="243"/>
      <c r="M1592" s="243"/>
      <c r="N1592" s="139"/>
      <c r="O1592" s="139"/>
      <c r="P1592" s="139"/>
      <c r="Q1592" s="147"/>
      <c r="R1592" s="139"/>
      <c r="S1592" s="139"/>
      <c r="T1592" s="139"/>
      <c r="U1592" s="139"/>
      <c r="V1592" s="139"/>
      <c r="W1592" s="139"/>
      <c r="X1592" s="146"/>
      <c r="Y1592" s="148"/>
      <c r="Z1592" s="145"/>
      <c r="AA1592" s="139"/>
      <c r="AB1592" s="149"/>
      <c r="AC1592" s="119"/>
      <c r="AD1592" s="139"/>
      <c r="AE1592" s="139"/>
      <c r="AF1592" s="139"/>
      <c r="AG1592" s="139"/>
      <c r="AH1592" s="139"/>
      <c r="AI1592" s="139"/>
      <c r="AJ1592" s="139"/>
      <c r="AK1592" s="139"/>
      <c r="AL1592" s="139"/>
      <c r="AM1592" s="139"/>
      <c r="AN1592" s="139"/>
      <c r="AO1592" s="139"/>
      <c r="AP1592" s="139"/>
      <c r="AQ1592" s="174"/>
      <c r="AR1592" s="222"/>
    </row>
    <row r="1593" spans="2:44" s="22" customFormat="1" ht="18" customHeight="1" x14ac:dyDescent="0.25">
      <c r="B1593" s="145"/>
      <c r="C1593" s="139"/>
      <c r="D1593" s="146"/>
      <c r="E1593" s="139"/>
      <c r="F1593" s="139"/>
      <c r="G1593" s="139"/>
      <c r="H1593" s="139"/>
      <c r="I1593" s="139"/>
      <c r="J1593" s="139"/>
      <c r="K1593" s="139"/>
      <c r="L1593" s="243"/>
      <c r="M1593" s="243"/>
      <c r="N1593" s="139"/>
      <c r="O1593" s="139"/>
      <c r="P1593" s="139"/>
      <c r="Q1593" s="147"/>
      <c r="R1593" s="139"/>
      <c r="S1593" s="139"/>
      <c r="T1593" s="139"/>
      <c r="U1593" s="139"/>
      <c r="V1593" s="139"/>
      <c r="W1593" s="139"/>
      <c r="X1593" s="146"/>
      <c r="Y1593" s="148"/>
      <c r="Z1593" s="145"/>
      <c r="AA1593" s="139"/>
      <c r="AB1593" s="149"/>
      <c r="AC1593" s="119"/>
      <c r="AD1593" s="139"/>
      <c r="AE1593" s="139"/>
      <c r="AF1593" s="139"/>
      <c r="AG1593" s="139"/>
      <c r="AH1593" s="139"/>
      <c r="AI1593" s="139"/>
      <c r="AJ1593" s="139"/>
      <c r="AK1593" s="139"/>
      <c r="AL1593" s="139"/>
      <c r="AM1593" s="139"/>
      <c r="AN1593" s="139"/>
      <c r="AO1593" s="139"/>
      <c r="AP1593" s="139"/>
      <c r="AQ1593" s="174"/>
      <c r="AR1593" s="222"/>
    </row>
    <row r="1594" spans="2:44" s="22" customFormat="1" ht="18" customHeight="1" x14ac:dyDescent="0.25">
      <c r="B1594" s="145"/>
      <c r="C1594" s="139"/>
      <c r="D1594" s="146"/>
      <c r="E1594" s="139"/>
      <c r="F1594" s="139"/>
      <c r="G1594" s="139"/>
      <c r="H1594" s="139"/>
      <c r="I1594" s="139"/>
      <c r="J1594" s="139"/>
      <c r="K1594" s="139"/>
      <c r="L1594" s="243"/>
      <c r="M1594" s="243"/>
      <c r="N1594" s="139"/>
      <c r="O1594" s="139"/>
      <c r="P1594" s="139"/>
      <c r="Q1594" s="147"/>
      <c r="R1594" s="139"/>
      <c r="S1594" s="139"/>
      <c r="T1594" s="139"/>
      <c r="U1594" s="139"/>
      <c r="V1594" s="139"/>
      <c r="W1594" s="139"/>
      <c r="X1594" s="146"/>
      <c r="Y1594" s="148"/>
      <c r="Z1594" s="145"/>
      <c r="AA1594" s="139"/>
      <c r="AB1594" s="149"/>
      <c r="AC1594" s="119"/>
      <c r="AD1594" s="139"/>
      <c r="AE1594" s="139"/>
      <c r="AF1594" s="139"/>
      <c r="AG1594" s="139"/>
      <c r="AH1594" s="139"/>
      <c r="AI1594" s="139"/>
      <c r="AJ1594" s="139"/>
      <c r="AK1594" s="139"/>
      <c r="AL1594" s="139"/>
      <c r="AM1594" s="139"/>
      <c r="AN1594" s="139"/>
      <c r="AO1594" s="139"/>
      <c r="AP1594" s="139"/>
      <c r="AQ1594" s="174"/>
      <c r="AR1594" s="222"/>
    </row>
    <row r="1595" spans="2:44" s="22" customFormat="1" ht="18" customHeight="1" x14ac:dyDescent="0.25">
      <c r="B1595" s="145"/>
      <c r="C1595" s="139"/>
      <c r="D1595" s="146"/>
      <c r="E1595" s="139"/>
      <c r="F1595" s="139"/>
      <c r="G1595" s="139"/>
      <c r="H1595" s="139"/>
      <c r="I1595" s="139"/>
      <c r="J1595" s="139"/>
      <c r="K1595" s="139"/>
      <c r="L1595" s="243"/>
      <c r="M1595" s="243"/>
      <c r="N1595" s="139"/>
      <c r="O1595" s="139"/>
      <c r="P1595" s="139"/>
      <c r="Q1595" s="147"/>
      <c r="R1595" s="139"/>
      <c r="S1595" s="139"/>
      <c r="T1595" s="139"/>
      <c r="U1595" s="139"/>
      <c r="V1595" s="139"/>
      <c r="W1595" s="139"/>
      <c r="X1595" s="146"/>
      <c r="Y1595" s="148"/>
      <c r="Z1595" s="145"/>
      <c r="AA1595" s="139"/>
      <c r="AB1595" s="149"/>
      <c r="AC1595" s="119"/>
      <c r="AD1595" s="139"/>
      <c r="AE1595" s="139"/>
      <c r="AF1595" s="139"/>
      <c r="AG1595" s="139"/>
      <c r="AH1595" s="139"/>
      <c r="AI1595" s="139"/>
      <c r="AJ1595" s="139"/>
      <c r="AK1595" s="139"/>
      <c r="AL1595" s="139"/>
      <c r="AM1595" s="139"/>
      <c r="AN1595" s="139"/>
      <c r="AO1595" s="139"/>
      <c r="AP1595" s="139"/>
      <c r="AQ1595" s="174"/>
      <c r="AR1595" s="222"/>
    </row>
    <row r="1596" spans="2:44" s="22" customFormat="1" ht="18" customHeight="1" x14ac:dyDescent="0.25">
      <c r="B1596" s="145"/>
      <c r="C1596" s="139"/>
      <c r="D1596" s="146"/>
      <c r="E1596" s="139"/>
      <c r="F1596" s="139"/>
      <c r="G1596" s="139"/>
      <c r="H1596" s="139"/>
      <c r="I1596" s="139"/>
      <c r="J1596" s="139"/>
      <c r="K1596" s="139"/>
      <c r="L1596" s="243"/>
      <c r="M1596" s="243"/>
      <c r="N1596" s="139"/>
      <c r="O1596" s="139"/>
      <c r="P1596" s="139"/>
      <c r="Q1596" s="147"/>
      <c r="R1596" s="139"/>
      <c r="S1596" s="139"/>
      <c r="T1596" s="139"/>
      <c r="U1596" s="139"/>
      <c r="V1596" s="139"/>
      <c r="W1596" s="139"/>
      <c r="X1596" s="146"/>
      <c r="Y1596" s="148"/>
      <c r="Z1596" s="145"/>
      <c r="AA1596" s="139"/>
      <c r="AB1596" s="149"/>
      <c r="AC1596" s="119"/>
      <c r="AD1596" s="139"/>
      <c r="AE1596" s="139"/>
      <c r="AF1596" s="139"/>
      <c r="AG1596" s="139"/>
      <c r="AH1596" s="139"/>
      <c r="AI1596" s="139"/>
      <c r="AJ1596" s="139"/>
      <c r="AK1596" s="139"/>
      <c r="AL1596" s="139"/>
      <c r="AM1596" s="139"/>
      <c r="AN1596" s="139"/>
      <c r="AO1596" s="139"/>
      <c r="AP1596" s="139"/>
      <c r="AQ1596" s="174"/>
      <c r="AR1596" s="222"/>
    </row>
    <row r="1597" spans="2:44" s="22" customFormat="1" ht="18" customHeight="1" x14ac:dyDescent="0.25">
      <c r="B1597" s="145"/>
      <c r="C1597" s="139"/>
      <c r="D1597" s="146"/>
      <c r="E1597" s="139"/>
      <c r="F1597" s="139"/>
      <c r="G1597" s="139"/>
      <c r="H1597" s="139"/>
      <c r="I1597" s="139"/>
      <c r="J1597" s="139"/>
      <c r="K1597" s="139"/>
      <c r="L1597" s="243"/>
      <c r="M1597" s="243"/>
      <c r="N1597" s="139"/>
      <c r="O1597" s="139"/>
      <c r="P1597" s="139"/>
      <c r="Q1597" s="147"/>
      <c r="R1597" s="139"/>
      <c r="S1597" s="139"/>
      <c r="T1597" s="139"/>
      <c r="U1597" s="139"/>
      <c r="V1597" s="139"/>
      <c r="W1597" s="139"/>
      <c r="X1597" s="146"/>
      <c r="Y1597" s="148"/>
      <c r="Z1597" s="145"/>
      <c r="AA1597" s="139"/>
      <c r="AB1597" s="149"/>
      <c r="AC1597" s="119"/>
      <c r="AD1597" s="139"/>
      <c r="AE1597" s="139"/>
      <c r="AF1597" s="139"/>
      <c r="AG1597" s="139"/>
      <c r="AH1597" s="139"/>
      <c r="AI1597" s="139"/>
      <c r="AJ1597" s="139"/>
      <c r="AK1597" s="139"/>
      <c r="AL1597" s="139"/>
      <c r="AM1597" s="139"/>
      <c r="AN1597" s="139"/>
      <c r="AO1597" s="139"/>
      <c r="AP1597" s="139"/>
      <c r="AQ1597" s="174"/>
      <c r="AR1597" s="222"/>
    </row>
    <row r="1598" spans="2:44" s="22" customFormat="1" ht="18" customHeight="1" x14ac:dyDescent="0.25">
      <c r="B1598" s="145"/>
      <c r="C1598" s="139"/>
      <c r="D1598" s="146"/>
      <c r="E1598" s="139"/>
      <c r="F1598" s="139"/>
      <c r="G1598" s="139"/>
      <c r="H1598" s="139"/>
      <c r="I1598" s="139"/>
      <c r="J1598" s="139"/>
      <c r="K1598" s="139"/>
      <c r="L1598" s="243"/>
      <c r="M1598" s="243"/>
      <c r="N1598" s="139"/>
      <c r="O1598" s="139"/>
      <c r="P1598" s="139"/>
      <c r="Q1598" s="147"/>
      <c r="R1598" s="139"/>
      <c r="S1598" s="139"/>
      <c r="T1598" s="139"/>
      <c r="U1598" s="139"/>
      <c r="V1598" s="139"/>
      <c r="W1598" s="139"/>
      <c r="X1598" s="146"/>
      <c r="Y1598" s="148"/>
      <c r="Z1598" s="145"/>
      <c r="AA1598" s="139"/>
      <c r="AB1598" s="149"/>
      <c r="AC1598" s="119"/>
      <c r="AD1598" s="139"/>
      <c r="AE1598" s="139"/>
      <c r="AF1598" s="139"/>
      <c r="AG1598" s="139"/>
      <c r="AH1598" s="139"/>
      <c r="AI1598" s="139"/>
      <c r="AJ1598" s="139"/>
      <c r="AK1598" s="139"/>
      <c r="AL1598" s="139"/>
      <c r="AM1598" s="139"/>
      <c r="AN1598" s="139"/>
      <c r="AO1598" s="139"/>
      <c r="AP1598" s="139"/>
      <c r="AQ1598" s="174"/>
      <c r="AR1598" s="222"/>
    </row>
    <row r="1599" spans="2:44" s="22" customFormat="1" ht="18" customHeight="1" x14ac:dyDescent="0.25">
      <c r="B1599" s="145"/>
      <c r="C1599" s="139"/>
      <c r="D1599" s="146"/>
      <c r="E1599" s="139"/>
      <c r="F1599" s="139"/>
      <c r="G1599" s="139"/>
      <c r="H1599" s="139"/>
      <c r="I1599" s="139"/>
      <c r="J1599" s="139"/>
      <c r="K1599" s="139"/>
      <c r="L1599" s="243"/>
      <c r="M1599" s="243"/>
      <c r="N1599" s="139"/>
      <c r="O1599" s="139"/>
      <c r="P1599" s="139"/>
      <c r="Q1599" s="147"/>
      <c r="R1599" s="139"/>
      <c r="S1599" s="139"/>
      <c r="T1599" s="139"/>
      <c r="U1599" s="139"/>
      <c r="V1599" s="139"/>
      <c r="W1599" s="139"/>
      <c r="X1599" s="146"/>
      <c r="Y1599" s="148"/>
      <c r="Z1599" s="145"/>
      <c r="AA1599" s="139"/>
      <c r="AB1599" s="149"/>
      <c r="AC1599" s="119"/>
      <c r="AD1599" s="139"/>
      <c r="AE1599" s="139"/>
      <c r="AF1599" s="139"/>
      <c r="AG1599" s="139"/>
      <c r="AH1599" s="139"/>
      <c r="AI1599" s="139"/>
      <c r="AJ1599" s="139"/>
      <c r="AK1599" s="139"/>
      <c r="AL1599" s="139"/>
      <c r="AM1599" s="139"/>
      <c r="AN1599" s="139"/>
      <c r="AO1599" s="139"/>
      <c r="AP1599" s="139"/>
      <c r="AQ1599" s="174"/>
      <c r="AR1599" s="222"/>
    </row>
    <row r="1600" spans="2:44" s="22" customFormat="1" ht="18" customHeight="1" x14ac:dyDescent="0.25">
      <c r="B1600" s="145"/>
      <c r="C1600" s="139"/>
      <c r="D1600" s="146"/>
      <c r="E1600" s="139"/>
      <c r="F1600" s="139"/>
      <c r="G1600" s="139"/>
      <c r="H1600" s="139"/>
      <c r="I1600" s="139"/>
      <c r="J1600" s="139"/>
      <c r="K1600" s="139"/>
      <c r="L1600" s="243"/>
      <c r="M1600" s="243"/>
      <c r="N1600" s="139"/>
      <c r="O1600" s="139"/>
      <c r="P1600" s="139"/>
      <c r="Q1600" s="147"/>
      <c r="R1600" s="139"/>
      <c r="S1600" s="139"/>
      <c r="T1600" s="139"/>
      <c r="U1600" s="139"/>
      <c r="V1600" s="139"/>
      <c r="W1600" s="139"/>
      <c r="X1600" s="146"/>
      <c r="Y1600" s="148"/>
      <c r="Z1600" s="145"/>
      <c r="AA1600" s="139"/>
      <c r="AB1600" s="149"/>
      <c r="AC1600" s="119"/>
      <c r="AD1600" s="139"/>
      <c r="AE1600" s="139"/>
      <c r="AF1600" s="139"/>
      <c r="AG1600" s="139"/>
      <c r="AH1600" s="139"/>
      <c r="AI1600" s="139"/>
      <c r="AJ1600" s="139"/>
      <c r="AK1600" s="139"/>
      <c r="AL1600" s="139"/>
      <c r="AM1600" s="139"/>
      <c r="AN1600" s="139"/>
      <c r="AO1600" s="139"/>
      <c r="AP1600" s="139"/>
      <c r="AQ1600" s="174"/>
      <c r="AR1600" s="222"/>
    </row>
    <row r="1601" spans="2:44" s="22" customFormat="1" ht="18" customHeight="1" x14ac:dyDescent="0.25">
      <c r="B1601" s="145"/>
      <c r="C1601" s="139"/>
      <c r="D1601" s="146"/>
      <c r="E1601" s="139"/>
      <c r="F1601" s="139"/>
      <c r="G1601" s="139"/>
      <c r="H1601" s="139"/>
      <c r="I1601" s="139"/>
      <c r="J1601" s="139"/>
      <c r="K1601" s="139"/>
      <c r="L1601" s="243"/>
      <c r="M1601" s="243"/>
      <c r="N1601" s="139"/>
      <c r="O1601" s="139"/>
      <c r="P1601" s="139"/>
      <c r="Q1601" s="147"/>
      <c r="R1601" s="139"/>
      <c r="S1601" s="139"/>
      <c r="T1601" s="139"/>
      <c r="U1601" s="139"/>
      <c r="V1601" s="139"/>
      <c r="W1601" s="139"/>
      <c r="X1601" s="146"/>
      <c r="Y1601" s="148"/>
      <c r="Z1601" s="145"/>
      <c r="AA1601" s="139"/>
      <c r="AB1601" s="149"/>
      <c r="AC1601" s="119"/>
      <c r="AD1601" s="139"/>
      <c r="AE1601" s="139"/>
      <c r="AF1601" s="139"/>
      <c r="AG1601" s="139"/>
      <c r="AH1601" s="139"/>
      <c r="AI1601" s="139"/>
      <c r="AJ1601" s="139"/>
      <c r="AK1601" s="139"/>
      <c r="AL1601" s="139"/>
      <c r="AM1601" s="139"/>
      <c r="AN1601" s="139"/>
      <c r="AO1601" s="139"/>
      <c r="AP1601" s="139"/>
      <c r="AQ1601" s="174"/>
      <c r="AR1601" s="222"/>
    </row>
    <row r="1602" spans="2:44" s="22" customFormat="1" ht="18" customHeight="1" x14ac:dyDescent="0.25">
      <c r="B1602" s="145"/>
      <c r="C1602" s="139"/>
      <c r="D1602" s="146"/>
      <c r="E1602" s="139"/>
      <c r="F1602" s="139"/>
      <c r="G1602" s="139"/>
      <c r="H1602" s="139"/>
      <c r="I1602" s="139"/>
      <c r="J1602" s="139"/>
      <c r="K1602" s="139"/>
      <c r="L1602" s="243"/>
      <c r="M1602" s="243"/>
      <c r="N1602" s="139"/>
      <c r="O1602" s="139"/>
      <c r="P1602" s="139"/>
      <c r="Q1602" s="147"/>
      <c r="R1602" s="139"/>
      <c r="S1602" s="139"/>
      <c r="T1602" s="139"/>
      <c r="U1602" s="139"/>
      <c r="V1602" s="139"/>
      <c r="W1602" s="139"/>
      <c r="X1602" s="146"/>
      <c r="Y1602" s="148"/>
      <c r="Z1602" s="145"/>
      <c r="AA1602" s="139"/>
      <c r="AB1602" s="149"/>
      <c r="AC1602" s="119"/>
      <c r="AD1602" s="139"/>
      <c r="AE1602" s="139"/>
      <c r="AF1602" s="139"/>
      <c r="AG1602" s="139"/>
      <c r="AH1602" s="139"/>
      <c r="AI1602" s="139"/>
      <c r="AJ1602" s="139"/>
      <c r="AK1602" s="139"/>
      <c r="AL1602" s="139"/>
      <c r="AM1602" s="139"/>
      <c r="AN1602" s="139"/>
      <c r="AO1602" s="139"/>
      <c r="AP1602" s="139"/>
      <c r="AQ1602" s="174"/>
      <c r="AR1602" s="222"/>
    </row>
    <row r="1603" spans="2:44" s="22" customFormat="1" ht="18" customHeight="1" x14ac:dyDescent="0.25">
      <c r="B1603" s="145"/>
      <c r="C1603" s="139"/>
      <c r="D1603" s="146"/>
      <c r="E1603" s="139"/>
      <c r="F1603" s="139"/>
      <c r="G1603" s="139"/>
      <c r="H1603" s="139"/>
      <c r="I1603" s="139"/>
      <c r="J1603" s="139"/>
      <c r="K1603" s="139"/>
      <c r="L1603" s="243"/>
      <c r="M1603" s="243"/>
      <c r="N1603" s="139"/>
      <c r="O1603" s="139"/>
      <c r="P1603" s="139"/>
      <c r="Q1603" s="147"/>
      <c r="R1603" s="139"/>
      <c r="S1603" s="139"/>
      <c r="T1603" s="139"/>
      <c r="U1603" s="139"/>
      <c r="V1603" s="139"/>
      <c r="W1603" s="139"/>
      <c r="X1603" s="146"/>
      <c r="Y1603" s="148"/>
      <c r="Z1603" s="145"/>
      <c r="AA1603" s="139"/>
      <c r="AB1603" s="149"/>
      <c r="AC1603" s="119"/>
      <c r="AD1603" s="139"/>
      <c r="AE1603" s="139"/>
      <c r="AF1603" s="139"/>
      <c r="AG1603" s="139"/>
      <c r="AH1603" s="139"/>
      <c r="AI1603" s="139"/>
      <c r="AJ1603" s="139"/>
      <c r="AK1603" s="139"/>
      <c r="AL1603" s="139"/>
      <c r="AM1603" s="139"/>
      <c r="AN1603" s="139"/>
      <c r="AO1603" s="139"/>
      <c r="AP1603" s="139"/>
      <c r="AQ1603" s="174"/>
      <c r="AR1603" s="222"/>
    </row>
    <row r="1604" spans="2:44" s="22" customFormat="1" ht="18" customHeight="1" x14ac:dyDescent="0.25">
      <c r="B1604" s="145"/>
      <c r="C1604" s="139"/>
      <c r="D1604" s="146"/>
      <c r="E1604" s="139"/>
      <c r="F1604" s="139"/>
      <c r="G1604" s="139"/>
      <c r="H1604" s="139"/>
      <c r="I1604" s="139"/>
      <c r="J1604" s="139"/>
      <c r="K1604" s="139"/>
      <c r="L1604" s="243"/>
      <c r="M1604" s="243"/>
      <c r="N1604" s="139"/>
      <c r="O1604" s="139"/>
      <c r="P1604" s="139"/>
      <c r="Q1604" s="147"/>
      <c r="R1604" s="139"/>
      <c r="S1604" s="139"/>
      <c r="T1604" s="139"/>
      <c r="U1604" s="139"/>
      <c r="V1604" s="139"/>
      <c r="W1604" s="139"/>
      <c r="X1604" s="146"/>
      <c r="Y1604" s="148"/>
      <c r="Z1604" s="145"/>
      <c r="AA1604" s="139"/>
      <c r="AB1604" s="149"/>
      <c r="AC1604" s="119"/>
      <c r="AD1604" s="139"/>
      <c r="AE1604" s="139"/>
      <c r="AF1604" s="139"/>
      <c r="AG1604" s="139"/>
      <c r="AH1604" s="139"/>
      <c r="AI1604" s="139"/>
      <c r="AJ1604" s="139"/>
      <c r="AK1604" s="139"/>
      <c r="AL1604" s="139"/>
      <c r="AM1604" s="139"/>
      <c r="AN1604" s="139"/>
      <c r="AO1604" s="139"/>
      <c r="AP1604" s="139"/>
      <c r="AQ1604" s="174"/>
      <c r="AR1604" s="222"/>
    </row>
    <row r="1605" spans="2:44" s="22" customFormat="1" ht="18" customHeight="1" x14ac:dyDescent="0.25">
      <c r="B1605" s="145"/>
      <c r="C1605" s="139"/>
      <c r="D1605" s="146"/>
      <c r="E1605" s="139"/>
      <c r="F1605" s="139"/>
      <c r="G1605" s="139"/>
      <c r="H1605" s="139"/>
      <c r="I1605" s="139"/>
      <c r="J1605" s="139"/>
      <c r="K1605" s="139"/>
      <c r="L1605" s="243"/>
      <c r="M1605" s="243"/>
      <c r="N1605" s="139"/>
      <c r="O1605" s="139"/>
      <c r="P1605" s="139"/>
      <c r="Q1605" s="147"/>
      <c r="R1605" s="139"/>
      <c r="S1605" s="139"/>
      <c r="T1605" s="139"/>
      <c r="U1605" s="139"/>
      <c r="V1605" s="139"/>
      <c r="W1605" s="139"/>
      <c r="X1605" s="146"/>
      <c r="Y1605" s="148"/>
      <c r="Z1605" s="145"/>
      <c r="AA1605" s="139"/>
      <c r="AB1605" s="149"/>
      <c r="AC1605" s="119"/>
      <c r="AD1605" s="139"/>
      <c r="AE1605" s="139"/>
      <c r="AF1605" s="139"/>
      <c r="AG1605" s="139"/>
      <c r="AH1605" s="139"/>
      <c r="AI1605" s="139"/>
      <c r="AJ1605" s="139"/>
      <c r="AK1605" s="139"/>
      <c r="AL1605" s="139"/>
      <c r="AM1605" s="139"/>
      <c r="AN1605" s="139"/>
      <c r="AO1605" s="139"/>
      <c r="AP1605" s="139"/>
      <c r="AQ1605" s="174"/>
      <c r="AR1605" s="222"/>
    </row>
    <row r="1606" spans="2:44" s="140" customFormat="1" ht="18" customHeight="1" x14ac:dyDescent="0.25">
      <c r="B1606" s="145"/>
      <c r="C1606" s="139"/>
      <c r="D1606" s="146"/>
      <c r="E1606" s="139"/>
      <c r="F1606" s="139"/>
      <c r="G1606" s="139"/>
      <c r="H1606" s="139"/>
      <c r="I1606" s="139"/>
      <c r="J1606" s="139"/>
      <c r="K1606" s="139"/>
      <c r="L1606" s="243"/>
      <c r="M1606" s="243"/>
      <c r="N1606" s="139"/>
      <c r="O1606" s="139"/>
      <c r="P1606" s="139"/>
      <c r="Q1606" s="147"/>
      <c r="R1606" s="139"/>
      <c r="S1606" s="139"/>
      <c r="T1606" s="139"/>
      <c r="U1606" s="139"/>
      <c r="V1606" s="139"/>
      <c r="W1606" s="139"/>
      <c r="X1606" s="146"/>
      <c r="Y1606" s="148"/>
      <c r="Z1606" s="145"/>
      <c r="AA1606" s="139"/>
      <c r="AB1606" s="149"/>
      <c r="AC1606" s="119"/>
      <c r="AD1606" s="139"/>
      <c r="AE1606" s="139"/>
      <c r="AF1606" s="139"/>
      <c r="AG1606" s="139"/>
      <c r="AH1606" s="139"/>
      <c r="AI1606" s="139"/>
      <c r="AJ1606" s="139"/>
      <c r="AK1606" s="139"/>
      <c r="AL1606" s="139"/>
      <c r="AM1606" s="139"/>
      <c r="AN1606" s="139"/>
      <c r="AO1606" s="139"/>
      <c r="AP1606" s="139"/>
      <c r="AQ1606" s="174"/>
      <c r="AR1606" s="222"/>
    </row>
    <row r="1607" spans="2:44" s="22" customFormat="1" ht="18" customHeight="1" x14ac:dyDescent="0.25">
      <c r="B1607" s="145"/>
      <c r="C1607" s="139"/>
      <c r="D1607" s="146"/>
      <c r="E1607" s="139"/>
      <c r="F1607" s="139"/>
      <c r="G1607" s="139"/>
      <c r="H1607" s="139"/>
      <c r="I1607" s="139"/>
      <c r="J1607" s="139"/>
      <c r="K1607" s="139"/>
      <c r="L1607" s="243"/>
      <c r="M1607" s="243"/>
      <c r="N1607" s="139"/>
      <c r="O1607" s="139"/>
      <c r="P1607" s="139"/>
      <c r="Q1607" s="147"/>
      <c r="R1607" s="139"/>
      <c r="S1607" s="139"/>
      <c r="T1607" s="139"/>
      <c r="U1607" s="139"/>
      <c r="V1607" s="139"/>
      <c r="W1607" s="139"/>
      <c r="X1607" s="146"/>
      <c r="Y1607" s="148"/>
      <c r="Z1607" s="145"/>
      <c r="AA1607" s="139"/>
      <c r="AB1607" s="149"/>
      <c r="AC1607" s="119"/>
      <c r="AD1607" s="139"/>
      <c r="AE1607" s="139"/>
      <c r="AF1607" s="139"/>
      <c r="AG1607" s="139"/>
      <c r="AH1607" s="139"/>
      <c r="AI1607" s="139"/>
      <c r="AJ1607" s="139"/>
      <c r="AK1607" s="139"/>
      <c r="AL1607" s="139"/>
      <c r="AM1607" s="139"/>
      <c r="AN1607" s="139"/>
      <c r="AO1607" s="139"/>
      <c r="AP1607" s="139"/>
      <c r="AQ1607" s="174"/>
      <c r="AR1607" s="222"/>
    </row>
    <row r="1608" spans="2:44" s="22" customFormat="1" ht="18" customHeight="1" x14ac:dyDescent="0.25">
      <c r="B1608" s="145"/>
      <c r="C1608" s="139"/>
      <c r="D1608" s="146"/>
      <c r="E1608" s="139"/>
      <c r="F1608" s="139"/>
      <c r="G1608" s="139"/>
      <c r="H1608" s="139"/>
      <c r="I1608" s="139"/>
      <c r="J1608" s="139"/>
      <c r="K1608" s="139"/>
      <c r="L1608" s="243"/>
      <c r="M1608" s="243"/>
      <c r="N1608" s="139"/>
      <c r="O1608" s="139"/>
      <c r="P1608" s="139"/>
      <c r="Q1608" s="147"/>
      <c r="R1608" s="139"/>
      <c r="S1608" s="139"/>
      <c r="T1608" s="139"/>
      <c r="U1608" s="139"/>
      <c r="V1608" s="139"/>
      <c r="W1608" s="139"/>
      <c r="X1608" s="146"/>
      <c r="Y1608" s="148"/>
      <c r="Z1608" s="145"/>
      <c r="AA1608" s="139"/>
      <c r="AB1608" s="149"/>
      <c r="AC1608" s="119"/>
      <c r="AD1608" s="139"/>
      <c r="AE1608" s="139"/>
      <c r="AF1608" s="139"/>
      <c r="AG1608" s="139"/>
      <c r="AH1608" s="139"/>
      <c r="AI1608" s="139"/>
      <c r="AJ1608" s="139"/>
      <c r="AK1608" s="139"/>
      <c r="AL1608" s="139"/>
      <c r="AM1608" s="139"/>
      <c r="AN1608" s="139"/>
      <c r="AO1608" s="139"/>
      <c r="AP1608" s="139"/>
      <c r="AQ1608" s="174"/>
      <c r="AR1608" s="222"/>
    </row>
    <row r="1609" spans="2:44" s="22" customFormat="1" ht="18" customHeight="1" x14ac:dyDescent="0.25">
      <c r="B1609" s="145"/>
      <c r="C1609" s="139"/>
      <c r="D1609" s="146"/>
      <c r="E1609" s="139"/>
      <c r="F1609" s="139"/>
      <c r="G1609" s="139"/>
      <c r="H1609" s="139"/>
      <c r="I1609" s="139"/>
      <c r="J1609" s="139"/>
      <c r="K1609" s="139"/>
      <c r="L1609" s="243"/>
      <c r="M1609" s="243"/>
      <c r="N1609" s="139"/>
      <c r="O1609" s="139"/>
      <c r="P1609" s="139"/>
      <c r="Q1609" s="147"/>
      <c r="R1609" s="139"/>
      <c r="S1609" s="139"/>
      <c r="T1609" s="139"/>
      <c r="U1609" s="139"/>
      <c r="V1609" s="139"/>
      <c r="W1609" s="139"/>
      <c r="X1609" s="146"/>
      <c r="Y1609" s="148"/>
      <c r="Z1609" s="145"/>
      <c r="AA1609" s="139"/>
      <c r="AB1609" s="149"/>
      <c r="AC1609" s="119"/>
      <c r="AD1609" s="139"/>
      <c r="AE1609" s="139"/>
      <c r="AF1609" s="139"/>
      <c r="AG1609" s="139"/>
      <c r="AH1609" s="139"/>
      <c r="AI1609" s="139"/>
      <c r="AJ1609" s="139"/>
      <c r="AK1609" s="139"/>
      <c r="AL1609" s="139"/>
      <c r="AM1609" s="139"/>
      <c r="AN1609" s="139"/>
      <c r="AO1609" s="139"/>
      <c r="AP1609" s="139"/>
      <c r="AQ1609" s="174"/>
      <c r="AR1609" s="222"/>
    </row>
    <row r="1610" spans="2:44" s="22" customFormat="1" ht="18" customHeight="1" x14ac:dyDescent="0.25">
      <c r="B1610" s="145"/>
      <c r="C1610" s="139"/>
      <c r="D1610" s="146"/>
      <c r="E1610" s="139"/>
      <c r="F1610" s="139"/>
      <c r="G1610" s="139"/>
      <c r="H1610" s="139"/>
      <c r="I1610" s="139"/>
      <c r="J1610" s="139"/>
      <c r="K1610" s="139"/>
      <c r="L1610" s="243"/>
      <c r="M1610" s="243"/>
      <c r="N1610" s="139"/>
      <c r="O1610" s="139"/>
      <c r="P1610" s="139"/>
      <c r="Q1610" s="147"/>
      <c r="R1610" s="139"/>
      <c r="S1610" s="139"/>
      <c r="T1610" s="139"/>
      <c r="U1610" s="139"/>
      <c r="V1610" s="139"/>
      <c r="W1610" s="139"/>
      <c r="X1610" s="146"/>
      <c r="Y1610" s="148"/>
      <c r="Z1610" s="145"/>
      <c r="AA1610" s="139"/>
      <c r="AB1610" s="149"/>
      <c r="AC1610" s="119"/>
      <c r="AD1610" s="139"/>
      <c r="AE1610" s="139"/>
      <c r="AF1610" s="139"/>
      <c r="AG1610" s="139"/>
      <c r="AH1610" s="139"/>
      <c r="AI1610" s="139"/>
      <c r="AJ1610" s="139"/>
      <c r="AK1610" s="139"/>
      <c r="AL1610" s="139"/>
      <c r="AM1610" s="139"/>
      <c r="AN1610" s="139"/>
      <c r="AO1610" s="139"/>
      <c r="AP1610" s="139"/>
      <c r="AQ1610" s="174"/>
      <c r="AR1610" s="222"/>
    </row>
    <row r="1611" spans="2:44" s="22" customFormat="1" ht="18" customHeight="1" x14ac:dyDescent="0.25">
      <c r="B1611" s="145"/>
      <c r="C1611" s="139"/>
      <c r="D1611" s="146"/>
      <c r="E1611" s="139"/>
      <c r="F1611" s="139"/>
      <c r="G1611" s="139"/>
      <c r="H1611" s="139"/>
      <c r="I1611" s="139"/>
      <c r="J1611" s="139"/>
      <c r="K1611" s="139"/>
      <c r="L1611" s="243"/>
      <c r="M1611" s="243"/>
      <c r="N1611" s="139"/>
      <c r="O1611" s="139"/>
      <c r="P1611" s="139"/>
      <c r="Q1611" s="147"/>
      <c r="R1611" s="139"/>
      <c r="S1611" s="139"/>
      <c r="T1611" s="139"/>
      <c r="U1611" s="139"/>
      <c r="V1611" s="139"/>
      <c r="W1611" s="139"/>
      <c r="X1611" s="146"/>
      <c r="Y1611" s="148"/>
      <c r="Z1611" s="145"/>
      <c r="AA1611" s="139"/>
      <c r="AB1611" s="149"/>
      <c r="AC1611" s="119"/>
      <c r="AD1611" s="139"/>
      <c r="AE1611" s="139"/>
      <c r="AF1611" s="139"/>
      <c r="AG1611" s="139"/>
      <c r="AH1611" s="139"/>
      <c r="AI1611" s="139"/>
      <c r="AJ1611" s="139"/>
      <c r="AK1611" s="139"/>
      <c r="AL1611" s="139"/>
      <c r="AM1611" s="139"/>
      <c r="AN1611" s="139"/>
      <c r="AO1611" s="139"/>
      <c r="AP1611" s="139"/>
      <c r="AQ1611" s="174"/>
      <c r="AR1611" s="222"/>
    </row>
    <row r="1612" spans="2:44" s="22" customFormat="1" ht="18" customHeight="1" x14ac:dyDescent="0.25">
      <c r="B1612" s="145"/>
      <c r="C1612" s="139"/>
      <c r="D1612" s="146"/>
      <c r="E1612" s="139"/>
      <c r="F1612" s="139"/>
      <c r="G1612" s="139"/>
      <c r="H1612" s="139"/>
      <c r="I1612" s="139"/>
      <c r="J1612" s="139"/>
      <c r="K1612" s="139"/>
      <c r="L1612" s="243"/>
      <c r="M1612" s="243"/>
      <c r="N1612" s="139"/>
      <c r="O1612" s="139"/>
      <c r="P1612" s="139"/>
      <c r="Q1612" s="147"/>
      <c r="R1612" s="139"/>
      <c r="S1612" s="139"/>
      <c r="T1612" s="139"/>
      <c r="U1612" s="139"/>
      <c r="V1612" s="139"/>
      <c r="W1612" s="139"/>
      <c r="X1612" s="146"/>
      <c r="Y1612" s="148"/>
      <c r="Z1612" s="145"/>
      <c r="AA1612" s="139"/>
      <c r="AB1612" s="149"/>
      <c r="AC1612" s="119"/>
      <c r="AD1612" s="139"/>
      <c r="AE1612" s="139"/>
      <c r="AF1612" s="139"/>
      <c r="AG1612" s="139"/>
      <c r="AH1612" s="139"/>
      <c r="AI1612" s="139"/>
      <c r="AJ1612" s="139"/>
      <c r="AK1612" s="139"/>
      <c r="AL1612" s="139"/>
      <c r="AM1612" s="139"/>
      <c r="AN1612" s="139"/>
      <c r="AO1612" s="139"/>
      <c r="AP1612" s="139"/>
      <c r="AQ1612" s="174"/>
      <c r="AR1612" s="222"/>
    </row>
    <row r="1613" spans="2:44" s="140" customFormat="1" ht="18" customHeight="1" x14ac:dyDescent="0.25">
      <c r="B1613" s="145"/>
      <c r="C1613" s="139"/>
      <c r="D1613" s="146"/>
      <c r="E1613" s="139"/>
      <c r="F1613" s="139"/>
      <c r="G1613" s="139"/>
      <c r="H1613" s="139"/>
      <c r="I1613" s="139"/>
      <c r="J1613" s="139"/>
      <c r="K1613" s="139"/>
      <c r="L1613" s="243"/>
      <c r="M1613" s="243"/>
      <c r="N1613" s="139"/>
      <c r="O1613" s="139"/>
      <c r="P1613" s="139"/>
      <c r="Q1613" s="147"/>
      <c r="R1613" s="139"/>
      <c r="S1613" s="139"/>
      <c r="T1613" s="139"/>
      <c r="U1613" s="139"/>
      <c r="V1613" s="139"/>
      <c r="W1613" s="139"/>
      <c r="X1613" s="146"/>
      <c r="Y1613" s="148"/>
      <c r="Z1613" s="145"/>
      <c r="AA1613" s="139"/>
      <c r="AB1613" s="149"/>
      <c r="AC1613" s="119"/>
      <c r="AD1613" s="139"/>
      <c r="AE1613" s="139"/>
      <c r="AF1613" s="139"/>
      <c r="AG1613" s="139"/>
      <c r="AH1613" s="139"/>
      <c r="AI1613" s="139"/>
      <c r="AJ1613" s="139"/>
      <c r="AK1613" s="139"/>
      <c r="AL1613" s="139"/>
      <c r="AM1613" s="139"/>
      <c r="AN1613" s="139"/>
      <c r="AO1613" s="139"/>
      <c r="AP1613" s="139"/>
      <c r="AQ1613" s="174"/>
      <c r="AR1613" s="222"/>
    </row>
    <row r="1614" spans="2:44" s="22" customFormat="1" ht="18" customHeight="1" x14ac:dyDescent="0.25">
      <c r="B1614" s="145"/>
      <c r="C1614" s="139"/>
      <c r="D1614" s="146"/>
      <c r="E1614" s="139"/>
      <c r="F1614" s="139"/>
      <c r="G1614" s="139"/>
      <c r="H1614" s="139"/>
      <c r="I1614" s="139"/>
      <c r="J1614" s="139"/>
      <c r="K1614" s="139"/>
      <c r="L1614" s="243"/>
      <c r="M1614" s="243"/>
      <c r="N1614" s="139"/>
      <c r="O1614" s="139"/>
      <c r="P1614" s="139"/>
      <c r="Q1614" s="147"/>
      <c r="R1614" s="139"/>
      <c r="S1614" s="139"/>
      <c r="T1614" s="139"/>
      <c r="U1614" s="139"/>
      <c r="V1614" s="139"/>
      <c r="W1614" s="139"/>
      <c r="X1614" s="146"/>
      <c r="Y1614" s="148"/>
      <c r="Z1614" s="145"/>
      <c r="AA1614" s="139"/>
      <c r="AB1614" s="149"/>
      <c r="AC1614" s="119"/>
      <c r="AD1614" s="139"/>
      <c r="AE1614" s="139"/>
      <c r="AF1614" s="139"/>
      <c r="AG1614" s="139"/>
      <c r="AH1614" s="139"/>
      <c r="AI1614" s="139"/>
      <c r="AJ1614" s="139"/>
      <c r="AK1614" s="139"/>
      <c r="AL1614" s="139"/>
      <c r="AM1614" s="139"/>
      <c r="AN1614" s="139"/>
      <c r="AO1614" s="139"/>
      <c r="AP1614" s="139"/>
      <c r="AQ1614" s="174"/>
      <c r="AR1614" s="222"/>
    </row>
    <row r="1615" spans="2:44" s="22" customFormat="1" ht="18" customHeight="1" x14ac:dyDescent="0.25">
      <c r="B1615" s="145"/>
      <c r="C1615" s="139"/>
      <c r="D1615" s="146"/>
      <c r="E1615" s="139"/>
      <c r="F1615" s="139"/>
      <c r="G1615" s="139"/>
      <c r="H1615" s="139"/>
      <c r="I1615" s="139"/>
      <c r="J1615" s="139"/>
      <c r="K1615" s="139"/>
      <c r="L1615" s="243"/>
      <c r="M1615" s="243"/>
      <c r="N1615" s="139"/>
      <c r="O1615" s="139"/>
      <c r="P1615" s="139"/>
      <c r="Q1615" s="147"/>
      <c r="R1615" s="139"/>
      <c r="S1615" s="139"/>
      <c r="T1615" s="139"/>
      <c r="U1615" s="139"/>
      <c r="V1615" s="139"/>
      <c r="W1615" s="139"/>
      <c r="X1615" s="146"/>
      <c r="Y1615" s="148"/>
      <c r="Z1615" s="145"/>
      <c r="AA1615" s="139"/>
      <c r="AB1615" s="149"/>
      <c r="AC1615" s="119"/>
      <c r="AD1615" s="139"/>
      <c r="AE1615" s="139"/>
      <c r="AF1615" s="139"/>
      <c r="AG1615" s="139"/>
      <c r="AH1615" s="139"/>
      <c r="AI1615" s="139"/>
      <c r="AJ1615" s="139"/>
      <c r="AK1615" s="139"/>
      <c r="AL1615" s="139"/>
      <c r="AM1615" s="139"/>
      <c r="AN1615" s="139"/>
      <c r="AO1615" s="139"/>
      <c r="AP1615" s="139"/>
      <c r="AQ1615" s="174"/>
      <c r="AR1615" s="222"/>
    </row>
    <row r="1616" spans="2:44" s="22" customFormat="1" ht="18" customHeight="1" x14ac:dyDescent="0.25">
      <c r="B1616" s="145"/>
      <c r="C1616" s="139"/>
      <c r="D1616" s="146"/>
      <c r="E1616" s="139"/>
      <c r="F1616" s="139"/>
      <c r="G1616" s="139"/>
      <c r="H1616" s="139"/>
      <c r="I1616" s="139"/>
      <c r="J1616" s="139"/>
      <c r="K1616" s="139"/>
      <c r="L1616" s="243"/>
      <c r="M1616" s="243"/>
      <c r="N1616" s="139"/>
      <c r="O1616" s="139"/>
      <c r="P1616" s="139"/>
      <c r="Q1616" s="147"/>
      <c r="R1616" s="139"/>
      <c r="S1616" s="139"/>
      <c r="T1616" s="139"/>
      <c r="U1616" s="139"/>
      <c r="V1616" s="139"/>
      <c r="W1616" s="139"/>
      <c r="X1616" s="146"/>
      <c r="Y1616" s="148"/>
      <c r="Z1616" s="145"/>
      <c r="AA1616" s="139"/>
      <c r="AB1616" s="149"/>
      <c r="AC1616" s="119"/>
      <c r="AD1616" s="139"/>
      <c r="AE1616" s="139"/>
      <c r="AF1616" s="139"/>
      <c r="AG1616" s="139"/>
      <c r="AH1616" s="139"/>
      <c r="AI1616" s="139"/>
      <c r="AJ1616" s="139"/>
      <c r="AK1616" s="139"/>
      <c r="AL1616" s="139"/>
      <c r="AM1616" s="139"/>
      <c r="AN1616" s="139"/>
      <c r="AO1616" s="139"/>
      <c r="AP1616" s="139"/>
      <c r="AQ1616" s="174"/>
      <c r="AR1616" s="222"/>
    </row>
    <row r="1617" spans="2:44" s="22" customFormat="1" ht="18" customHeight="1" x14ac:dyDescent="0.25">
      <c r="B1617" s="145"/>
      <c r="C1617" s="139"/>
      <c r="D1617" s="146"/>
      <c r="E1617" s="139"/>
      <c r="F1617" s="139"/>
      <c r="G1617" s="139"/>
      <c r="H1617" s="139"/>
      <c r="I1617" s="139"/>
      <c r="J1617" s="139"/>
      <c r="K1617" s="139"/>
      <c r="L1617" s="243"/>
      <c r="M1617" s="243"/>
      <c r="N1617" s="139"/>
      <c r="O1617" s="139"/>
      <c r="P1617" s="139"/>
      <c r="Q1617" s="147"/>
      <c r="R1617" s="139"/>
      <c r="S1617" s="139"/>
      <c r="T1617" s="139"/>
      <c r="U1617" s="139"/>
      <c r="V1617" s="139"/>
      <c r="W1617" s="139"/>
      <c r="X1617" s="146"/>
      <c r="Y1617" s="148"/>
      <c r="Z1617" s="145"/>
      <c r="AA1617" s="139"/>
      <c r="AB1617" s="149"/>
      <c r="AC1617" s="119"/>
      <c r="AD1617" s="139"/>
      <c r="AE1617" s="139"/>
      <c r="AF1617" s="139"/>
      <c r="AG1617" s="139"/>
      <c r="AH1617" s="139"/>
      <c r="AI1617" s="139"/>
      <c r="AJ1617" s="139"/>
      <c r="AK1617" s="139"/>
      <c r="AL1617" s="139"/>
      <c r="AM1617" s="139"/>
      <c r="AN1617" s="139"/>
      <c r="AO1617" s="139"/>
      <c r="AP1617" s="139"/>
      <c r="AQ1617" s="174"/>
      <c r="AR1617" s="222"/>
    </row>
    <row r="1618" spans="2:44" s="22" customFormat="1" ht="18" customHeight="1" x14ac:dyDescent="0.25">
      <c r="B1618" s="145"/>
      <c r="C1618" s="139"/>
      <c r="D1618" s="146"/>
      <c r="E1618" s="139"/>
      <c r="F1618" s="139"/>
      <c r="G1618" s="139"/>
      <c r="H1618" s="139"/>
      <c r="I1618" s="139"/>
      <c r="J1618" s="139"/>
      <c r="K1618" s="139"/>
      <c r="L1618" s="243"/>
      <c r="M1618" s="243"/>
      <c r="N1618" s="139"/>
      <c r="O1618" s="139"/>
      <c r="P1618" s="139"/>
      <c r="Q1618" s="147"/>
      <c r="R1618" s="139"/>
      <c r="S1618" s="139"/>
      <c r="T1618" s="139"/>
      <c r="U1618" s="139"/>
      <c r="V1618" s="139"/>
      <c r="W1618" s="139"/>
      <c r="X1618" s="146"/>
      <c r="Y1618" s="148"/>
      <c r="Z1618" s="145"/>
      <c r="AA1618" s="139"/>
      <c r="AB1618" s="149"/>
      <c r="AC1618" s="119"/>
      <c r="AD1618" s="139"/>
      <c r="AE1618" s="139"/>
      <c r="AF1618" s="139"/>
      <c r="AG1618" s="139"/>
      <c r="AH1618" s="139"/>
      <c r="AI1618" s="139"/>
      <c r="AJ1618" s="139"/>
      <c r="AK1618" s="139"/>
      <c r="AL1618" s="139"/>
      <c r="AM1618" s="139"/>
      <c r="AN1618" s="139"/>
      <c r="AO1618" s="139"/>
      <c r="AP1618" s="139"/>
      <c r="AQ1618" s="174"/>
      <c r="AR1618" s="222"/>
    </row>
    <row r="1619" spans="2:44" s="22" customFormat="1" ht="18" customHeight="1" x14ac:dyDescent="0.25">
      <c r="B1619" s="145"/>
      <c r="C1619" s="139"/>
      <c r="D1619" s="146"/>
      <c r="E1619" s="139"/>
      <c r="F1619" s="139"/>
      <c r="G1619" s="139"/>
      <c r="H1619" s="139"/>
      <c r="I1619" s="139"/>
      <c r="J1619" s="139"/>
      <c r="K1619" s="139"/>
      <c r="L1619" s="243"/>
      <c r="M1619" s="243"/>
      <c r="N1619" s="139"/>
      <c r="O1619" s="139"/>
      <c r="P1619" s="139"/>
      <c r="Q1619" s="147"/>
      <c r="R1619" s="139"/>
      <c r="S1619" s="139"/>
      <c r="T1619" s="139"/>
      <c r="U1619" s="139"/>
      <c r="V1619" s="139"/>
      <c r="W1619" s="139"/>
      <c r="X1619" s="146"/>
      <c r="Y1619" s="148"/>
      <c r="Z1619" s="145"/>
      <c r="AA1619" s="139"/>
      <c r="AB1619" s="149"/>
      <c r="AC1619" s="119"/>
      <c r="AD1619" s="139"/>
      <c r="AE1619" s="139"/>
      <c r="AF1619" s="139"/>
      <c r="AG1619" s="139"/>
      <c r="AH1619" s="139"/>
      <c r="AI1619" s="139"/>
      <c r="AJ1619" s="139"/>
      <c r="AK1619" s="139"/>
      <c r="AL1619" s="139"/>
      <c r="AM1619" s="139"/>
      <c r="AN1619" s="139"/>
      <c r="AO1619" s="139"/>
      <c r="AP1619" s="139"/>
      <c r="AQ1619" s="174"/>
      <c r="AR1619" s="222"/>
    </row>
    <row r="1620" spans="2:44" s="22" customFormat="1" ht="18" customHeight="1" x14ac:dyDescent="0.25">
      <c r="B1620" s="145"/>
      <c r="C1620" s="139"/>
      <c r="D1620" s="146"/>
      <c r="E1620" s="139"/>
      <c r="F1620" s="139"/>
      <c r="G1620" s="139"/>
      <c r="H1620" s="139"/>
      <c r="I1620" s="139"/>
      <c r="J1620" s="139"/>
      <c r="K1620" s="139"/>
      <c r="L1620" s="243"/>
      <c r="M1620" s="243"/>
      <c r="N1620" s="139"/>
      <c r="O1620" s="139"/>
      <c r="P1620" s="139"/>
      <c r="Q1620" s="147"/>
      <c r="R1620" s="139"/>
      <c r="S1620" s="139"/>
      <c r="T1620" s="139"/>
      <c r="U1620" s="139"/>
      <c r="V1620" s="139"/>
      <c r="W1620" s="139"/>
      <c r="X1620" s="146"/>
      <c r="Y1620" s="148"/>
      <c r="Z1620" s="145"/>
      <c r="AA1620" s="139"/>
      <c r="AB1620" s="149"/>
      <c r="AC1620" s="119"/>
      <c r="AD1620" s="139"/>
      <c r="AE1620" s="139"/>
      <c r="AF1620" s="139"/>
      <c r="AG1620" s="139"/>
      <c r="AH1620" s="139"/>
      <c r="AI1620" s="139"/>
      <c r="AJ1620" s="139"/>
      <c r="AK1620" s="139"/>
      <c r="AL1620" s="139"/>
      <c r="AM1620" s="139"/>
      <c r="AN1620" s="139"/>
      <c r="AO1620" s="139"/>
      <c r="AP1620" s="139"/>
      <c r="AQ1620" s="174"/>
      <c r="AR1620" s="222"/>
    </row>
    <row r="1621" spans="2:44" s="22" customFormat="1" ht="18" customHeight="1" x14ac:dyDescent="0.25">
      <c r="B1621" s="145"/>
      <c r="C1621" s="139"/>
      <c r="D1621" s="146"/>
      <c r="E1621" s="139"/>
      <c r="F1621" s="139"/>
      <c r="G1621" s="139"/>
      <c r="H1621" s="139"/>
      <c r="I1621" s="139"/>
      <c r="J1621" s="139"/>
      <c r="K1621" s="139"/>
      <c r="L1621" s="243"/>
      <c r="M1621" s="243"/>
      <c r="N1621" s="139"/>
      <c r="O1621" s="139"/>
      <c r="P1621" s="139"/>
      <c r="Q1621" s="147"/>
      <c r="R1621" s="139"/>
      <c r="S1621" s="139"/>
      <c r="T1621" s="139"/>
      <c r="U1621" s="139"/>
      <c r="V1621" s="139"/>
      <c r="W1621" s="139"/>
      <c r="X1621" s="146"/>
      <c r="Y1621" s="148"/>
      <c r="Z1621" s="145"/>
      <c r="AA1621" s="139"/>
      <c r="AB1621" s="149"/>
      <c r="AC1621" s="119"/>
      <c r="AD1621" s="139"/>
      <c r="AE1621" s="139"/>
      <c r="AF1621" s="139"/>
      <c r="AG1621" s="139"/>
      <c r="AH1621" s="139"/>
      <c r="AI1621" s="139"/>
      <c r="AJ1621" s="139"/>
      <c r="AK1621" s="139"/>
      <c r="AL1621" s="139"/>
      <c r="AM1621" s="139"/>
      <c r="AN1621" s="139"/>
      <c r="AO1621" s="139"/>
      <c r="AP1621" s="139"/>
      <c r="AQ1621" s="174"/>
      <c r="AR1621" s="222"/>
    </row>
    <row r="1622" spans="2:44" s="22" customFormat="1" ht="18" customHeight="1" x14ac:dyDescent="0.25">
      <c r="B1622" s="145"/>
      <c r="C1622" s="139"/>
      <c r="D1622" s="146"/>
      <c r="E1622" s="139"/>
      <c r="F1622" s="139"/>
      <c r="G1622" s="139"/>
      <c r="H1622" s="139"/>
      <c r="I1622" s="139"/>
      <c r="J1622" s="139"/>
      <c r="K1622" s="139"/>
      <c r="L1622" s="243"/>
      <c r="M1622" s="243"/>
      <c r="N1622" s="139"/>
      <c r="O1622" s="139"/>
      <c r="P1622" s="139"/>
      <c r="Q1622" s="147"/>
      <c r="R1622" s="139"/>
      <c r="S1622" s="139"/>
      <c r="T1622" s="139"/>
      <c r="U1622" s="139"/>
      <c r="V1622" s="139"/>
      <c r="W1622" s="139"/>
      <c r="X1622" s="146"/>
      <c r="Y1622" s="148"/>
      <c r="Z1622" s="145"/>
      <c r="AA1622" s="139"/>
      <c r="AB1622" s="149"/>
      <c r="AC1622" s="119"/>
      <c r="AD1622" s="139"/>
      <c r="AE1622" s="139"/>
      <c r="AF1622" s="139"/>
      <c r="AG1622" s="139"/>
      <c r="AH1622" s="139"/>
      <c r="AI1622" s="139"/>
      <c r="AJ1622" s="139"/>
      <c r="AK1622" s="139"/>
      <c r="AL1622" s="139"/>
      <c r="AM1622" s="139"/>
      <c r="AN1622" s="139"/>
      <c r="AO1622" s="139"/>
      <c r="AP1622" s="139"/>
      <c r="AQ1622" s="174"/>
      <c r="AR1622" s="222"/>
    </row>
    <row r="1623" spans="2:44" s="22" customFormat="1" ht="18" customHeight="1" x14ac:dyDescent="0.25">
      <c r="B1623" s="145"/>
      <c r="C1623" s="139"/>
      <c r="D1623" s="146"/>
      <c r="E1623" s="139"/>
      <c r="F1623" s="139"/>
      <c r="G1623" s="139"/>
      <c r="H1623" s="139"/>
      <c r="I1623" s="139"/>
      <c r="J1623" s="139"/>
      <c r="K1623" s="139"/>
      <c r="L1623" s="243"/>
      <c r="M1623" s="243"/>
      <c r="N1623" s="139"/>
      <c r="O1623" s="139"/>
      <c r="P1623" s="139"/>
      <c r="Q1623" s="147"/>
      <c r="R1623" s="139"/>
      <c r="S1623" s="139"/>
      <c r="T1623" s="139"/>
      <c r="U1623" s="139"/>
      <c r="V1623" s="139"/>
      <c r="W1623" s="139"/>
      <c r="X1623" s="146"/>
      <c r="Y1623" s="148"/>
      <c r="Z1623" s="145"/>
      <c r="AA1623" s="139"/>
      <c r="AB1623" s="149"/>
      <c r="AC1623" s="119"/>
      <c r="AD1623" s="139"/>
      <c r="AE1623" s="139"/>
      <c r="AF1623" s="139"/>
      <c r="AG1623" s="139"/>
      <c r="AH1623" s="139"/>
      <c r="AI1623" s="139"/>
      <c r="AJ1623" s="139"/>
      <c r="AK1623" s="139"/>
      <c r="AL1623" s="139"/>
      <c r="AM1623" s="139"/>
      <c r="AN1623" s="139"/>
      <c r="AO1623" s="139"/>
      <c r="AP1623" s="139"/>
      <c r="AQ1623" s="174"/>
      <c r="AR1623" s="222"/>
    </row>
    <row r="1624" spans="2:44" s="22" customFormat="1" ht="18" customHeight="1" x14ac:dyDescent="0.25">
      <c r="B1624" s="145"/>
      <c r="C1624" s="139"/>
      <c r="D1624" s="146"/>
      <c r="E1624" s="139"/>
      <c r="F1624" s="139"/>
      <c r="G1624" s="139"/>
      <c r="H1624" s="139"/>
      <c r="I1624" s="139"/>
      <c r="J1624" s="139"/>
      <c r="K1624" s="139"/>
      <c r="L1624" s="243"/>
      <c r="M1624" s="243"/>
      <c r="N1624" s="139"/>
      <c r="O1624" s="139"/>
      <c r="P1624" s="139"/>
      <c r="Q1624" s="147"/>
      <c r="R1624" s="139"/>
      <c r="S1624" s="139"/>
      <c r="T1624" s="139"/>
      <c r="U1624" s="139"/>
      <c r="V1624" s="139"/>
      <c r="W1624" s="139"/>
      <c r="X1624" s="146"/>
      <c r="Y1624" s="148"/>
      <c r="Z1624" s="145"/>
      <c r="AA1624" s="139"/>
      <c r="AB1624" s="149"/>
      <c r="AC1624" s="119"/>
      <c r="AD1624" s="139"/>
      <c r="AE1624" s="139"/>
      <c r="AF1624" s="139"/>
      <c r="AG1624" s="139"/>
      <c r="AH1624" s="139"/>
      <c r="AI1624" s="139"/>
      <c r="AJ1624" s="139"/>
      <c r="AK1624" s="139"/>
      <c r="AL1624" s="139"/>
      <c r="AM1624" s="139"/>
      <c r="AN1624" s="139"/>
      <c r="AO1624" s="139"/>
      <c r="AP1624" s="139"/>
      <c r="AQ1624" s="174"/>
      <c r="AR1624" s="222"/>
    </row>
    <row r="1625" spans="2:44" s="22" customFormat="1" ht="18" customHeight="1" x14ac:dyDescent="0.25">
      <c r="B1625" s="145"/>
      <c r="C1625" s="139"/>
      <c r="D1625" s="146"/>
      <c r="E1625" s="139"/>
      <c r="F1625" s="139"/>
      <c r="G1625" s="139"/>
      <c r="H1625" s="139"/>
      <c r="I1625" s="139"/>
      <c r="J1625" s="139"/>
      <c r="K1625" s="139"/>
      <c r="L1625" s="243"/>
      <c r="M1625" s="243"/>
      <c r="N1625" s="139"/>
      <c r="O1625" s="139"/>
      <c r="P1625" s="139"/>
      <c r="Q1625" s="147"/>
      <c r="R1625" s="139"/>
      <c r="S1625" s="139"/>
      <c r="T1625" s="139"/>
      <c r="U1625" s="139"/>
      <c r="V1625" s="139"/>
      <c r="W1625" s="139"/>
      <c r="X1625" s="146"/>
      <c r="Y1625" s="148"/>
      <c r="Z1625" s="145"/>
      <c r="AA1625" s="139"/>
      <c r="AB1625" s="149"/>
      <c r="AC1625" s="119"/>
      <c r="AD1625" s="139"/>
      <c r="AE1625" s="139"/>
      <c r="AF1625" s="139"/>
      <c r="AG1625" s="139"/>
      <c r="AH1625" s="139"/>
      <c r="AI1625" s="139"/>
      <c r="AJ1625" s="139"/>
      <c r="AK1625" s="139"/>
      <c r="AL1625" s="139"/>
      <c r="AM1625" s="139"/>
      <c r="AN1625" s="139"/>
      <c r="AO1625" s="139"/>
      <c r="AP1625" s="139"/>
      <c r="AQ1625" s="174"/>
      <c r="AR1625" s="222"/>
    </row>
    <row r="1626" spans="2:44" s="140" customFormat="1" ht="18" customHeight="1" x14ac:dyDescent="0.25">
      <c r="B1626" s="145"/>
      <c r="C1626" s="139"/>
      <c r="D1626" s="146"/>
      <c r="E1626" s="139"/>
      <c r="F1626" s="139"/>
      <c r="G1626" s="139"/>
      <c r="H1626" s="139"/>
      <c r="I1626" s="139"/>
      <c r="J1626" s="139"/>
      <c r="K1626" s="139"/>
      <c r="L1626" s="243"/>
      <c r="M1626" s="243"/>
      <c r="N1626" s="139"/>
      <c r="O1626" s="139"/>
      <c r="P1626" s="139"/>
      <c r="Q1626" s="147"/>
      <c r="R1626" s="139"/>
      <c r="S1626" s="139"/>
      <c r="T1626" s="139"/>
      <c r="U1626" s="139"/>
      <c r="V1626" s="139"/>
      <c r="W1626" s="139"/>
      <c r="X1626" s="146"/>
      <c r="Y1626" s="148"/>
      <c r="Z1626" s="145"/>
      <c r="AA1626" s="139"/>
      <c r="AB1626" s="149"/>
      <c r="AC1626" s="119"/>
      <c r="AD1626" s="139"/>
      <c r="AE1626" s="139"/>
      <c r="AF1626" s="139"/>
      <c r="AG1626" s="139"/>
      <c r="AH1626" s="139"/>
      <c r="AI1626" s="139"/>
      <c r="AJ1626" s="139"/>
      <c r="AK1626" s="139"/>
      <c r="AL1626" s="139"/>
      <c r="AM1626" s="139"/>
      <c r="AN1626" s="139"/>
      <c r="AO1626" s="139"/>
      <c r="AP1626" s="139"/>
      <c r="AQ1626" s="174"/>
      <c r="AR1626" s="222"/>
    </row>
    <row r="1627" spans="2:44" s="140" customFormat="1" ht="18" customHeight="1" x14ac:dyDescent="0.25">
      <c r="B1627" s="145"/>
      <c r="C1627" s="139"/>
      <c r="D1627" s="146"/>
      <c r="E1627" s="139"/>
      <c r="F1627" s="139"/>
      <c r="G1627" s="139"/>
      <c r="H1627" s="139"/>
      <c r="I1627" s="139"/>
      <c r="J1627" s="139"/>
      <c r="K1627" s="139"/>
      <c r="L1627" s="243"/>
      <c r="M1627" s="243"/>
      <c r="N1627" s="139"/>
      <c r="O1627" s="139"/>
      <c r="P1627" s="139"/>
      <c r="Q1627" s="147"/>
      <c r="R1627" s="139"/>
      <c r="S1627" s="139"/>
      <c r="T1627" s="139"/>
      <c r="U1627" s="139"/>
      <c r="V1627" s="139"/>
      <c r="W1627" s="139"/>
      <c r="X1627" s="146"/>
      <c r="Y1627" s="148"/>
      <c r="Z1627" s="145"/>
      <c r="AA1627" s="139"/>
      <c r="AB1627" s="149"/>
      <c r="AC1627" s="119"/>
      <c r="AD1627" s="139"/>
      <c r="AE1627" s="139"/>
      <c r="AF1627" s="139"/>
      <c r="AG1627" s="139"/>
      <c r="AH1627" s="139"/>
      <c r="AI1627" s="139"/>
      <c r="AJ1627" s="139"/>
      <c r="AK1627" s="139"/>
      <c r="AL1627" s="139"/>
      <c r="AM1627" s="139"/>
      <c r="AN1627" s="139"/>
      <c r="AO1627" s="139"/>
      <c r="AP1627" s="139"/>
      <c r="AQ1627" s="174"/>
      <c r="AR1627" s="222"/>
    </row>
    <row r="1628" spans="2:44" s="140" customFormat="1" ht="18" customHeight="1" x14ac:dyDescent="0.25">
      <c r="B1628" s="145"/>
      <c r="C1628" s="139"/>
      <c r="D1628" s="146"/>
      <c r="E1628" s="139"/>
      <c r="F1628" s="139"/>
      <c r="G1628" s="139"/>
      <c r="H1628" s="139"/>
      <c r="I1628" s="139"/>
      <c r="J1628" s="139"/>
      <c r="K1628" s="139"/>
      <c r="L1628" s="243"/>
      <c r="M1628" s="243"/>
      <c r="N1628" s="139"/>
      <c r="O1628" s="139"/>
      <c r="P1628" s="139"/>
      <c r="Q1628" s="147"/>
      <c r="R1628" s="139"/>
      <c r="S1628" s="139"/>
      <c r="T1628" s="139"/>
      <c r="U1628" s="139"/>
      <c r="V1628" s="139"/>
      <c r="W1628" s="139"/>
      <c r="X1628" s="146"/>
      <c r="Y1628" s="148"/>
      <c r="Z1628" s="145"/>
      <c r="AA1628" s="139"/>
      <c r="AB1628" s="149"/>
      <c r="AC1628" s="119"/>
      <c r="AD1628" s="139"/>
      <c r="AE1628" s="139"/>
      <c r="AF1628" s="139"/>
      <c r="AG1628" s="139"/>
      <c r="AH1628" s="139"/>
      <c r="AI1628" s="139"/>
      <c r="AJ1628" s="139"/>
      <c r="AK1628" s="139"/>
      <c r="AL1628" s="139"/>
      <c r="AM1628" s="139"/>
      <c r="AN1628" s="139"/>
      <c r="AO1628" s="139"/>
      <c r="AP1628" s="139"/>
      <c r="AQ1628" s="174"/>
      <c r="AR1628" s="222"/>
    </row>
    <row r="1629" spans="2:44" s="22" customFormat="1" ht="18" customHeight="1" x14ac:dyDescent="0.25">
      <c r="B1629" s="145"/>
      <c r="C1629" s="139"/>
      <c r="D1629" s="146"/>
      <c r="E1629" s="139"/>
      <c r="F1629" s="139"/>
      <c r="G1629" s="139"/>
      <c r="H1629" s="139"/>
      <c r="I1629" s="139"/>
      <c r="J1629" s="139"/>
      <c r="K1629" s="139"/>
      <c r="L1629" s="243"/>
      <c r="M1629" s="243"/>
      <c r="N1629" s="139"/>
      <c r="O1629" s="139"/>
      <c r="P1629" s="139"/>
      <c r="Q1629" s="147"/>
      <c r="R1629" s="139"/>
      <c r="S1629" s="139"/>
      <c r="T1629" s="139"/>
      <c r="U1629" s="139"/>
      <c r="V1629" s="139"/>
      <c r="W1629" s="139"/>
      <c r="X1629" s="146"/>
      <c r="Y1629" s="148"/>
      <c r="Z1629" s="145"/>
      <c r="AA1629" s="139"/>
      <c r="AB1629" s="149"/>
      <c r="AC1629" s="119"/>
      <c r="AD1629" s="139"/>
      <c r="AE1629" s="139"/>
      <c r="AF1629" s="139"/>
      <c r="AG1629" s="139"/>
      <c r="AH1629" s="139"/>
      <c r="AI1629" s="139"/>
      <c r="AJ1629" s="139"/>
      <c r="AK1629" s="139"/>
      <c r="AL1629" s="139"/>
      <c r="AM1629" s="139"/>
      <c r="AN1629" s="139"/>
      <c r="AO1629" s="139"/>
      <c r="AP1629" s="139"/>
      <c r="AQ1629" s="174"/>
      <c r="AR1629" s="222"/>
    </row>
    <row r="1630" spans="2:44" s="22" customFormat="1" ht="18" customHeight="1" x14ac:dyDescent="0.25">
      <c r="B1630" s="145"/>
      <c r="C1630" s="139"/>
      <c r="D1630" s="146"/>
      <c r="E1630" s="139"/>
      <c r="F1630" s="139"/>
      <c r="G1630" s="139"/>
      <c r="H1630" s="139"/>
      <c r="I1630" s="139"/>
      <c r="J1630" s="139"/>
      <c r="K1630" s="139"/>
      <c r="L1630" s="243"/>
      <c r="M1630" s="243"/>
      <c r="N1630" s="139"/>
      <c r="O1630" s="139"/>
      <c r="P1630" s="139"/>
      <c r="Q1630" s="147"/>
      <c r="R1630" s="139"/>
      <c r="S1630" s="139"/>
      <c r="T1630" s="139"/>
      <c r="U1630" s="139"/>
      <c r="V1630" s="139"/>
      <c r="W1630" s="139"/>
      <c r="X1630" s="146"/>
      <c r="Y1630" s="148"/>
      <c r="Z1630" s="145"/>
      <c r="AA1630" s="139"/>
      <c r="AB1630" s="149"/>
      <c r="AC1630" s="119"/>
      <c r="AD1630" s="139"/>
      <c r="AE1630" s="139"/>
      <c r="AF1630" s="139"/>
      <c r="AG1630" s="139"/>
      <c r="AH1630" s="139"/>
      <c r="AI1630" s="139"/>
      <c r="AJ1630" s="139"/>
      <c r="AK1630" s="139"/>
      <c r="AL1630" s="139"/>
      <c r="AM1630" s="139"/>
      <c r="AN1630" s="139"/>
      <c r="AO1630" s="139"/>
      <c r="AP1630" s="139"/>
      <c r="AQ1630" s="174"/>
      <c r="AR1630" s="222"/>
    </row>
    <row r="1631" spans="2:44" s="22" customFormat="1" ht="18" customHeight="1" x14ac:dyDescent="0.25">
      <c r="B1631" s="145"/>
      <c r="C1631" s="139"/>
      <c r="D1631" s="146"/>
      <c r="E1631" s="139"/>
      <c r="F1631" s="139"/>
      <c r="G1631" s="139"/>
      <c r="H1631" s="139"/>
      <c r="I1631" s="139"/>
      <c r="J1631" s="139"/>
      <c r="K1631" s="139"/>
      <c r="L1631" s="243"/>
      <c r="M1631" s="243"/>
      <c r="N1631" s="139"/>
      <c r="O1631" s="139"/>
      <c r="P1631" s="139"/>
      <c r="Q1631" s="147"/>
      <c r="R1631" s="139"/>
      <c r="S1631" s="139"/>
      <c r="T1631" s="139"/>
      <c r="U1631" s="139"/>
      <c r="V1631" s="139"/>
      <c r="W1631" s="139"/>
      <c r="X1631" s="146"/>
      <c r="Y1631" s="148"/>
      <c r="Z1631" s="145"/>
      <c r="AA1631" s="139"/>
      <c r="AB1631" s="149"/>
      <c r="AC1631" s="119"/>
      <c r="AD1631" s="139"/>
      <c r="AE1631" s="139"/>
      <c r="AF1631" s="139"/>
      <c r="AG1631" s="139"/>
      <c r="AH1631" s="139"/>
      <c r="AI1631" s="139"/>
      <c r="AJ1631" s="139"/>
      <c r="AK1631" s="139"/>
      <c r="AL1631" s="139"/>
      <c r="AM1631" s="139"/>
      <c r="AN1631" s="139"/>
      <c r="AO1631" s="139"/>
      <c r="AP1631" s="139"/>
      <c r="AQ1631" s="174"/>
      <c r="AR1631" s="222"/>
    </row>
    <row r="1632" spans="2:44" s="22" customFormat="1" ht="18" customHeight="1" x14ac:dyDescent="0.25">
      <c r="B1632" s="145"/>
      <c r="C1632" s="139"/>
      <c r="D1632" s="146"/>
      <c r="E1632" s="139"/>
      <c r="F1632" s="139"/>
      <c r="G1632" s="139"/>
      <c r="H1632" s="139"/>
      <c r="I1632" s="139"/>
      <c r="J1632" s="139"/>
      <c r="K1632" s="139"/>
      <c r="L1632" s="243"/>
      <c r="M1632" s="243"/>
      <c r="N1632" s="139"/>
      <c r="O1632" s="139"/>
      <c r="P1632" s="139"/>
      <c r="Q1632" s="147"/>
      <c r="R1632" s="139"/>
      <c r="S1632" s="139"/>
      <c r="T1632" s="139"/>
      <c r="U1632" s="139"/>
      <c r="V1632" s="139"/>
      <c r="W1632" s="139"/>
      <c r="X1632" s="146"/>
      <c r="Y1632" s="148"/>
      <c r="Z1632" s="145"/>
      <c r="AA1632" s="139"/>
      <c r="AB1632" s="149"/>
      <c r="AC1632" s="119"/>
      <c r="AD1632" s="139"/>
      <c r="AE1632" s="139"/>
      <c r="AF1632" s="139"/>
      <c r="AG1632" s="139"/>
      <c r="AH1632" s="139"/>
      <c r="AI1632" s="139"/>
      <c r="AJ1632" s="139"/>
      <c r="AK1632" s="139"/>
      <c r="AL1632" s="139"/>
      <c r="AM1632" s="139"/>
      <c r="AN1632" s="139"/>
      <c r="AO1632" s="139"/>
      <c r="AP1632" s="139"/>
      <c r="AQ1632" s="174"/>
      <c r="AR1632" s="222"/>
    </row>
    <row r="1633" spans="2:44" s="22" customFormat="1" ht="18" customHeight="1" x14ac:dyDescent="0.25">
      <c r="B1633" s="145"/>
      <c r="C1633" s="139"/>
      <c r="D1633" s="146"/>
      <c r="E1633" s="139"/>
      <c r="F1633" s="139"/>
      <c r="G1633" s="139"/>
      <c r="H1633" s="139"/>
      <c r="I1633" s="139"/>
      <c r="J1633" s="139"/>
      <c r="K1633" s="139"/>
      <c r="L1633" s="243"/>
      <c r="M1633" s="243"/>
      <c r="N1633" s="139"/>
      <c r="O1633" s="139"/>
      <c r="P1633" s="139"/>
      <c r="Q1633" s="147"/>
      <c r="R1633" s="139"/>
      <c r="S1633" s="139"/>
      <c r="T1633" s="139"/>
      <c r="U1633" s="139"/>
      <c r="V1633" s="139"/>
      <c r="W1633" s="139"/>
      <c r="X1633" s="146"/>
      <c r="Y1633" s="148"/>
      <c r="Z1633" s="145"/>
      <c r="AA1633" s="139"/>
      <c r="AB1633" s="149"/>
      <c r="AC1633" s="119"/>
      <c r="AD1633" s="139"/>
      <c r="AE1633" s="139"/>
      <c r="AF1633" s="139"/>
      <c r="AG1633" s="139"/>
      <c r="AH1633" s="139"/>
      <c r="AI1633" s="139"/>
      <c r="AJ1633" s="139"/>
      <c r="AK1633" s="139"/>
      <c r="AL1633" s="139"/>
      <c r="AM1633" s="139"/>
      <c r="AN1633" s="139"/>
      <c r="AO1633" s="139"/>
      <c r="AP1633" s="139"/>
      <c r="AQ1633" s="174"/>
      <c r="AR1633" s="222"/>
    </row>
    <row r="1634" spans="2:44" s="22" customFormat="1" ht="18" customHeight="1" x14ac:dyDescent="0.25">
      <c r="B1634" s="145"/>
      <c r="C1634" s="139"/>
      <c r="D1634" s="146"/>
      <c r="E1634" s="139"/>
      <c r="F1634" s="139"/>
      <c r="G1634" s="139"/>
      <c r="H1634" s="139"/>
      <c r="I1634" s="139"/>
      <c r="J1634" s="139"/>
      <c r="K1634" s="139"/>
      <c r="L1634" s="243"/>
      <c r="M1634" s="243"/>
      <c r="N1634" s="139"/>
      <c r="O1634" s="139"/>
      <c r="P1634" s="139"/>
      <c r="Q1634" s="147"/>
      <c r="R1634" s="139"/>
      <c r="S1634" s="139"/>
      <c r="T1634" s="139"/>
      <c r="U1634" s="139"/>
      <c r="V1634" s="139"/>
      <c r="W1634" s="139"/>
      <c r="X1634" s="146"/>
      <c r="Y1634" s="148"/>
      <c r="Z1634" s="145"/>
      <c r="AA1634" s="139"/>
      <c r="AB1634" s="149"/>
      <c r="AC1634" s="119"/>
      <c r="AD1634" s="139"/>
      <c r="AE1634" s="139"/>
      <c r="AF1634" s="139"/>
      <c r="AG1634" s="139"/>
      <c r="AH1634" s="139"/>
      <c r="AI1634" s="139"/>
      <c r="AJ1634" s="139"/>
      <c r="AK1634" s="139"/>
      <c r="AL1634" s="139"/>
      <c r="AM1634" s="139"/>
      <c r="AN1634" s="139"/>
      <c r="AO1634" s="139"/>
      <c r="AP1634" s="139"/>
      <c r="AQ1634" s="174"/>
      <c r="AR1634" s="222"/>
    </row>
    <row r="1635" spans="2:44" s="22" customFormat="1" ht="18" customHeight="1" x14ac:dyDescent="0.25">
      <c r="B1635" s="145"/>
      <c r="C1635" s="139"/>
      <c r="D1635" s="146"/>
      <c r="E1635" s="139"/>
      <c r="F1635" s="139"/>
      <c r="G1635" s="139"/>
      <c r="H1635" s="139"/>
      <c r="I1635" s="139"/>
      <c r="J1635" s="139"/>
      <c r="K1635" s="139"/>
      <c r="L1635" s="243"/>
      <c r="M1635" s="243"/>
      <c r="N1635" s="139"/>
      <c r="O1635" s="139"/>
      <c r="P1635" s="139"/>
      <c r="Q1635" s="147"/>
      <c r="R1635" s="139"/>
      <c r="S1635" s="139"/>
      <c r="T1635" s="139"/>
      <c r="U1635" s="139"/>
      <c r="V1635" s="139"/>
      <c r="W1635" s="139"/>
      <c r="X1635" s="146"/>
      <c r="Y1635" s="148"/>
      <c r="Z1635" s="145"/>
      <c r="AA1635" s="139"/>
      <c r="AB1635" s="149"/>
      <c r="AC1635" s="119"/>
      <c r="AD1635" s="139"/>
      <c r="AE1635" s="139"/>
      <c r="AF1635" s="139"/>
      <c r="AG1635" s="139"/>
      <c r="AH1635" s="139"/>
      <c r="AI1635" s="139"/>
      <c r="AJ1635" s="139"/>
      <c r="AK1635" s="139"/>
      <c r="AL1635" s="139"/>
      <c r="AM1635" s="139"/>
      <c r="AN1635" s="139"/>
      <c r="AO1635" s="139"/>
      <c r="AP1635" s="139"/>
      <c r="AQ1635" s="174"/>
      <c r="AR1635" s="222"/>
    </row>
    <row r="1636" spans="2:44" s="22" customFormat="1" ht="18" customHeight="1" x14ac:dyDescent="0.25">
      <c r="B1636" s="145"/>
      <c r="C1636" s="139"/>
      <c r="D1636" s="146"/>
      <c r="E1636" s="139"/>
      <c r="F1636" s="139"/>
      <c r="G1636" s="139"/>
      <c r="H1636" s="139"/>
      <c r="I1636" s="139"/>
      <c r="J1636" s="139"/>
      <c r="K1636" s="139"/>
      <c r="L1636" s="243"/>
      <c r="M1636" s="243"/>
      <c r="N1636" s="139"/>
      <c r="O1636" s="139"/>
      <c r="P1636" s="139"/>
      <c r="Q1636" s="147"/>
      <c r="R1636" s="139"/>
      <c r="S1636" s="139"/>
      <c r="T1636" s="139"/>
      <c r="U1636" s="139"/>
      <c r="V1636" s="139"/>
      <c r="W1636" s="139"/>
      <c r="X1636" s="146"/>
      <c r="Y1636" s="148"/>
      <c r="Z1636" s="145"/>
      <c r="AA1636" s="139"/>
      <c r="AB1636" s="149"/>
      <c r="AC1636" s="119"/>
      <c r="AD1636" s="139"/>
      <c r="AE1636" s="139"/>
      <c r="AF1636" s="139"/>
      <c r="AG1636" s="139"/>
      <c r="AH1636" s="139"/>
      <c r="AI1636" s="139"/>
      <c r="AJ1636" s="139"/>
      <c r="AK1636" s="139"/>
      <c r="AL1636" s="139"/>
      <c r="AM1636" s="139"/>
      <c r="AN1636" s="139"/>
      <c r="AO1636" s="139"/>
      <c r="AP1636" s="139"/>
      <c r="AQ1636" s="174"/>
      <c r="AR1636" s="222"/>
    </row>
    <row r="1637" spans="2:44" s="22" customFormat="1" ht="18" customHeight="1" x14ac:dyDescent="0.25">
      <c r="B1637" s="145"/>
      <c r="C1637" s="139"/>
      <c r="D1637" s="146"/>
      <c r="E1637" s="139"/>
      <c r="F1637" s="139"/>
      <c r="G1637" s="139"/>
      <c r="H1637" s="139"/>
      <c r="I1637" s="139"/>
      <c r="J1637" s="139"/>
      <c r="K1637" s="139"/>
      <c r="L1637" s="243"/>
      <c r="M1637" s="243"/>
      <c r="N1637" s="139"/>
      <c r="O1637" s="139"/>
      <c r="P1637" s="139"/>
      <c r="Q1637" s="147"/>
      <c r="R1637" s="139"/>
      <c r="S1637" s="139"/>
      <c r="T1637" s="139"/>
      <c r="U1637" s="139"/>
      <c r="V1637" s="139"/>
      <c r="W1637" s="139"/>
      <c r="X1637" s="146"/>
      <c r="Y1637" s="148"/>
      <c r="Z1637" s="145"/>
      <c r="AA1637" s="139"/>
      <c r="AB1637" s="149"/>
      <c r="AC1637" s="119"/>
      <c r="AD1637" s="139"/>
      <c r="AE1637" s="139"/>
      <c r="AF1637" s="139"/>
      <c r="AG1637" s="139"/>
      <c r="AH1637" s="139"/>
      <c r="AI1637" s="139"/>
      <c r="AJ1637" s="139"/>
      <c r="AK1637" s="139"/>
      <c r="AL1637" s="139"/>
      <c r="AM1637" s="139"/>
      <c r="AN1637" s="139"/>
      <c r="AO1637" s="139"/>
      <c r="AP1637" s="139"/>
      <c r="AQ1637" s="174"/>
      <c r="AR1637" s="222"/>
    </row>
    <row r="1638" spans="2:44" s="22" customFormat="1" ht="18" customHeight="1" x14ac:dyDescent="0.25">
      <c r="B1638" s="145"/>
      <c r="C1638" s="139"/>
      <c r="D1638" s="146"/>
      <c r="E1638" s="139"/>
      <c r="F1638" s="139"/>
      <c r="G1638" s="139"/>
      <c r="H1638" s="139"/>
      <c r="I1638" s="139"/>
      <c r="J1638" s="139"/>
      <c r="K1638" s="139"/>
      <c r="L1638" s="243"/>
      <c r="M1638" s="243"/>
      <c r="N1638" s="139"/>
      <c r="O1638" s="139"/>
      <c r="P1638" s="139"/>
      <c r="Q1638" s="147"/>
      <c r="R1638" s="139"/>
      <c r="S1638" s="139"/>
      <c r="T1638" s="139"/>
      <c r="U1638" s="139"/>
      <c r="V1638" s="139"/>
      <c r="W1638" s="139"/>
      <c r="X1638" s="146"/>
      <c r="Y1638" s="148"/>
      <c r="Z1638" s="145"/>
      <c r="AA1638" s="139"/>
      <c r="AB1638" s="149"/>
      <c r="AC1638" s="119"/>
      <c r="AD1638" s="139"/>
      <c r="AE1638" s="139"/>
      <c r="AF1638" s="139"/>
      <c r="AG1638" s="139"/>
      <c r="AH1638" s="139"/>
      <c r="AI1638" s="139"/>
      <c r="AJ1638" s="139"/>
      <c r="AK1638" s="139"/>
      <c r="AL1638" s="139"/>
      <c r="AM1638" s="139"/>
      <c r="AN1638" s="139"/>
      <c r="AO1638" s="139"/>
      <c r="AP1638" s="139"/>
      <c r="AQ1638" s="174"/>
      <c r="AR1638" s="222"/>
    </row>
    <row r="1639" spans="2:44" s="22" customFormat="1" ht="18" customHeight="1" x14ac:dyDescent="0.25">
      <c r="B1639" s="145"/>
      <c r="C1639" s="139"/>
      <c r="D1639" s="146"/>
      <c r="E1639" s="139"/>
      <c r="F1639" s="139"/>
      <c r="G1639" s="139"/>
      <c r="H1639" s="139"/>
      <c r="I1639" s="139"/>
      <c r="J1639" s="139"/>
      <c r="K1639" s="139"/>
      <c r="L1639" s="243"/>
      <c r="M1639" s="243"/>
      <c r="N1639" s="139"/>
      <c r="O1639" s="139"/>
      <c r="P1639" s="139"/>
      <c r="Q1639" s="147"/>
      <c r="R1639" s="139"/>
      <c r="S1639" s="139"/>
      <c r="T1639" s="139"/>
      <c r="U1639" s="139"/>
      <c r="V1639" s="139"/>
      <c r="W1639" s="139"/>
      <c r="X1639" s="146"/>
      <c r="Y1639" s="148"/>
      <c r="Z1639" s="145"/>
      <c r="AA1639" s="139"/>
      <c r="AB1639" s="149"/>
      <c r="AC1639" s="119"/>
      <c r="AD1639" s="139"/>
      <c r="AE1639" s="139"/>
      <c r="AF1639" s="139"/>
      <c r="AG1639" s="139"/>
      <c r="AH1639" s="139"/>
      <c r="AI1639" s="139"/>
      <c r="AJ1639" s="139"/>
      <c r="AK1639" s="139"/>
      <c r="AL1639" s="139"/>
      <c r="AM1639" s="139"/>
      <c r="AN1639" s="139"/>
      <c r="AO1639" s="139"/>
      <c r="AP1639" s="139"/>
      <c r="AQ1639" s="174"/>
      <c r="AR1639" s="222"/>
    </row>
    <row r="1640" spans="2:44" s="22" customFormat="1" ht="18" customHeight="1" x14ac:dyDescent="0.25">
      <c r="B1640" s="145"/>
      <c r="C1640" s="139"/>
      <c r="D1640" s="146"/>
      <c r="E1640" s="139"/>
      <c r="F1640" s="139"/>
      <c r="G1640" s="139"/>
      <c r="H1640" s="139"/>
      <c r="I1640" s="139"/>
      <c r="J1640" s="139"/>
      <c r="K1640" s="139"/>
      <c r="L1640" s="243"/>
      <c r="M1640" s="243"/>
      <c r="N1640" s="139"/>
      <c r="O1640" s="139"/>
      <c r="P1640" s="139"/>
      <c r="Q1640" s="147"/>
      <c r="R1640" s="139"/>
      <c r="S1640" s="139"/>
      <c r="T1640" s="139"/>
      <c r="U1640" s="139"/>
      <c r="V1640" s="139"/>
      <c r="W1640" s="139"/>
      <c r="X1640" s="146"/>
      <c r="Y1640" s="148"/>
      <c r="Z1640" s="145"/>
      <c r="AA1640" s="139"/>
      <c r="AB1640" s="149"/>
      <c r="AC1640" s="119"/>
      <c r="AD1640" s="139"/>
      <c r="AE1640" s="139"/>
      <c r="AF1640" s="139"/>
      <c r="AG1640" s="139"/>
      <c r="AH1640" s="139"/>
      <c r="AI1640" s="139"/>
      <c r="AJ1640" s="139"/>
      <c r="AK1640" s="139"/>
      <c r="AL1640" s="139"/>
      <c r="AM1640" s="139"/>
      <c r="AN1640" s="139"/>
      <c r="AO1640" s="139"/>
      <c r="AP1640" s="139"/>
      <c r="AQ1640" s="174"/>
      <c r="AR1640" s="222"/>
    </row>
    <row r="1641" spans="2:44" s="22" customFormat="1" ht="18" customHeight="1" x14ac:dyDescent="0.25">
      <c r="B1641" s="145"/>
      <c r="C1641" s="139"/>
      <c r="D1641" s="146"/>
      <c r="E1641" s="139"/>
      <c r="F1641" s="139"/>
      <c r="G1641" s="139"/>
      <c r="H1641" s="139"/>
      <c r="I1641" s="139"/>
      <c r="J1641" s="139"/>
      <c r="K1641" s="139"/>
      <c r="L1641" s="243"/>
      <c r="M1641" s="243"/>
      <c r="N1641" s="139"/>
      <c r="O1641" s="139"/>
      <c r="P1641" s="139"/>
      <c r="Q1641" s="147"/>
      <c r="R1641" s="139"/>
      <c r="S1641" s="139"/>
      <c r="T1641" s="139"/>
      <c r="U1641" s="139"/>
      <c r="V1641" s="139"/>
      <c r="W1641" s="139"/>
      <c r="X1641" s="146"/>
      <c r="Y1641" s="148"/>
      <c r="Z1641" s="145"/>
      <c r="AA1641" s="139"/>
      <c r="AB1641" s="149"/>
      <c r="AC1641" s="119"/>
      <c r="AD1641" s="139"/>
      <c r="AE1641" s="139"/>
      <c r="AF1641" s="139"/>
      <c r="AG1641" s="139"/>
      <c r="AH1641" s="139"/>
      <c r="AI1641" s="139"/>
      <c r="AJ1641" s="139"/>
      <c r="AK1641" s="139"/>
      <c r="AL1641" s="139"/>
      <c r="AM1641" s="139"/>
      <c r="AN1641" s="139"/>
      <c r="AO1641" s="139"/>
      <c r="AP1641" s="139"/>
      <c r="AQ1641" s="174"/>
      <c r="AR1641" s="222"/>
    </row>
    <row r="1642" spans="2:44" s="22" customFormat="1" ht="18" customHeight="1" x14ac:dyDescent="0.25">
      <c r="B1642" s="145"/>
      <c r="C1642" s="139"/>
      <c r="D1642" s="146"/>
      <c r="E1642" s="139"/>
      <c r="F1642" s="139"/>
      <c r="G1642" s="139"/>
      <c r="H1642" s="139"/>
      <c r="I1642" s="139"/>
      <c r="J1642" s="139"/>
      <c r="K1642" s="139"/>
      <c r="L1642" s="243"/>
      <c r="M1642" s="243"/>
      <c r="N1642" s="139"/>
      <c r="O1642" s="139"/>
      <c r="P1642" s="139"/>
      <c r="Q1642" s="147"/>
      <c r="R1642" s="139"/>
      <c r="S1642" s="139"/>
      <c r="T1642" s="139"/>
      <c r="U1642" s="139"/>
      <c r="V1642" s="139"/>
      <c r="W1642" s="139"/>
      <c r="X1642" s="146"/>
      <c r="Y1642" s="148"/>
      <c r="Z1642" s="145"/>
      <c r="AA1642" s="139"/>
      <c r="AB1642" s="149"/>
      <c r="AC1642" s="119"/>
      <c r="AD1642" s="139"/>
      <c r="AE1642" s="139"/>
      <c r="AF1642" s="139"/>
      <c r="AG1642" s="139"/>
      <c r="AH1642" s="139"/>
      <c r="AI1642" s="139"/>
      <c r="AJ1642" s="139"/>
      <c r="AK1642" s="139"/>
      <c r="AL1642" s="139"/>
      <c r="AM1642" s="139"/>
      <c r="AN1642" s="139"/>
      <c r="AO1642" s="139"/>
      <c r="AP1642" s="139"/>
      <c r="AQ1642" s="174"/>
      <c r="AR1642" s="222"/>
    </row>
    <row r="1643" spans="2:44" s="22" customFormat="1" ht="18" customHeight="1" x14ac:dyDescent="0.25">
      <c r="B1643" s="145"/>
      <c r="C1643" s="139"/>
      <c r="D1643" s="146"/>
      <c r="E1643" s="139"/>
      <c r="F1643" s="139"/>
      <c r="G1643" s="139"/>
      <c r="H1643" s="139"/>
      <c r="I1643" s="139"/>
      <c r="J1643" s="139"/>
      <c r="K1643" s="139"/>
      <c r="L1643" s="243"/>
      <c r="M1643" s="243"/>
      <c r="N1643" s="139"/>
      <c r="O1643" s="139"/>
      <c r="P1643" s="139"/>
      <c r="Q1643" s="147"/>
      <c r="R1643" s="139"/>
      <c r="S1643" s="139"/>
      <c r="T1643" s="139"/>
      <c r="U1643" s="139"/>
      <c r="V1643" s="139"/>
      <c r="W1643" s="139"/>
      <c r="X1643" s="146"/>
      <c r="Y1643" s="148"/>
      <c r="Z1643" s="145"/>
      <c r="AA1643" s="139"/>
      <c r="AB1643" s="149"/>
      <c r="AC1643" s="119"/>
      <c r="AD1643" s="139"/>
      <c r="AE1643" s="139"/>
      <c r="AF1643" s="139"/>
      <c r="AG1643" s="139"/>
      <c r="AH1643" s="139"/>
      <c r="AI1643" s="139"/>
      <c r="AJ1643" s="139"/>
      <c r="AK1643" s="139"/>
      <c r="AL1643" s="139"/>
      <c r="AM1643" s="139"/>
      <c r="AN1643" s="139"/>
      <c r="AO1643" s="139"/>
      <c r="AP1643" s="139"/>
      <c r="AQ1643" s="174"/>
      <c r="AR1643" s="222"/>
    </row>
    <row r="1644" spans="2:44" s="22" customFormat="1" ht="18" customHeight="1" x14ac:dyDescent="0.25">
      <c r="B1644" s="145"/>
      <c r="C1644" s="139"/>
      <c r="D1644" s="146"/>
      <c r="E1644" s="139"/>
      <c r="F1644" s="139"/>
      <c r="G1644" s="139"/>
      <c r="H1644" s="139"/>
      <c r="I1644" s="139"/>
      <c r="J1644" s="139"/>
      <c r="K1644" s="139"/>
      <c r="L1644" s="243"/>
      <c r="M1644" s="243"/>
      <c r="N1644" s="139"/>
      <c r="O1644" s="139"/>
      <c r="P1644" s="139"/>
      <c r="Q1644" s="147"/>
      <c r="R1644" s="139"/>
      <c r="S1644" s="139"/>
      <c r="T1644" s="139"/>
      <c r="U1644" s="139"/>
      <c r="V1644" s="139"/>
      <c r="W1644" s="139"/>
      <c r="X1644" s="146"/>
      <c r="Y1644" s="148"/>
      <c r="Z1644" s="145"/>
      <c r="AA1644" s="139"/>
      <c r="AB1644" s="149"/>
      <c r="AC1644" s="119"/>
      <c r="AD1644" s="139"/>
      <c r="AE1644" s="139"/>
      <c r="AF1644" s="139"/>
      <c r="AG1644" s="139"/>
      <c r="AH1644" s="139"/>
      <c r="AI1644" s="139"/>
      <c r="AJ1644" s="139"/>
      <c r="AK1644" s="139"/>
      <c r="AL1644" s="139"/>
      <c r="AM1644" s="139"/>
      <c r="AN1644" s="139"/>
      <c r="AO1644" s="139"/>
      <c r="AP1644" s="139"/>
      <c r="AQ1644" s="174"/>
      <c r="AR1644" s="222"/>
    </row>
    <row r="1645" spans="2:44" s="22" customFormat="1" ht="18" customHeight="1" x14ac:dyDescent="0.25">
      <c r="B1645" s="145"/>
      <c r="C1645" s="139"/>
      <c r="D1645" s="146"/>
      <c r="E1645" s="139"/>
      <c r="F1645" s="139"/>
      <c r="G1645" s="139"/>
      <c r="H1645" s="139"/>
      <c r="I1645" s="139"/>
      <c r="J1645" s="139"/>
      <c r="K1645" s="139"/>
      <c r="L1645" s="243"/>
      <c r="M1645" s="243"/>
      <c r="N1645" s="139"/>
      <c r="O1645" s="139"/>
      <c r="P1645" s="139"/>
      <c r="Q1645" s="147"/>
      <c r="R1645" s="139"/>
      <c r="S1645" s="139"/>
      <c r="T1645" s="139"/>
      <c r="U1645" s="139"/>
      <c r="V1645" s="139"/>
      <c r="W1645" s="139"/>
      <c r="X1645" s="146"/>
      <c r="Y1645" s="148"/>
      <c r="Z1645" s="145"/>
      <c r="AA1645" s="139"/>
      <c r="AB1645" s="149"/>
      <c r="AC1645" s="119"/>
      <c r="AD1645" s="139"/>
      <c r="AE1645" s="139"/>
      <c r="AF1645" s="139"/>
      <c r="AG1645" s="139"/>
      <c r="AH1645" s="139"/>
      <c r="AI1645" s="139"/>
      <c r="AJ1645" s="139"/>
      <c r="AK1645" s="139"/>
      <c r="AL1645" s="139"/>
      <c r="AM1645" s="139"/>
      <c r="AN1645" s="139"/>
      <c r="AO1645" s="139"/>
      <c r="AP1645" s="139"/>
      <c r="AQ1645" s="174"/>
      <c r="AR1645" s="222"/>
    </row>
    <row r="1646" spans="2:44" s="22" customFormat="1" ht="18" customHeight="1" x14ac:dyDescent="0.25">
      <c r="B1646" s="145"/>
      <c r="C1646" s="139"/>
      <c r="D1646" s="146"/>
      <c r="E1646" s="139"/>
      <c r="F1646" s="139"/>
      <c r="G1646" s="139"/>
      <c r="H1646" s="139"/>
      <c r="I1646" s="139"/>
      <c r="J1646" s="139"/>
      <c r="K1646" s="139"/>
      <c r="L1646" s="243"/>
      <c r="M1646" s="243"/>
      <c r="N1646" s="139"/>
      <c r="O1646" s="139"/>
      <c r="P1646" s="139"/>
      <c r="Q1646" s="147"/>
      <c r="R1646" s="139"/>
      <c r="S1646" s="139"/>
      <c r="T1646" s="139"/>
      <c r="U1646" s="139"/>
      <c r="V1646" s="139"/>
      <c r="W1646" s="139"/>
      <c r="X1646" s="146"/>
      <c r="Y1646" s="148"/>
      <c r="Z1646" s="145"/>
      <c r="AA1646" s="139"/>
      <c r="AB1646" s="149"/>
      <c r="AC1646" s="119"/>
      <c r="AD1646" s="139"/>
      <c r="AE1646" s="139"/>
      <c r="AF1646" s="139"/>
      <c r="AG1646" s="139"/>
      <c r="AH1646" s="139"/>
      <c r="AI1646" s="139"/>
      <c r="AJ1646" s="139"/>
      <c r="AK1646" s="139"/>
      <c r="AL1646" s="139"/>
      <c r="AM1646" s="139"/>
      <c r="AN1646" s="139"/>
      <c r="AO1646" s="139"/>
      <c r="AP1646" s="139"/>
      <c r="AQ1646" s="174"/>
      <c r="AR1646" s="222"/>
    </row>
    <row r="1647" spans="2:44" s="141" customFormat="1" ht="18" customHeight="1" x14ac:dyDescent="0.25">
      <c r="B1647" s="145"/>
      <c r="C1647" s="139"/>
      <c r="D1647" s="146"/>
      <c r="E1647" s="139"/>
      <c r="F1647" s="139"/>
      <c r="G1647" s="139"/>
      <c r="H1647" s="139"/>
      <c r="I1647" s="139"/>
      <c r="J1647" s="139"/>
      <c r="K1647" s="139"/>
      <c r="L1647" s="243"/>
      <c r="M1647" s="243"/>
      <c r="N1647" s="139"/>
      <c r="O1647" s="139"/>
      <c r="P1647" s="139"/>
      <c r="Q1647" s="147"/>
      <c r="R1647" s="139"/>
      <c r="S1647" s="139"/>
      <c r="T1647" s="139"/>
      <c r="U1647" s="139"/>
      <c r="V1647" s="139"/>
      <c r="W1647" s="139"/>
      <c r="X1647" s="146"/>
      <c r="Y1647" s="148"/>
      <c r="Z1647" s="145"/>
      <c r="AA1647" s="139"/>
      <c r="AB1647" s="149"/>
      <c r="AC1647" s="119"/>
      <c r="AD1647" s="139"/>
      <c r="AE1647" s="139"/>
      <c r="AF1647" s="139"/>
      <c r="AG1647" s="139"/>
      <c r="AH1647" s="139"/>
      <c r="AI1647" s="139"/>
      <c r="AJ1647" s="139"/>
      <c r="AK1647" s="139"/>
      <c r="AL1647" s="139"/>
      <c r="AM1647" s="139"/>
      <c r="AN1647" s="139"/>
      <c r="AO1647" s="139"/>
      <c r="AP1647" s="139"/>
      <c r="AQ1647" s="174"/>
      <c r="AR1647" s="222"/>
    </row>
    <row r="1648" spans="2:44" s="22" customFormat="1" ht="18" customHeight="1" x14ac:dyDescent="0.25">
      <c r="B1648" s="145"/>
      <c r="C1648" s="139"/>
      <c r="D1648" s="146"/>
      <c r="E1648" s="139"/>
      <c r="F1648" s="139"/>
      <c r="G1648" s="139"/>
      <c r="H1648" s="139"/>
      <c r="I1648" s="139"/>
      <c r="J1648" s="139"/>
      <c r="K1648" s="139"/>
      <c r="L1648" s="243"/>
      <c r="M1648" s="243"/>
      <c r="N1648" s="139"/>
      <c r="O1648" s="139"/>
      <c r="P1648" s="139"/>
      <c r="Q1648" s="147"/>
      <c r="R1648" s="139"/>
      <c r="S1648" s="139"/>
      <c r="T1648" s="139"/>
      <c r="U1648" s="139"/>
      <c r="V1648" s="139"/>
      <c r="W1648" s="139"/>
      <c r="X1648" s="146"/>
      <c r="Y1648" s="148"/>
      <c r="Z1648" s="145"/>
      <c r="AA1648" s="139"/>
      <c r="AB1648" s="149"/>
      <c r="AC1648" s="119"/>
      <c r="AD1648" s="139"/>
      <c r="AE1648" s="139"/>
      <c r="AF1648" s="139"/>
      <c r="AG1648" s="139"/>
      <c r="AH1648" s="139"/>
      <c r="AI1648" s="139"/>
      <c r="AJ1648" s="139"/>
      <c r="AK1648" s="139"/>
      <c r="AL1648" s="139"/>
      <c r="AM1648" s="139"/>
      <c r="AN1648" s="139"/>
      <c r="AO1648" s="139"/>
      <c r="AP1648" s="139"/>
      <c r="AQ1648" s="174"/>
      <c r="AR1648" s="222"/>
    </row>
    <row r="1649" spans="2:44" s="22" customFormat="1" ht="18" customHeight="1" x14ac:dyDescent="0.25">
      <c r="B1649" s="145"/>
      <c r="C1649" s="139"/>
      <c r="D1649" s="146"/>
      <c r="E1649" s="139"/>
      <c r="F1649" s="139"/>
      <c r="G1649" s="139"/>
      <c r="H1649" s="139"/>
      <c r="I1649" s="139"/>
      <c r="J1649" s="139"/>
      <c r="K1649" s="139"/>
      <c r="L1649" s="243"/>
      <c r="M1649" s="243"/>
      <c r="N1649" s="139"/>
      <c r="O1649" s="139"/>
      <c r="P1649" s="139"/>
      <c r="Q1649" s="147"/>
      <c r="R1649" s="139"/>
      <c r="S1649" s="139"/>
      <c r="T1649" s="139"/>
      <c r="U1649" s="139"/>
      <c r="V1649" s="139"/>
      <c r="W1649" s="139"/>
      <c r="X1649" s="146"/>
      <c r="Y1649" s="148"/>
      <c r="Z1649" s="145"/>
      <c r="AA1649" s="139"/>
      <c r="AB1649" s="149"/>
      <c r="AC1649" s="119"/>
      <c r="AD1649" s="139"/>
      <c r="AE1649" s="139"/>
      <c r="AF1649" s="139"/>
      <c r="AG1649" s="139"/>
      <c r="AH1649" s="139"/>
      <c r="AI1649" s="139"/>
      <c r="AJ1649" s="139"/>
      <c r="AK1649" s="139"/>
      <c r="AL1649" s="139"/>
      <c r="AM1649" s="139"/>
      <c r="AN1649" s="139"/>
      <c r="AO1649" s="139"/>
      <c r="AP1649" s="139"/>
      <c r="AQ1649" s="174"/>
      <c r="AR1649" s="222"/>
    </row>
    <row r="1650" spans="2:44" s="22" customFormat="1" ht="18" customHeight="1" x14ac:dyDescent="0.25">
      <c r="B1650" s="145"/>
      <c r="C1650" s="139"/>
      <c r="D1650" s="146"/>
      <c r="E1650" s="139"/>
      <c r="F1650" s="139"/>
      <c r="G1650" s="139"/>
      <c r="H1650" s="139"/>
      <c r="I1650" s="139"/>
      <c r="J1650" s="139"/>
      <c r="K1650" s="139"/>
      <c r="L1650" s="243"/>
      <c r="M1650" s="243"/>
      <c r="N1650" s="139"/>
      <c r="O1650" s="139"/>
      <c r="P1650" s="139"/>
      <c r="Q1650" s="147"/>
      <c r="R1650" s="139"/>
      <c r="S1650" s="139"/>
      <c r="T1650" s="139"/>
      <c r="U1650" s="139"/>
      <c r="V1650" s="139"/>
      <c r="W1650" s="139"/>
      <c r="X1650" s="146"/>
      <c r="Y1650" s="148"/>
      <c r="Z1650" s="145"/>
      <c r="AA1650" s="139"/>
      <c r="AB1650" s="149"/>
      <c r="AC1650" s="119"/>
      <c r="AD1650" s="139"/>
      <c r="AE1650" s="139"/>
      <c r="AF1650" s="139"/>
      <c r="AG1650" s="139"/>
      <c r="AH1650" s="139"/>
      <c r="AI1650" s="139"/>
      <c r="AJ1650" s="139"/>
      <c r="AK1650" s="139"/>
      <c r="AL1650" s="139"/>
      <c r="AM1650" s="139"/>
      <c r="AN1650" s="139"/>
      <c r="AO1650" s="139"/>
      <c r="AP1650" s="139"/>
      <c r="AQ1650" s="174"/>
      <c r="AR1650" s="222"/>
    </row>
    <row r="1651" spans="2:44" s="22" customFormat="1" ht="18" customHeight="1" x14ac:dyDescent="0.25">
      <c r="B1651" s="145"/>
      <c r="C1651" s="139"/>
      <c r="D1651" s="146"/>
      <c r="E1651" s="139"/>
      <c r="F1651" s="139"/>
      <c r="G1651" s="139"/>
      <c r="H1651" s="139"/>
      <c r="I1651" s="139"/>
      <c r="J1651" s="139"/>
      <c r="K1651" s="139"/>
      <c r="L1651" s="243"/>
      <c r="M1651" s="243"/>
      <c r="N1651" s="139"/>
      <c r="O1651" s="139"/>
      <c r="P1651" s="139"/>
      <c r="Q1651" s="147"/>
      <c r="R1651" s="139"/>
      <c r="S1651" s="139"/>
      <c r="T1651" s="139"/>
      <c r="U1651" s="139"/>
      <c r="V1651" s="139"/>
      <c r="W1651" s="139"/>
      <c r="X1651" s="146"/>
      <c r="Y1651" s="148"/>
      <c r="Z1651" s="145"/>
      <c r="AA1651" s="139"/>
      <c r="AB1651" s="149"/>
      <c r="AC1651" s="119"/>
      <c r="AD1651" s="139"/>
      <c r="AE1651" s="139"/>
      <c r="AF1651" s="139"/>
      <c r="AG1651" s="139"/>
      <c r="AH1651" s="139"/>
      <c r="AI1651" s="139"/>
      <c r="AJ1651" s="139"/>
      <c r="AK1651" s="139"/>
      <c r="AL1651" s="139"/>
      <c r="AM1651" s="139"/>
      <c r="AN1651" s="139"/>
      <c r="AO1651" s="139"/>
      <c r="AP1651" s="139"/>
      <c r="AQ1651" s="174"/>
      <c r="AR1651" s="222"/>
    </row>
    <row r="1652" spans="2:44" s="22" customFormat="1" ht="18" customHeight="1" x14ac:dyDescent="0.25">
      <c r="B1652" s="145"/>
      <c r="C1652" s="139"/>
      <c r="D1652" s="146"/>
      <c r="E1652" s="139"/>
      <c r="F1652" s="139"/>
      <c r="G1652" s="139"/>
      <c r="H1652" s="139"/>
      <c r="I1652" s="139"/>
      <c r="J1652" s="139"/>
      <c r="K1652" s="139"/>
      <c r="L1652" s="243"/>
      <c r="M1652" s="243"/>
      <c r="N1652" s="139"/>
      <c r="O1652" s="139"/>
      <c r="P1652" s="139"/>
      <c r="Q1652" s="147"/>
      <c r="R1652" s="139"/>
      <c r="S1652" s="139"/>
      <c r="T1652" s="139"/>
      <c r="U1652" s="139"/>
      <c r="V1652" s="139"/>
      <c r="W1652" s="139"/>
      <c r="X1652" s="146"/>
      <c r="Y1652" s="148"/>
      <c r="Z1652" s="145"/>
      <c r="AA1652" s="139"/>
      <c r="AB1652" s="149"/>
      <c r="AC1652" s="119"/>
      <c r="AD1652" s="139"/>
      <c r="AE1652" s="139"/>
      <c r="AF1652" s="139"/>
      <c r="AG1652" s="139"/>
      <c r="AH1652" s="139"/>
      <c r="AI1652" s="139"/>
      <c r="AJ1652" s="139"/>
      <c r="AK1652" s="139"/>
      <c r="AL1652" s="139"/>
      <c r="AM1652" s="139"/>
      <c r="AN1652" s="139"/>
      <c r="AO1652" s="139"/>
      <c r="AP1652" s="139"/>
      <c r="AQ1652" s="174"/>
      <c r="AR1652" s="222"/>
    </row>
    <row r="1653" spans="2:44" s="22" customFormat="1" ht="18" customHeight="1" x14ac:dyDescent="0.25">
      <c r="B1653" s="145"/>
      <c r="C1653" s="139"/>
      <c r="D1653" s="146"/>
      <c r="E1653" s="139"/>
      <c r="F1653" s="139"/>
      <c r="G1653" s="139"/>
      <c r="H1653" s="139"/>
      <c r="I1653" s="139"/>
      <c r="J1653" s="139"/>
      <c r="K1653" s="139"/>
      <c r="L1653" s="243"/>
      <c r="M1653" s="243"/>
      <c r="N1653" s="139"/>
      <c r="O1653" s="139"/>
      <c r="P1653" s="139"/>
      <c r="Q1653" s="147"/>
      <c r="R1653" s="139"/>
      <c r="S1653" s="139"/>
      <c r="T1653" s="139"/>
      <c r="U1653" s="139"/>
      <c r="V1653" s="139"/>
      <c r="W1653" s="139"/>
      <c r="X1653" s="146"/>
      <c r="Y1653" s="148"/>
      <c r="Z1653" s="145"/>
      <c r="AA1653" s="139"/>
      <c r="AB1653" s="149"/>
      <c r="AC1653" s="119"/>
      <c r="AD1653" s="139"/>
      <c r="AE1653" s="139"/>
      <c r="AF1653" s="139"/>
      <c r="AG1653" s="139"/>
      <c r="AH1653" s="139"/>
      <c r="AI1653" s="139"/>
      <c r="AJ1653" s="139"/>
      <c r="AK1653" s="139"/>
      <c r="AL1653" s="139"/>
      <c r="AM1653" s="139"/>
      <c r="AN1653" s="139"/>
      <c r="AO1653" s="139"/>
      <c r="AP1653" s="139"/>
      <c r="AQ1653" s="174"/>
      <c r="AR1653" s="222"/>
    </row>
    <row r="1654" spans="2:44" s="22" customFormat="1" ht="18" customHeight="1" x14ac:dyDescent="0.25">
      <c r="B1654" s="145"/>
      <c r="C1654" s="139"/>
      <c r="D1654" s="146"/>
      <c r="E1654" s="139"/>
      <c r="F1654" s="139"/>
      <c r="G1654" s="139"/>
      <c r="H1654" s="139"/>
      <c r="I1654" s="139"/>
      <c r="J1654" s="139"/>
      <c r="K1654" s="139"/>
      <c r="L1654" s="243"/>
      <c r="M1654" s="243"/>
      <c r="N1654" s="139"/>
      <c r="O1654" s="139"/>
      <c r="P1654" s="139"/>
      <c r="Q1654" s="147"/>
      <c r="R1654" s="139"/>
      <c r="S1654" s="139"/>
      <c r="T1654" s="139"/>
      <c r="U1654" s="139"/>
      <c r="V1654" s="139"/>
      <c r="W1654" s="139"/>
      <c r="X1654" s="146"/>
      <c r="Y1654" s="148"/>
      <c r="Z1654" s="145"/>
      <c r="AA1654" s="139"/>
      <c r="AB1654" s="149"/>
      <c r="AC1654" s="119"/>
      <c r="AD1654" s="139"/>
      <c r="AE1654" s="139"/>
      <c r="AF1654" s="139"/>
      <c r="AG1654" s="139"/>
      <c r="AH1654" s="139"/>
      <c r="AI1654" s="139"/>
      <c r="AJ1654" s="139"/>
      <c r="AK1654" s="139"/>
      <c r="AL1654" s="139"/>
      <c r="AM1654" s="139"/>
      <c r="AN1654" s="139"/>
      <c r="AO1654" s="139"/>
      <c r="AP1654" s="139"/>
      <c r="AQ1654" s="174"/>
      <c r="AR1654" s="222"/>
    </row>
    <row r="1655" spans="2:44" s="22" customFormat="1" ht="18" customHeight="1" x14ac:dyDescent="0.25">
      <c r="B1655" s="145"/>
      <c r="C1655" s="139"/>
      <c r="D1655" s="146"/>
      <c r="E1655" s="139"/>
      <c r="F1655" s="139"/>
      <c r="G1655" s="139"/>
      <c r="H1655" s="139"/>
      <c r="I1655" s="139"/>
      <c r="J1655" s="139"/>
      <c r="K1655" s="139"/>
      <c r="L1655" s="243"/>
      <c r="M1655" s="243"/>
      <c r="N1655" s="139"/>
      <c r="O1655" s="139"/>
      <c r="P1655" s="139"/>
      <c r="Q1655" s="147"/>
      <c r="R1655" s="139"/>
      <c r="S1655" s="139"/>
      <c r="T1655" s="139"/>
      <c r="U1655" s="139"/>
      <c r="V1655" s="139"/>
      <c r="W1655" s="139"/>
      <c r="X1655" s="146"/>
      <c r="Y1655" s="148"/>
      <c r="Z1655" s="145"/>
      <c r="AA1655" s="139"/>
      <c r="AB1655" s="149"/>
      <c r="AC1655" s="119"/>
      <c r="AD1655" s="139"/>
      <c r="AE1655" s="139"/>
      <c r="AF1655" s="139"/>
      <c r="AG1655" s="139"/>
      <c r="AH1655" s="139"/>
      <c r="AI1655" s="139"/>
      <c r="AJ1655" s="139"/>
      <c r="AK1655" s="139"/>
      <c r="AL1655" s="139"/>
      <c r="AM1655" s="139"/>
      <c r="AN1655" s="139"/>
      <c r="AO1655" s="139"/>
      <c r="AP1655" s="139"/>
      <c r="AQ1655" s="174"/>
      <c r="AR1655" s="222"/>
    </row>
    <row r="1656" spans="2:44" s="22" customFormat="1" ht="18" customHeight="1" x14ac:dyDescent="0.25">
      <c r="B1656" s="145"/>
      <c r="C1656" s="139"/>
      <c r="D1656" s="146"/>
      <c r="E1656" s="139"/>
      <c r="F1656" s="139"/>
      <c r="G1656" s="139"/>
      <c r="H1656" s="139"/>
      <c r="I1656" s="139"/>
      <c r="J1656" s="139"/>
      <c r="K1656" s="139"/>
      <c r="L1656" s="243"/>
      <c r="M1656" s="243"/>
      <c r="N1656" s="139"/>
      <c r="O1656" s="139"/>
      <c r="P1656" s="139"/>
      <c r="Q1656" s="147"/>
      <c r="R1656" s="139"/>
      <c r="S1656" s="139"/>
      <c r="T1656" s="139"/>
      <c r="U1656" s="139"/>
      <c r="V1656" s="139"/>
      <c r="W1656" s="139"/>
      <c r="X1656" s="146"/>
      <c r="Y1656" s="148"/>
      <c r="Z1656" s="145"/>
      <c r="AA1656" s="139"/>
      <c r="AB1656" s="149"/>
      <c r="AC1656" s="119"/>
      <c r="AD1656" s="139"/>
      <c r="AE1656" s="139"/>
      <c r="AF1656" s="139"/>
      <c r="AG1656" s="139"/>
      <c r="AH1656" s="139"/>
      <c r="AI1656" s="139"/>
      <c r="AJ1656" s="139"/>
      <c r="AK1656" s="139"/>
      <c r="AL1656" s="139"/>
      <c r="AM1656" s="139"/>
      <c r="AN1656" s="139"/>
      <c r="AO1656" s="139"/>
      <c r="AP1656" s="139"/>
      <c r="AQ1656" s="174"/>
      <c r="AR1656" s="222"/>
    </row>
    <row r="1657" spans="2:44" s="22" customFormat="1" ht="18" customHeight="1" x14ac:dyDescent="0.25">
      <c r="B1657" s="145"/>
      <c r="C1657" s="139"/>
      <c r="D1657" s="146"/>
      <c r="E1657" s="139"/>
      <c r="F1657" s="139"/>
      <c r="G1657" s="139"/>
      <c r="H1657" s="139"/>
      <c r="I1657" s="139"/>
      <c r="J1657" s="139"/>
      <c r="K1657" s="139"/>
      <c r="L1657" s="243"/>
      <c r="M1657" s="243"/>
      <c r="N1657" s="139"/>
      <c r="O1657" s="139"/>
      <c r="P1657" s="139"/>
      <c r="Q1657" s="147"/>
      <c r="R1657" s="139"/>
      <c r="S1657" s="139"/>
      <c r="T1657" s="139"/>
      <c r="U1657" s="139"/>
      <c r="V1657" s="139"/>
      <c r="W1657" s="139"/>
      <c r="X1657" s="146"/>
      <c r="Y1657" s="148"/>
      <c r="Z1657" s="145"/>
      <c r="AA1657" s="139"/>
      <c r="AB1657" s="149"/>
      <c r="AC1657" s="119"/>
      <c r="AD1657" s="139"/>
      <c r="AE1657" s="139"/>
      <c r="AF1657" s="139"/>
      <c r="AG1657" s="139"/>
      <c r="AH1657" s="139"/>
      <c r="AI1657" s="139"/>
      <c r="AJ1657" s="139"/>
      <c r="AK1657" s="139"/>
      <c r="AL1657" s="139"/>
      <c r="AM1657" s="139"/>
      <c r="AN1657" s="139"/>
      <c r="AO1657" s="139"/>
      <c r="AP1657" s="139"/>
      <c r="AQ1657" s="174"/>
      <c r="AR1657" s="222"/>
    </row>
    <row r="1658" spans="2:44" s="22" customFormat="1" ht="18" customHeight="1" x14ac:dyDescent="0.25">
      <c r="B1658" s="145"/>
      <c r="C1658" s="139"/>
      <c r="D1658" s="146"/>
      <c r="E1658" s="139"/>
      <c r="F1658" s="139"/>
      <c r="G1658" s="139"/>
      <c r="H1658" s="139"/>
      <c r="I1658" s="139"/>
      <c r="J1658" s="139"/>
      <c r="K1658" s="139"/>
      <c r="L1658" s="243"/>
      <c r="M1658" s="243"/>
      <c r="N1658" s="139"/>
      <c r="O1658" s="139"/>
      <c r="P1658" s="139"/>
      <c r="Q1658" s="147"/>
      <c r="R1658" s="139"/>
      <c r="S1658" s="139"/>
      <c r="T1658" s="139"/>
      <c r="U1658" s="139"/>
      <c r="V1658" s="139"/>
      <c r="W1658" s="139"/>
      <c r="X1658" s="146"/>
      <c r="Y1658" s="148"/>
      <c r="Z1658" s="145"/>
      <c r="AA1658" s="139"/>
      <c r="AB1658" s="149"/>
      <c r="AC1658" s="119"/>
      <c r="AD1658" s="139"/>
      <c r="AE1658" s="139"/>
      <c r="AF1658" s="139"/>
      <c r="AG1658" s="139"/>
      <c r="AH1658" s="139"/>
      <c r="AI1658" s="139"/>
      <c r="AJ1658" s="139"/>
      <c r="AK1658" s="139"/>
      <c r="AL1658" s="139"/>
      <c r="AM1658" s="139"/>
      <c r="AN1658" s="139"/>
      <c r="AO1658" s="139"/>
      <c r="AP1658" s="139"/>
      <c r="AQ1658" s="174"/>
      <c r="AR1658" s="222"/>
    </row>
    <row r="1659" spans="2:44" s="22" customFormat="1" ht="18" customHeight="1" x14ac:dyDescent="0.25">
      <c r="B1659" s="145"/>
      <c r="C1659" s="139"/>
      <c r="D1659" s="146"/>
      <c r="E1659" s="139"/>
      <c r="F1659" s="139"/>
      <c r="G1659" s="139"/>
      <c r="H1659" s="139"/>
      <c r="I1659" s="139"/>
      <c r="J1659" s="139"/>
      <c r="K1659" s="139"/>
      <c r="L1659" s="243"/>
      <c r="M1659" s="243"/>
      <c r="N1659" s="139"/>
      <c r="O1659" s="139"/>
      <c r="P1659" s="139"/>
      <c r="Q1659" s="147"/>
      <c r="R1659" s="139"/>
      <c r="S1659" s="139"/>
      <c r="T1659" s="139"/>
      <c r="U1659" s="139"/>
      <c r="V1659" s="139"/>
      <c r="W1659" s="139"/>
      <c r="X1659" s="146"/>
      <c r="Y1659" s="148"/>
      <c r="Z1659" s="145"/>
      <c r="AA1659" s="139"/>
      <c r="AB1659" s="149"/>
      <c r="AC1659" s="119"/>
      <c r="AD1659" s="139"/>
      <c r="AE1659" s="139"/>
      <c r="AF1659" s="139"/>
      <c r="AG1659" s="139"/>
      <c r="AH1659" s="139"/>
      <c r="AI1659" s="139"/>
      <c r="AJ1659" s="139"/>
      <c r="AK1659" s="139"/>
      <c r="AL1659" s="139"/>
      <c r="AM1659" s="139"/>
      <c r="AN1659" s="139"/>
      <c r="AO1659" s="139"/>
      <c r="AP1659" s="139"/>
      <c r="AQ1659" s="174"/>
      <c r="AR1659" s="222"/>
    </row>
    <row r="1660" spans="2:44" s="140" customFormat="1" ht="18" customHeight="1" x14ac:dyDescent="0.25">
      <c r="B1660" s="145"/>
      <c r="C1660" s="139"/>
      <c r="D1660" s="146"/>
      <c r="E1660" s="139"/>
      <c r="F1660" s="139"/>
      <c r="G1660" s="139"/>
      <c r="H1660" s="139"/>
      <c r="I1660" s="139"/>
      <c r="J1660" s="139"/>
      <c r="K1660" s="139"/>
      <c r="L1660" s="243"/>
      <c r="M1660" s="243"/>
      <c r="N1660" s="139"/>
      <c r="O1660" s="139"/>
      <c r="P1660" s="139"/>
      <c r="Q1660" s="147"/>
      <c r="R1660" s="139"/>
      <c r="S1660" s="139"/>
      <c r="T1660" s="139"/>
      <c r="U1660" s="139"/>
      <c r="V1660" s="139"/>
      <c r="W1660" s="139"/>
      <c r="X1660" s="146"/>
      <c r="Y1660" s="148"/>
      <c r="Z1660" s="145"/>
      <c r="AA1660" s="139"/>
      <c r="AB1660" s="149"/>
      <c r="AC1660" s="119"/>
      <c r="AD1660" s="139"/>
      <c r="AE1660" s="139"/>
      <c r="AF1660" s="139"/>
      <c r="AG1660" s="139"/>
      <c r="AH1660" s="139"/>
      <c r="AI1660" s="139"/>
      <c r="AJ1660" s="139"/>
      <c r="AK1660" s="139"/>
      <c r="AL1660" s="139"/>
      <c r="AM1660" s="139"/>
      <c r="AN1660" s="139"/>
      <c r="AO1660" s="139"/>
      <c r="AP1660" s="139"/>
      <c r="AQ1660" s="174"/>
      <c r="AR1660" s="222"/>
    </row>
    <row r="1661" spans="2:44" s="22" customFormat="1" ht="18" customHeight="1" x14ac:dyDescent="0.25">
      <c r="B1661" s="145"/>
      <c r="C1661" s="139"/>
      <c r="D1661" s="146"/>
      <c r="E1661" s="139"/>
      <c r="F1661" s="139"/>
      <c r="G1661" s="139"/>
      <c r="H1661" s="139"/>
      <c r="I1661" s="139"/>
      <c r="J1661" s="139"/>
      <c r="K1661" s="139"/>
      <c r="L1661" s="243"/>
      <c r="M1661" s="243"/>
      <c r="N1661" s="139"/>
      <c r="O1661" s="139"/>
      <c r="P1661" s="139"/>
      <c r="Q1661" s="147"/>
      <c r="R1661" s="139"/>
      <c r="S1661" s="139"/>
      <c r="T1661" s="139"/>
      <c r="U1661" s="139"/>
      <c r="V1661" s="139"/>
      <c r="W1661" s="139"/>
      <c r="X1661" s="146"/>
      <c r="Y1661" s="148"/>
      <c r="Z1661" s="145"/>
      <c r="AA1661" s="139"/>
      <c r="AB1661" s="149"/>
      <c r="AC1661" s="119"/>
      <c r="AD1661" s="139"/>
      <c r="AE1661" s="139"/>
      <c r="AF1661" s="139"/>
      <c r="AG1661" s="139"/>
      <c r="AH1661" s="139"/>
      <c r="AI1661" s="139"/>
      <c r="AJ1661" s="139"/>
      <c r="AK1661" s="139"/>
      <c r="AL1661" s="139"/>
      <c r="AM1661" s="139"/>
      <c r="AN1661" s="139"/>
      <c r="AO1661" s="139"/>
      <c r="AP1661" s="139"/>
      <c r="AQ1661" s="174"/>
      <c r="AR1661" s="222"/>
    </row>
    <row r="1662" spans="2:44" s="22" customFormat="1" ht="18" customHeight="1" x14ac:dyDescent="0.25">
      <c r="B1662" s="145"/>
      <c r="C1662" s="139"/>
      <c r="D1662" s="146"/>
      <c r="E1662" s="139"/>
      <c r="F1662" s="139"/>
      <c r="G1662" s="139"/>
      <c r="H1662" s="139"/>
      <c r="I1662" s="139"/>
      <c r="J1662" s="139"/>
      <c r="K1662" s="139"/>
      <c r="L1662" s="243"/>
      <c r="M1662" s="243"/>
      <c r="N1662" s="139"/>
      <c r="O1662" s="139"/>
      <c r="P1662" s="139"/>
      <c r="Q1662" s="147"/>
      <c r="R1662" s="139"/>
      <c r="S1662" s="139"/>
      <c r="T1662" s="139"/>
      <c r="U1662" s="139"/>
      <c r="V1662" s="139"/>
      <c r="W1662" s="139"/>
      <c r="X1662" s="146"/>
      <c r="Y1662" s="148"/>
      <c r="Z1662" s="145"/>
      <c r="AA1662" s="139"/>
      <c r="AB1662" s="149"/>
      <c r="AC1662" s="119"/>
      <c r="AD1662" s="139"/>
      <c r="AE1662" s="139"/>
      <c r="AF1662" s="139"/>
      <c r="AG1662" s="139"/>
      <c r="AH1662" s="139"/>
      <c r="AI1662" s="139"/>
      <c r="AJ1662" s="139"/>
      <c r="AK1662" s="139"/>
      <c r="AL1662" s="139"/>
      <c r="AM1662" s="139"/>
      <c r="AN1662" s="139"/>
      <c r="AO1662" s="139"/>
      <c r="AP1662" s="139"/>
      <c r="AQ1662" s="174"/>
      <c r="AR1662" s="222"/>
    </row>
    <row r="1663" spans="2:44" s="22" customFormat="1" ht="18" customHeight="1" x14ac:dyDescent="0.25">
      <c r="B1663" s="145"/>
      <c r="C1663" s="139"/>
      <c r="D1663" s="146"/>
      <c r="E1663" s="139"/>
      <c r="F1663" s="139"/>
      <c r="G1663" s="139"/>
      <c r="H1663" s="139"/>
      <c r="I1663" s="139"/>
      <c r="J1663" s="139"/>
      <c r="K1663" s="139"/>
      <c r="L1663" s="243"/>
      <c r="M1663" s="243"/>
      <c r="N1663" s="139"/>
      <c r="O1663" s="139"/>
      <c r="P1663" s="139"/>
      <c r="Q1663" s="147"/>
      <c r="R1663" s="139"/>
      <c r="S1663" s="139"/>
      <c r="T1663" s="139"/>
      <c r="U1663" s="139"/>
      <c r="V1663" s="139"/>
      <c r="W1663" s="139"/>
      <c r="X1663" s="146"/>
      <c r="Y1663" s="148"/>
      <c r="Z1663" s="145"/>
      <c r="AA1663" s="139"/>
      <c r="AB1663" s="149"/>
      <c r="AC1663" s="119"/>
      <c r="AD1663" s="139"/>
      <c r="AE1663" s="139"/>
      <c r="AF1663" s="139"/>
      <c r="AG1663" s="139"/>
      <c r="AH1663" s="139"/>
      <c r="AI1663" s="139"/>
      <c r="AJ1663" s="139"/>
      <c r="AK1663" s="139"/>
      <c r="AL1663" s="139"/>
      <c r="AM1663" s="139"/>
      <c r="AN1663" s="139"/>
      <c r="AO1663" s="139"/>
      <c r="AP1663" s="139"/>
      <c r="AQ1663" s="174"/>
      <c r="AR1663" s="222"/>
    </row>
    <row r="1664" spans="2:44" s="22" customFormat="1" ht="18" customHeight="1" x14ac:dyDescent="0.25">
      <c r="B1664" s="145"/>
      <c r="C1664" s="139"/>
      <c r="D1664" s="146"/>
      <c r="E1664" s="139"/>
      <c r="F1664" s="139"/>
      <c r="G1664" s="139"/>
      <c r="H1664" s="139"/>
      <c r="I1664" s="139"/>
      <c r="J1664" s="139"/>
      <c r="K1664" s="139"/>
      <c r="L1664" s="243"/>
      <c r="M1664" s="243"/>
      <c r="N1664" s="139"/>
      <c r="O1664" s="139"/>
      <c r="P1664" s="139"/>
      <c r="Q1664" s="147"/>
      <c r="R1664" s="139"/>
      <c r="S1664" s="139"/>
      <c r="T1664" s="139"/>
      <c r="U1664" s="139"/>
      <c r="V1664" s="139"/>
      <c r="W1664" s="139"/>
      <c r="X1664" s="146"/>
      <c r="Y1664" s="148"/>
      <c r="Z1664" s="145"/>
      <c r="AA1664" s="139"/>
      <c r="AB1664" s="149"/>
      <c r="AC1664" s="119"/>
      <c r="AD1664" s="139"/>
      <c r="AE1664" s="139"/>
      <c r="AF1664" s="139"/>
      <c r="AG1664" s="139"/>
      <c r="AH1664" s="139"/>
      <c r="AI1664" s="139"/>
      <c r="AJ1664" s="139"/>
      <c r="AK1664" s="139"/>
      <c r="AL1664" s="139"/>
      <c r="AM1664" s="139"/>
      <c r="AN1664" s="139"/>
      <c r="AO1664" s="139"/>
      <c r="AP1664" s="139"/>
      <c r="AQ1664" s="174"/>
      <c r="AR1664" s="222"/>
    </row>
    <row r="1665" spans="2:44" s="22" customFormat="1" ht="18" customHeight="1" x14ac:dyDescent="0.25">
      <c r="B1665" s="145"/>
      <c r="C1665" s="139"/>
      <c r="D1665" s="146"/>
      <c r="E1665" s="139"/>
      <c r="F1665" s="139"/>
      <c r="G1665" s="139"/>
      <c r="H1665" s="139"/>
      <c r="I1665" s="139"/>
      <c r="J1665" s="139"/>
      <c r="K1665" s="139"/>
      <c r="L1665" s="243"/>
      <c r="M1665" s="243"/>
      <c r="N1665" s="139"/>
      <c r="O1665" s="139"/>
      <c r="P1665" s="139"/>
      <c r="Q1665" s="147"/>
      <c r="R1665" s="139"/>
      <c r="S1665" s="139"/>
      <c r="T1665" s="139"/>
      <c r="U1665" s="139"/>
      <c r="V1665" s="139"/>
      <c r="W1665" s="139"/>
      <c r="X1665" s="146"/>
      <c r="Y1665" s="148"/>
      <c r="Z1665" s="145"/>
      <c r="AA1665" s="139"/>
      <c r="AB1665" s="149"/>
      <c r="AC1665" s="119"/>
      <c r="AD1665" s="139"/>
      <c r="AE1665" s="139"/>
      <c r="AF1665" s="139"/>
      <c r="AG1665" s="139"/>
      <c r="AH1665" s="139"/>
      <c r="AI1665" s="139"/>
      <c r="AJ1665" s="139"/>
      <c r="AK1665" s="139"/>
      <c r="AL1665" s="139"/>
      <c r="AM1665" s="139"/>
      <c r="AN1665" s="139"/>
      <c r="AO1665" s="139"/>
      <c r="AP1665" s="139"/>
      <c r="AQ1665" s="174"/>
      <c r="AR1665" s="222"/>
    </row>
    <row r="1666" spans="2:44" s="22" customFormat="1" ht="18" customHeight="1" x14ac:dyDescent="0.25">
      <c r="B1666" s="145"/>
      <c r="C1666" s="139"/>
      <c r="D1666" s="146"/>
      <c r="E1666" s="139"/>
      <c r="F1666" s="139"/>
      <c r="G1666" s="139"/>
      <c r="H1666" s="139"/>
      <c r="I1666" s="139"/>
      <c r="J1666" s="139"/>
      <c r="K1666" s="139"/>
      <c r="L1666" s="243"/>
      <c r="M1666" s="243"/>
      <c r="N1666" s="139"/>
      <c r="O1666" s="139"/>
      <c r="P1666" s="139"/>
      <c r="Q1666" s="147"/>
      <c r="R1666" s="139"/>
      <c r="S1666" s="139"/>
      <c r="T1666" s="139"/>
      <c r="U1666" s="139"/>
      <c r="V1666" s="139"/>
      <c r="W1666" s="139"/>
      <c r="X1666" s="146"/>
      <c r="Y1666" s="148"/>
      <c r="Z1666" s="145"/>
      <c r="AA1666" s="139"/>
      <c r="AB1666" s="149"/>
      <c r="AC1666" s="119"/>
      <c r="AD1666" s="139"/>
      <c r="AE1666" s="139"/>
      <c r="AF1666" s="139"/>
      <c r="AG1666" s="139"/>
      <c r="AH1666" s="139"/>
      <c r="AI1666" s="139"/>
      <c r="AJ1666" s="139"/>
      <c r="AK1666" s="139"/>
      <c r="AL1666" s="139"/>
      <c r="AM1666" s="139"/>
      <c r="AN1666" s="139"/>
      <c r="AO1666" s="139"/>
      <c r="AP1666" s="139"/>
      <c r="AQ1666" s="174"/>
      <c r="AR1666" s="222"/>
    </row>
    <row r="1667" spans="2:44" s="22" customFormat="1" ht="18" customHeight="1" x14ac:dyDescent="0.25">
      <c r="B1667" s="145"/>
      <c r="C1667" s="139"/>
      <c r="D1667" s="146"/>
      <c r="E1667" s="139"/>
      <c r="F1667" s="139"/>
      <c r="G1667" s="139"/>
      <c r="H1667" s="139"/>
      <c r="I1667" s="139"/>
      <c r="J1667" s="139"/>
      <c r="K1667" s="139"/>
      <c r="L1667" s="243"/>
      <c r="M1667" s="243"/>
      <c r="N1667" s="139"/>
      <c r="O1667" s="139"/>
      <c r="P1667" s="139"/>
      <c r="Q1667" s="147"/>
      <c r="R1667" s="139"/>
      <c r="S1667" s="139"/>
      <c r="T1667" s="139"/>
      <c r="U1667" s="139"/>
      <c r="V1667" s="139"/>
      <c r="W1667" s="139"/>
      <c r="X1667" s="146"/>
      <c r="Y1667" s="148"/>
      <c r="Z1667" s="145"/>
      <c r="AA1667" s="139"/>
      <c r="AB1667" s="149"/>
      <c r="AC1667" s="119"/>
      <c r="AD1667" s="139"/>
      <c r="AE1667" s="139"/>
      <c r="AF1667" s="139"/>
      <c r="AG1667" s="139"/>
      <c r="AH1667" s="139"/>
      <c r="AI1667" s="139"/>
      <c r="AJ1667" s="139"/>
      <c r="AK1667" s="139"/>
      <c r="AL1667" s="139"/>
      <c r="AM1667" s="139"/>
      <c r="AN1667" s="139"/>
      <c r="AO1667" s="139"/>
      <c r="AP1667" s="139"/>
      <c r="AQ1667" s="174"/>
      <c r="AR1667" s="222"/>
    </row>
    <row r="1668" spans="2:44" s="22" customFormat="1" ht="18" customHeight="1" x14ac:dyDescent="0.25">
      <c r="B1668" s="145"/>
      <c r="C1668" s="139"/>
      <c r="D1668" s="146"/>
      <c r="E1668" s="139"/>
      <c r="F1668" s="139"/>
      <c r="G1668" s="139"/>
      <c r="H1668" s="139"/>
      <c r="I1668" s="139"/>
      <c r="J1668" s="139"/>
      <c r="K1668" s="139"/>
      <c r="L1668" s="243"/>
      <c r="M1668" s="243"/>
      <c r="N1668" s="139"/>
      <c r="O1668" s="139"/>
      <c r="P1668" s="139"/>
      <c r="Q1668" s="147"/>
      <c r="R1668" s="139"/>
      <c r="S1668" s="139"/>
      <c r="T1668" s="139"/>
      <c r="U1668" s="139"/>
      <c r="V1668" s="139"/>
      <c r="W1668" s="139"/>
      <c r="X1668" s="146"/>
      <c r="Y1668" s="148"/>
      <c r="Z1668" s="145"/>
      <c r="AA1668" s="139"/>
      <c r="AB1668" s="149"/>
      <c r="AC1668" s="119"/>
      <c r="AD1668" s="139"/>
      <c r="AE1668" s="139"/>
      <c r="AF1668" s="139"/>
      <c r="AG1668" s="139"/>
      <c r="AH1668" s="139"/>
      <c r="AI1668" s="139"/>
      <c r="AJ1668" s="139"/>
      <c r="AK1668" s="139"/>
      <c r="AL1668" s="139"/>
      <c r="AM1668" s="139"/>
      <c r="AN1668" s="139"/>
      <c r="AO1668" s="139"/>
      <c r="AP1668" s="139"/>
      <c r="AQ1668" s="174"/>
      <c r="AR1668" s="222"/>
    </row>
    <row r="1669" spans="2:44" s="22" customFormat="1" ht="18" customHeight="1" x14ac:dyDescent="0.25">
      <c r="B1669" s="145"/>
      <c r="C1669" s="139"/>
      <c r="D1669" s="146"/>
      <c r="E1669" s="139"/>
      <c r="F1669" s="139"/>
      <c r="G1669" s="139"/>
      <c r="H1669" s="139"/>
      <c r="I1669" s="139"/>
      <c r="J1669" s="139"/>
      <c r="K1669" s="139"/>
      <c r="L1669" s="243"/>
      <c r="M1669" s="243"/>
      <c r="N1669" s="139"/>
      <c r="O1669" s="139"/>
      <c r="P1669" s="139"/>
      <c r="Q1669" s="147"/>
      <c r="R1669" s="139"/>
      <c r="S1669" s="139"/>
      <c r="T1669" s="139"/>
      <c r="U1669" s="139"/>
      <c r="V1669" s="139"/>
      <c r="W1669" s="139"/>
      <c r="X1669" s="146"/>
      <c r="Y1669" s="148"/>
      <c r="Z1669" s="145"/>
      <c r="AA1669" s="139"/>
      <c r="AB1669" s="149"/>
      <c r="AC1669" s="119"/>
      <c r="AD1669" s="139"/>
      <c r="AE1669" s="139"/>
      <c r="AF1669" s="139"/>
      <c r="AG1669" s="139"/>
      <c r="AH1669" s="139"/>
      <c r="AI1669" s="139"/>
      <c r="AJ1669" s="139"/>
      <c r="AK1669" s="139"/>
      <c r="AL1669" s="139"/>
      <c r="AM1669" s="139"/>
      <c r="AN1669" s="139"/>
      <c r="AO1669" s="139"/>
      <c r="AP1669" s="139"/>
      <c r="AQ1669" s="174"/>
      <c r="AR1669" s="222"/>
    </row>
    <row r="1670" spans="2:44" s="22" customFormat="1" ht="18" customHeight="1" x14ac:dyDescent="0.25">
      <c r="B1670" s="145"/>
      <c r="C1670" s="139"/>
      <c r="D1670" s="146"/>
      <c r="E1670" s="139"/>
      <c r="F1670" s="139"/>
      <c r="G1670" s="139"/>
      <c r="H1670" s="139"/>
      <c r="I1670" s="139"/>
      <c r="J1670" s="139"/>
      <c r="K1670" s="139"/>
      <c r="L1670" s="243"/>
      <c r="M1670" s="243"/>
      <c r="N1670" s="139"/>
      <c r="O1670" s="139"/>
      <c r="P1670" s="139"/>
      <c r="Q1670" s="147"/>
      <c r="R1670" s="139"/>
      <c r="S1670" s="139"/>
      <c r="T1670" s="139"/>
      <c r="U1670" s="139"/>
      <c r="V1670" s="139"/>
      <c r="W1670" s="139"/>
      <c r="X1670" s="146"/>
      <c r="Y1670" s="148"/>
      <c r="Z1670" s="145"/>
      <c r="AA1670" s="139"/>
      <c r="AB1670" s="149"/>
      <c r="AC1670" s="119"/>
      <c r="AD1670" s="139"/>
      <c r="AE1670" s="139"/>
      <c r="AF1670" s="139"/>
      <c r="AG1670" s="139"/>
      <c r="AH1670" s="139"/>
      <c r="AI1670" s="139"/>
      <c r="AJ1670" s="139"/>
      <c r="AK1670" s="139"/>
      <c r="AL1670" s="139"/>
      <c r="AM1670" s="139"/>
      <c r="AN1670" s="139"/>
      <c r="AO1670" s="139"/>
      <c r="AP1670" s="139"/>
      <c r="AQ1670" s="174"/>
      <c r="AR1670" s="222"/>
    </row>
    <row r="1671" spans="2:44" s="141" customFormat="1" ht="18" customHeight="1" x14ac:dyDescent="0.25">
      <c r="B1671" s="145"/>
      <c r="C1671" s="139"/>
      <c r="D1671" s="146"/>
      <c r="E1671" s="139"/>
      <c r="F1671" s="139"/>
      <c r="G1671" s="139"/>
      <c r="H1671" s="139"/>
      <c r="I1671" s="139"/>
      <c r="J1671" s="139"/>
      <c r="K1671" s="139"/>
      <c r="L1671" s="243"/>
      <c r="M1671" s="243"/>
      <c r="N1671" s="139"/>
      <c r="O1671" s="139"/>
      <c r="P1671" s="139"/>
      <c r="Q1671" s="147"/>
      <c r="R1671" s="139"/>
      <c r="S1671" s="139"/>
      <c r="T1671" s="139"/>
      <c r="U1671" s="139"/>
      <c r="V1671" s="139"/>
      <c r="W1671" s="139"/>
      <c r="X1671" s="146"/>
      <c r="Y1671" s="148"/>
      <c r="Z1671" s="145"/>
      <c r="AA1671" s="139"/>
      <c r="AB1671" s="149"/>
      <c r="AC1671" s="119"/>
      <c r="AD1671" s="139"/>
      <c r="AE1671" s="139"/>
      <c r="AF1671" s="139"/>
      <c r="AG1671" s="139"/>
      <c r="AH1671" s="139"/>
      <c r="AI1671" s="139"/>
      <c r="AJ1671" s="139"/>
      <c r="AK1671" s="139"/>
      <c r="AL1671" s="139"/>
      <c r="AM1671" s="139"/>
      <c r="AN1671" s="139"/>
      <c r="AO1671" s="139"/>
      <c r="AP1671" s="139"/>
      <c r="AQ1671" s="174"/>
      <c r="AR1671" s="222"/>
    </row>
    <row r="1672" spans="2:44" s="22" customFormat="1" ht="18" customHeight="1" x14ac:dyDescent="0.25">
      <c r="B1672" s="145"/>
      <c r="C1672" s="139"/>
      <c r="D1672" s="146"/>
      <c r="E1672" s="139"/>
      <c r="F1672" s="139"/>
      <c r="G1672" s="139"/>
      <c r="H1672" s="139"/>
      <c r="I1672" s="139"/>
      <c r="J1672" s="139"/>
      <c r="K1672" s="139"/>
      <c r="L1672" s="243"/>
      <c r="M1672" s="243"/>
      <c r="N1672" s="139"/>
      <c r="O1672" s="139"/>
      <c r="P1672" s="139"/>
      <c r="Q1672" s="147"/>
      <c r="R1672" s="139"/>
      <c r="S1672" s="139"/>
      <c r="T1672" s="139"/>
      <c r="U1672" s="139"/>
      <c r="V1672" s="139"/>
      <c r="W1672" s="139"/>
      <c r="X1672" s="146"/>
      <c r="Y1672" s="148"/>
      <c r="Z1672" s="145"/>
      <c r="AA1672" s="139"/>
      <c r="AB1672" s="149"/>
      <c r="AC1672" s="119"/>
      <c r="AD1672" s="139"/>
      <c r="AE1672" s="139"/>
      <c r="AF1672" s="139"/>
      <c r="AG1672" s="139"/>
      <c r="AH1672" s="139"/>
      <c r="AI1672" s="139"/>
      <c r="AJ1672" s="139"/>
      <c r="AK1672" s="139"/>
      <c r="AL1672" s="139"/>
      <c r="AM1672" s="139"/>
      <c r="AN1672" s="139"/>
      <c r="AO1672" s="139"/>
      <c r="AP1672" s="139"/>
      <c r="AQ1672" s="174"/>
      <c r="AR1672" s="222"/>
    </row>
    <row r="1673" spans="2:44" s="22" customFormat="1" ht="18" customHeight="1" x14ac:dyDescent="0.25">
      <c r="B1673" s="145"/>
      <c r="C1673" s="139"/>
      <c r="D1673" s="146"/>
      <c r="E1673" s="139"/>
      <c r="F1673" s="139"/>
      <c r="G1673" s="139"/>
      <c r="H1673" s="139"/>
      <c r="I1673" s="139"/>
      <c r="J1673" s="139"/>
      <c r="K1673" s="139"/>
      <c r="L1673" s="243"/>
      <c r="M1673" s="243"/>
      <c r="N1673" s="139"/>
      <c r="O1673" s="139"/>
      <c r="P1673" s="139"/>
      <c r="Q1673" s="147"/>
      <c r="R1673" s="139"/>
      <c r="S1673" s="139"/>
      <c r="T1673" s="139"/>
      <c r="U1673" s="139"/>
      <c r="V1673" s="139"/>
      <c r="W1673" s="139"/>
      <c r="X1673" s="146"/>
      <c r="Y1673" s="148"/>
      <c r="Z1673" s="145"/>
      <c r="AA1673" s="139"/>
      <c r="AB1673" s="149"/>
      <c r="AC1673" s="119"/>
      <c r="AD1673" s="139"/>
      <c r="AE1673" s="139"/>
      <c r="AF1673" s="139"/>
      <c r="AG1673" s="139"/>
      <c r="AH1673" s="139"/>
      <c r="AI1673" s="139"/>
      <c r="AJ1673" s="139"/>
      <c r="AK1673" s="139"/>
      <c r="AL1673" s="139"/>
      <c r="AM1673" s="139"/>
      <c r="AN1673" s="139"/>
      <c r="AO1673" s="139"/>
      <c r="AP1673" s="139"/>
      <c r="AQ1673" s="174"/>
      <c r="AR1673" s="222"/>
    </row>
    <row r="1674" spans="2:44" s="22" customFormat="1" ht="18" customHeight="1" x14ac:dyDescent="0.25">
      <c r="B1674" s="145"/>
      <c r="C1674" s="139"/>
      <c r="D1674" s="146"/>
      <c r="E1674" s="139"/>
      <c r="F1674" s="139"/>
      <c r="G1674" s="139"/>
      <c r="H1674" s="139"/>
      <c r="I1674" s="139"/>
      <c r="J1674" s="139"/>
      <c r="K1674" s="139"/>
      <c r="L1674" s="243"/>
      <c r="M1674" s="243"/>
      <c r="N1674" s="139"/>
      <c r="O1674" s="139"/>
      <c r="P1674" s="139"/>
      <c r="Q1674" s="147"/>
      <c r="R1674" s="139"/>
      <c r="S1674" s="139"/>
      <c r="T1674" s="139"/>
      <c r="U1674" s="139"/>
      <c r="V1674" s="139"/>
      <c r="W1674" s="139"/>
      <c r="X1674" s="146"/>
      <c r="Y1674" s="148"/>
      <c r="Z1674" s="145"/>
      <c r="AA1674" s="139"/>
      <c r="AB1674" s="149"/>
      <c r="AC1674" s="119"/>
      <c r="AD1674" s="139"/>
      <c r="AE1674" s="139"/>
      <c r="AF1674" s="139"/>
      <c r="AG1674" s="139"/>
      <c r="AH1674" s="139"/>
      <c r="AI1674" s="139"/>
      <c r="AJ1674" s="139"/>
      <c r="AK1674" s="139"/>
      <c r="AL1674" s="139"/>
      <c r="AM1674" s="139"/>
      <c r="AN1674" s="139"/>
      <c r="AO1674" s="139"/>
      <c r="AP1674" s="139"/>
      <c r="AQ1674" s="174"/>
      <c r="AR1674" s="222"/>
    </row>
    <row r="1675" spans="2:44" s="22" customFormat="1" ht="18" customHeight="1" x14ac:dyDescent="0.25">
      <c r="B1675" s="145"/>
      <c r="C1675" s="139"/>
      <c r="D1675" s="146"/>
      <c r="E1675" s="139"/>
      <c r="F1675" s="139"/>
      <c r="G1675" s="139"/>
      <c r="H1675" s="139"/>
      <c r="I1675" s="139"/>
      <c r="J1675" s="139"/>
      <c r="K1675" s="139"/>
      <c r="L1675" s="243"/>
      <c r="M1675" s="243"/>
      <c r="N1675" s="139"/>
      <c r="O1675" s="139"/>
      <c r="P1675" s="139"/>
      <c r="Q1675" s="147"/>
      <c r="R1675" s="139"/>
      <c r="S1675" s="139"/>
      <c r="T1675" s="139"/>
      <c r="U1675" s="139"/>
      <c r="V1675" s="139"/>
      <c r="W1675" s="139"/>
      <c r="X1675" s="146"/>
      <c r="Y1675" s="148"/>
      <c r="Z1675" s="145"/>
      <c r="AA1675" s="139"/>
      <c r="AB1675" s="149"/>
      <c r="AC1675" s="119"/>
      <c r="AD1675" s="139"/>
      <c r="AE1675" s="139"/>
      <c r="AF1675" s="139"/>
      <c r="AG1675" s="139"/>
      <c r="AH1675" s="139"/>
      <c r="AI1675" s="139"/>
      <c r="AJ1675" s="139"/>
      <c r="AK1675" s="139"/>
      <c r="AL1675" s="139"/>
      <c r="AM1675" s="139"/>
      <c r="AN1675" s="139"/>
      <c r="AO1675" s="139"/>
      <c r="AP1675" s="139"/>
      <c r="AQ1675" s="174"/>
      <c r="AR1675" s="222"/>
    </row>
    <row r="1676" spans="2:44" s="22" customFormat="1" ht="18" customHeight="1" x14ac:dyDescent="0.25">
      <c r="B1676" s="145"/>
      <c r="C1676" s="139"/>
      <c r="D1676" s="146"/>
      <c r="E1676" s="139"/>
      <c r="F1676" s="139"/>
      <c r="G1676" s="139"/>
      <c r="H1676" s="139"/>
      <c r="I1676" s="139"/>
      <c r="J1676" s="139"/>
      <c r="K1676" s="139"/>
      <c r="L1676" s="243"/>
      <c r="M1676" s="243"/>
      <c r="N1676" s="139"/>
      <c r="O1676" s="139"/>
      <c r="P1676" s="139"/>
      <c r="Q1676" s="147"/>
      <c r="R1676" s="139"/>
      <c r="S1676" s="139"/>
      <c r="T1676" s="139"/>
      <c r="U1676" s="139"/>
      <c r="V1676" s="139"/>
      <c r="W1676" s="139"/>
      <c r="X1676" s="146"/>
      <c r="Y1676" s="148"/>
      <c r="Z1676" s="145"/>
      <c r="AA1676" s="139"/>
      <c r="AB1676" s="149"/>
      <c r="AC1676" s="119"/>
      <c r="AD1676" s="139"/>
      <c r="AE1676" s="139"/>
      <c r="AF1676" s="139"/>
      <c r="AG1676" s="139"/>
      <c r="AH1676" s="139"/>
      <c r="AI1676" s="139"/>
      <c r="AJ1676" s="139"/>
      <c r="AK1676" s="139"/>
      <c r="AL1676" s="139"/>
      <c r="AM1676" s="139"/>
      <c r="AN1676" s="139"/>
      <c r="AO1676" s="139"/>
      <c r="AP1676" s="139"/>
      <c r="AQ1676" s="174"/>
      <c r="AR1676" s="222"/>
    </row>
    <row r="1677" spans="2:44" s="22" customFormat="1" ht="18" customHeight="1" x14ac:dyDescent="0.25">
      <c r="B1677" s="145"/>
      <c r="C1677" s="139"/>
      <c r="D1677" s="146"/>
      <c r="E1677" s="139"/>
      <c r="F1677" s="139"/>
      <c r="G1677" s="139"/>
      <c r="H1677" s="139"/>
      <c r="I1677" s="139"/>
      <c r="J1677" s="139"/>
      <c r="K1677" s="139"/>
      <c r="L1677" s="243"/>
      <c r="M1677" s="243"/>
      <c r="N1677" s="139"/>
      <c r="O1677" s="139"/>
      <c r="P1677" s="139"/>
      <c r="Q1677" s="147"/>
      <c r="R1677" s="139"/>
      <c r="S1677" s="139"/>
      <c r="T1677" s="139"/>
      <c r="U1677" s="139"/>
      <c r="V1677" s="139"/>
      <c r="W1677" s="139"/>
      <c r="X1677" s="146"/>
      <c r="Y1677" s="148"/>
      <c r="Z1677" s="145"/>
      <c r="AA1677" s="139"/>
      <c r="AB1677" s="149"/>
      <c r="AC1677" s="119"/>
      <c r="AD1677" s="139"/>
      <c r="AE1677" s="139"/>
      <c r="AF1677" s="139"/>
      <c r="AG1677" s="139"/>
      <c r="AH1677" s="139"/>
      <c r="AI1677" s="139"/>
      <c r="AJ1677" s="139"/>
      <c r="AK1677" s="139"/>
      <c r="AL1677" s="139"/>
      <c r="AM1677" s="139"/>
      <c r="AN1677" s="139"/>
      <c r="AO1677" s="139"/>
      <c r="AP1677" s="139"/>
      <c r="AQ1677" s="174"/>
      <c r="AR1677" s="222"/>
    </row>
    <row r="1678" spans="2:44" s="22" customFormat="1" ht="18" customHeight="1" x14ac:dyDescent="0.25">
      <c r="B1678" s="145"/>
      <c r="C1678" s="139"/>
      <c r="D1678" s="146"/>
      <c r="E1678" s="139"/>
      <c r="F1678" s="139"/>
      <c r="G1678" s="139"/>
      <c r="H1678" s="139"/>
      <c r="I1678" s="139"/>
      <c r="J1678" s="139"/>
      <c r="K1678" s="139"/>
      <c r="L1678" s="243"/>
      <c r="M1678" s="243"/>
      <c r="N1678" s="139"/>
      <c r="O1678" s="139"/>
      <c r="P1678" s="139"/>
      <c r="Q1678" s="147"/>
      <c r="R1678" s="139"/>
      <c r="S1678" s="139"/>
      <c r="T1678" s="139"/>
      <c r="U1678" s="139"/>
      <c r="V1678" s="139"/>
      <c r="W1678" s="139"/>
      <c r="X1678" s="146"/>
      <c r="Y1678" s="148"/>
      <c r="Z1678" s="145"/>
      <c r="AA1678" s="139"/>
      <c r="AB1678" s="149"/>
      <c r="AC1678" s="119"/>
      <c r="AD1678" s="139"/>
      <c r="AE1678" s="139"/>
      <c r="AF1678" s="139"/>
      <c r="AG1678" s="139"/>
      <c r="AH1678" s="139"/>
      <c r="AI1678" s="139"/>
      <c r="AJ1678" s="139"/>
      <c r="AK1678" s="139"/>
      <c r="AL1678" s="139"/>
      <c r="AM1678" s="139"/>
      <c r="AN1678" s="139"/>
      <c r="AO1678" s="139"/>
      <c r="AP1678" s="139"/>
      <c r="AQ1678" s="174"/>
      <c r="AR1678" s="222"/>
    </row>
    <row r="1679" spans="2:44" s="22" customFormat="1" ht="18" customHeight="1" x14ac:dyDescent="0.25">
      <c r="B1679" s="145"/>
      <c r="C1679" s="139"/>
      <c r="D1679" s="146"/>
      <c r="E1679" s="139"/>
      <c r="F1679" s="139"/>
      <c r="G1679" s="139"/>
      <c r="H1679" s="139"/>
      <c r="I1679" s="139"/>
      <c r="J1679" s="139"/>
      <c r="K1679" s="139"/>
      <c r="L1679" s="243"/>
      <c r="M1679" s="243"/>
      <c r="N1679" s="139"/>
      <c r="O1679" s="139"/>
      <c r="P1679" s="139"/>
      <c r="Q1679" s="147"/>
      <c r="R1679" s="139"/>
      <c r="S1679" s="139"/>
      <c r="T1679" s="139"/>
      <c r="U1679" s="139"/>
      <c r="V1679" s="139"/>
      <c r="W1679" s="139"/>
      <c r="X1679" s="146"/>
      <c r="Y1679" s="148"/>
      <c r="Z1679" s="145"/>
      <c r="AA1679" s="139"/>
      <c r="AB1679" s="149"/>
      <c r="AC1679" s="119"/>
      <c r="AD1679" s="139"/>
      <c r="AE1679" s="139"/>
      <c r="AF1679" s="139"/>
      <c r="AG1679" s="139"/>
      <c r="AH1679" s="139"/>
      <c r="AI1679" s="139"/>
      <c r="AJ1679" s="139"/>
      <c r="AK1679" s="139"/>
      <c r="AL1679" s="139"/>
      <c r="AM1679" s="139"/>
      <c r="AN1679" s="139"/>
      <c r="AO1679" s="139"/>
      <c r="AP1679" s="139"/>
      <c r="AQ1679" s="174"/>
      <c r="AR1679" s="222"/>
    </row>
    <row r="1680" spans="2:44" s="141" customFormat="1" ht="18" customHeight="1" x14ac:dyDescent="0.25">
      <c r="B1680" s="145"/>
      <c r="C1680" s="139"/>
      <c r="D1680" s="146"/>
      <c r="E1680" s="139"/>
      <c r="F1680" s="139"/>
      <c r="G1680" s="139"/>
      <c r="H1680" s="139"/>
      <c r="I1680" s="139"/>
      <c r="J1680" s="139"/>
      <c r="K1680" s="139"/>
      <c r="L1680" s="243"/>
      <c r="M1680" s="243"/>
      <c r="N1680" s="139"/>
      <c r="O1680" s="139"/>
      <c r="P1680" s="139"/>
      <c r="Q1680" s="147"/>
      <c r="R1680" s="139"/>
      <c r="S1680" s="139"/>
      <c r="T1680" s="139"/>
      <c r="U1680" s="139"/>
      <c r="V1680" s="139"/>
      <c r="W1680" s="139"/>
      <c r="X1680" s="146"/>
      <c r="Y1680" s="148"/>
      <c r="Z1680" s="145"/>
      <c r="AA1680" s="139"/>
      <c r="AB1680" s="149"/>
      <c r="AC1680" s="119"/>
      <c r="AD1680" s="139"/>
      <c r="AE1680" s="139"/>
      <c r="AF1680" s="139"/>
      <c r="AG1680" s="139"/>
      <c r="AH1680" s="139"/>
      <c r="AI1680" s="139"/>
      <c r="AJ1680" s="139"/>
      <c r="AK1680" s="139"/>
      <c r="AL1680" s="139"/>
      <c r="AM1680" s="139"/>
      <c r="AN1680" s="139"/>
      <c r="AO1680" s="139"/>
      <c r="AP1680" s="139"/>
      <c r="AQ1680" s="174"/>
      <c r="AR1680" s="222"/>
    </row>
    <row r="1681" spans="2:44" s="22" customFormat="1" ht="18" customHeight="1" x14ac:dyDescent="0.25">
      <c r="B1681" s="145"/>
      <c r="C1681" s="139"/>
      <c r="D1681" s="146"/>
      <c r="E1681" s="139"/>
      <c r="F1681" s="139"/>
      <c r="G1681" s="139"/>
      <c r="H1681" s="139"/>
      <c r="I1681" s="139"/>
      <c r="J1681" s="139"/>
      <c r="K1681" s="139"/>
      <c r="L1681" s="243"/>
      <c r="M1681" s="243"/>
      <c r="N1681" s="139"/>
      <c r="O1681" s="139"/>
      <c r="P1681" s="139"/>
      <c r="Q1681" s="147"/>
      <c r="R1681" s="139"/>
      <c r="S1681" s="139"/>
      <c r="T1681" s="139"/>
      <c r="U1681" s="139"/>
      <c r="V1681" s="139"/>
      <c r="W1681" s="139"/>
      <c r="X1681" s="146"/>
      <c r="Y1681" s="148"/>
      <c r="Z1681" s="145"/>
      <c r="AA1681" s="139"/>
      <c r="AB1681" s="149"/>
      <c r="AC1681" s="119"/>
      <c r="AD1681" s="139"/>
      <c r="AE1681" s="139"/>
      <c r="AF1681" s="139"/>
      <c r="AG1681" s="139"/>
      <c r="AH1681" s="139"/>
      <c r="AI1681" s="139"/>
      <c r="AJ1681" s="139"/>
      <c r="AK1681" s="139"/>
      <c r="AL1681" s="139"/>
      <c r="AM1681" s="139"/>
      <c r="AN1681" s="139"/>
      <c r="AO1681" s="139"/>
      <c r="AP1681" s="139"/>
      <c r="AQ1681" s="174"/>
      <c r="AR1681" s="222"/>
    </row>
    <row r="1682" spans="2:44" s="22" customFormat="1" ht="18" customHeight="1" x14ac:dyDescent="0.25">
      <c r="B1682" s="145"/>
      <c r="C1682" s="139"/>
      <c r="D1682" s="146"/>
      <c r="E1682" s="139"/>
      <c r="F1682" s="139"/>
      <c r="G1682" s="139"/>
      <c r="H1682" s="139"/>
      <c r="I1682" s="139"/>
      <c r="J1682" s="139"/>
      <c r="K1682" s="139"/>
      <c r="L1682" s="243"/>
      <c r="M1682" s="243"/>
      <c r="N1682" s="139"/>
      <c r="O1682" s="139"/>
      <c r="P1682" s="139"/>
      <c r="Q1682" s="147"/>
      <c r="R1682" s="139"/>
      <c r="S1682" s="139"/>
      <c r="T1682" s="139"/>
      <c r="U1682" s="139"/>
      <c r="V1682" s="139"/>
      <c r="W1682" s="139"/>
      <c r="X1682" s="146"/>
      <c r="Y1682" s="148"/>
      <c r="Z1682" s="145"/>
      <c r="AA1682" s="139"/>
      <c r="AB1682" s="149"/>
      <c r="AC1682" s="119"/>
      <c r="AD1682" s="139"/>
      <c r="AE1682" s="139"/>
      <c r="AF1682" s="139"/>
      <c r="AG1682" s="139"/>
      <c r="AH1682" s="139"/>
      <c r="AI1682" s="139"/>
      <c r="AJ1682" s="139"/>
      <c r="AK1682" s="139"/>
      <c r="AL1682" s="139"/>
      <c r="AM1682" s="139"/>
      <c r="AN1682" s="139"/>
      <c r="AO1682" s="139"/>
      <c r="AP1682" s="139"/>
      <c r="AQ1682" s="174"/>
      <c r="AR1682" s="222"/>
    </row>
    <row r="1683" spans="2:44" s="140" customFormat="1" ht="18" customHeight="1" x14ac:dyDescent="0.25">
      <c r="B1683" s="145"/>
      <c r="C1683" s="139"/>
      <c r="D1683" s="146"/>
      <c r="E1683" s="139"/>
      <c r="F1683" s="139"/>
      <c r="G1683" s="139"/>
      <c r="H1683" s="139"/>
      <c r="I1683" s="139"/>
      <c r="J1683" s="139"/>
      <c r="K1683" s="139"/>
      <c r="L1683" s="243"/>
      <c r="M1683" s="243"/>
      <c r="N1683" s="139"/>
      <c r="O1683" s="139"/>
      <c r="P1683" s="139"/>
      <c r="Q1683" s="147"/>
      <c r="R1683" s="139"/>
      <c r="S1683" s="139"/>
      <c r="T1683" s="139"/>
      <c r="U1683" s="139"/>
      <c r="V1683" s="139"/>
      <c r="W1683" s="139"/>
      <c r="X1683" s="146"/>
      <c r="Y1683" s="148"/>
      <c r="Z1683" s="145"/>
      <c r="AA1683" s="139"/>
      <c r="AB1683" s="149"/>
      <c r="AC1683" s="119"/>
      <c r="AD1683" s="139"/>
      <c r="AE1683" s="139"/>
      <c r="AF1683" s="139"/>
      <c r="AG1683" s="139"/>
      <c r="AH1683" s="139"/>
      <c r="AI1683" s="139"/>
      <c r="AJ1683" s="139"/>
      <c r="AK1683" s="139"/>
      <c r="AL1683" s="139"/>
      <c r="AM1683" s="139"/>
      <c r="AN1683" s="139"/>
      <c r="AO1683" s="139"/>
      <c r="AP1683" s="139"/>
      <c r="AQ1683" s="174"/>
      <c r="AR1683" s="222"/>
    </row>
    <row r="1684" spans="2:44" s="22" customFormat="1" ht="18" customHeight="1" x14ac:dyDescent="0.25">
      <c r="B1684" s="145"/>
      <c r="C1684" s="139"/>
      <c r="D1684" s="146"/>
      <c r="E1684" s="139"/>
      <c r="F1684" s="139"/>
      <c r="G1684" s="139"/>
      <c r="H1684" s="139"/>
      <c r="I1684" s="139"/>
      <c r="J1684" s="139"/>
      <c r="K1684" s="139"/>
      <c r="L1684" s="243"/>
      <c r="M1684" s="243"/>
      <c r="N1684" s="139"/>
      <c r="O1684" s="139"/>
      <c r="P1684" s="139"/>
      <c r="Q1684" s="147"/>
      <c r="R1684" s="139"/>
      <c r="S1684" s="139"/>
      <c r="T1684" s="139"/>
      <c r="U1684" s="139"/>
      <c r="V1684" s="139"/>
      <c r="W1684" s="139"/>
      <c r="X1684" s="146"/>
      <c r="Y1684" s="148"/>
      <c r="Z1684" s="145"/>
      <c r="AA1684" s="139"/>
      <c r="AB1684" s="149"/>
      <c r="AC1684" s="119"/>
      <c r="AD1684" s="139"/>
      <c r="AE1684" s="139"/>
      <c r="AF1684" s="139"/>
      <c r="AG1684" s="139"/>
      <c r="AH1684" s="139"/>
      <c r="AI1684" s="139"/>
      <c r="AJ1684" s="139"/>
      <c r="AK1684" s="139"/>
      <c r="AL1684" s="139"/>
      <c r="AM1684" s="139"/>
      <c r="AN1684" s="139"/>
      <c r="AO1684" s="139"/>
      <c r="AP1684" s="139"/>
      <c r="AQ1684" s="174"/>
      <c r="AR1684" s="222"/>
    </row>
    <row r="1685" spans="2:44" s="22" customFormat="1" ht="18" customHeight="1" x14ac:dyDescent="0.25">
      <c r="B1685" s="145"/>
      <c r="C1685" s="139"/>
      <c r="D1685" s="146"/>
      <c r="E1685" s="139"/>
      <c r="F1685" s="139"/>
      <c r="G1685" s="139"/>
      <c r="H1685" s="139"/>
      <c r="I1685" s="139"/>
      <c r="J1685" s="139"/>
      <c r="K1685" s="139"/>
      <c r="L1685" s="243"/>
      <c r="M1685" s="243"/>
      <c r="N1685" s="139"/>
      <c r="O1685" s="139"/>
      <c r="P1685" s="139"/>
      <c r="Q1685" s="147"/>
      <c r="R1685" s="139"/>
      <c r="S1685" s="139"/>
      <c r="T1685" s="139"/>
      <c r="U1685" s="139"/>
      <c r="V1685" s="139"/>
      <c r="W1685" s="139"/>
      <c r="X1685" s="146"/>
      <c r="Y1685" s="148"/>
      <c r="Z1685" s="145"/>
      <c r="AA1685" s="139"/>
      <c r="AB1685" s="149"/>
      <c r="AC1685" s="119"/>
      <c r="AD1685" s="139"/>
      <c r="AE1685" s="139"/>
      <c r="AF1685" s="139"/>
      <c r="AG1685" s="139"/>
      <c r="AH1685" s="139"/>
      <c r="AI1685" s="139"/>
      <c r="AJ1685" s="139"/>
      <c r="AK1685" s="139"/>
      <c r="AL1685" s="139"/>
      <c r="AM1685" s="139"/>
      <c r="AN1685" s="139"/>
      <c r="AO1685" s="139"/>
      <c r="AP1685" s="139"/>
      <c r="AQ1685" s="174"/>
      <c r="AR1685" s="222"/>
    </row>
    <row r="1686" spans="2:44" s="22" customFormat="1" ht="18" customHeight="1" x14ac:dyDescent="0.25">
      <c r="B1686" s="145"/>
      <c r="C1686" s="139"/>
      <c r="D1686" s="146"/>
      <c r="E1686" s="139"/>
      <c r="F1686" s="139"/>
      <c r="G1686" s="139"/>
      <c r="H1686" s="139"/>
      <c r="I1686" s="139"/>
      <c r="J1686" s="139"/>
      <c r="K1686" s="139"/>
      <c r="L1686" s="243"/>
      <c r="M1686" s="243"/>
      <c r="N1686" s="139"/>
      <c r="O1686" s="139"/>
      <c r="P1686" s="139"/>
      <c r="Q1686" s="147"/>
      <c r="R1686" s="139"/>
      <c r="S1686" s="139"/>
      <c r="T1686" s="139"/>
      <c r="U1686" s="139"/>
      <c r="V1686" s="139"/>
      <c r="W1686" s="139"/>
      <c r="X1686" s="146"/>
      <c r="Y1686" s="148"/>
      <c r="Z1686" s="145"/>
      <c r="AA1686" s="139"/>
      <c r="AB1686" s="149"/>
      <c r="AC1686" s="119"/>
      <c r="AD1686" s="139"/>
      <c r="AE1686" s="139"/>
      <c r="AF1686" s="139"/>
      <c r="AG1686" s="139"/>
      <c r="AH1686" s="139"/>
      <c r="AI1686" s="139"/>
      <c r="AJ1686" s="139"/>
      <c r="AK1686" s="139"/>
      <c r="AL1686" s="139"/>
      <c r="AM1686" s="139"/>
      <c r="AN1686" s="139"/>
      <c r="AO1686" s="139"/>
      <c r="AP1686" s="139"/>
      <c r="AQ1686" s="174"/>
      <c r="AR1686" s="222"/>
    </row>
    <row r="1687" spans="2:44" s="22" customFormat="1" ht="18" customHeight="1" x14ac:dyDescent="0.25">
      <c r="B1687" s="145"/>
      <c r="C1687" s="139"/>
      <c r="D1687" s="146"/>
      <c r="E1687" s="139"/>
      <c r="F1687" s="139"/>
      <c r="G1687" s="139"/>
      <c r="H1687" s="139"/>
      <c r="I1687" s="139"/>
      <c r="J1687" s="139"/>
      <c r="K1687" s="139"/>
      <c r="L1687" s="243"/>
      <c r="M1687" s="243"/>
      <c r="N1687" s="139"/>
      <c r="O1687" s="139"/>
      <c r="P1687" s="139"/>
      <c r="Q1687" s="147"/>
      <c r="R1687" s="139"/>
      <c r="S1687" s="139"/>
      <c r="T1687" s="139"/>
      <c r="U1687" s="139"/>
      <c r="V1687" s="139"/>
      <c r="W1687" s="139"/>
      <c r="X1687" s="146"/>
      <c r="Y1687" s="148"/>
      <c r="Z1687" s="145"/>
      <c r="AA1687" s="139"/>
      <c r="AB1687" s="149"/>
      <c r="AC1687" s="119"/>
      <c r="AD1687" s="139"/>
      <c r="AE1687" s="139"/>
      <c r="AF1687" s="139"/>
      <c r="AG1687" s="139"/>
      <c r="AH1687" s="139"/>
      <c r="AI1687" s="139"/>
      <c r="AJ1687" s="139"/>
      <c r="AK1687" s="139"/>
      <c r="AL1687" s="139"/>
      <c r="AM1687" s="139"/>
      <c r="AN1687" s="139"/>
      <c r="AO1687" s="139"/>
      <c r="AP1687" s="139"/>
      <c r="AQ1687" s="174"/>
      <c r="AR1687" s="222"/>
    </row>
    <row r="1688" spans="2:44" s="22" customFormat="1" ht="18" customHeight="1" x14ac:dyDescent="0.25">
      <c r="B1688" s="145"/>
      <c r="C1688" s="139"/>
      <c r="D1688" s="146"/>
      <c r="E1688" s="139"/>
      <c r="F1688" s="139"/>
      <c r="G1688" s="139"/>
      <c r="H1688" s="139"/>
      <c r="I1688" s="139"/>
      <c r="J1688" s="139"/>
      <c r="K1688" s="139"/>
      <c r="L1688" s="243"/>
      <c r="M1688" s="243"/>
      <c r="N1688" s="139"/>
      <c r="O1688" s="139"/>
      <c r="P1688" s="139"/>
      <c r="Q1688" s="147"/>
      <c r="R1688" s="139"/>
      <c r="S1688" s="139"/>
      <c r="T1688" s="139"/>
      <c r="U1688" s="139"/>
      <c r="V1688" s="139"/>
      <c r="W1688" s="139"/>
      <c r="X1688" s="146"/>
      <c r="Y1688" s="148"/>
      <c r="Z1688" s="145"/>
      <c r="AA1688" s="139"/>
      <c r="AB1688" s="149"/>
      <c r="AC1688" s="119"/>
      <c r="AD1688" s="139"/>
      <c r="AE1688" s="139"/>
      <c r="AF1688" s="139"/>
      <c r="AG1688" s="139"/>
      <c r="AH1688" s="139"/>
      <c r="AI1688" s="139"/>
      <c r="AJ1688" s="139"/>
      <c r="AK1688" s="139"/>
      <c r="AL1688" s="139"/>
      <c r="AM1688" s="139"/>
      <c r="AN1688" s="139"/>
      <c r="AO1688" s="139"/>
      <c r="AP1688" s="139"/>
      <c r="AQ1688" s="174"/>
      <c r="AR1688" s="222"/>
    </row>
    <row r="1689" spans="2:44" s="22" customFormat="1" ht="18" customHeight="1" x14ac:dyDescent="0.25">
      <c r="B1689" s="145"/>
      <c r="C1689" s="139"/>
      <c r="D1689" s="146"/>
      <c r="E1689" s="139"/>
      <c r="F1689" s="139"/>
      <c r="G1689" s="139"/>
      <c r="H1689" s="139"/>
      <c r="I1689" s="139"/>
      <c r="J1689" s="139"/>
      <c r="K1689" s="139"/>
      <c r="L1689" s="243"/>
      <c r="M1689" s="243"/>
      <c r="N1689" s="139"/>
      <c r="O1689" s="139"/>
      <c r="P1689" s="139"/>
      <c r="Q1689" s="147"/>
      <c r="R1689" s="139"/>
      <c r="S1689" s="139"/>
      <c r="T1689" s="139"/>
      <c r="U1689" s="139"/>
      <c r="V1689" s="139"/>
      <c r="W1689" s="139"/>
      <c r="X1689" s="146"/>
      <c r="Y1689" s="148"/>
      <c r="Z1689" s="145"/>
      <c r="AA1689" s="139"/>
      <c r="AB1689" s="149"/>
      <c r="AC1689" s="119"/>
      <c r="AD1689" s="139"/>
      <c r="AE1689" s="139"/>
      <c r="AF1689" s="139"/>
      <c r="AG1689" s="139"/>
      <c r="AH1689" s="139"/>
      <c r="AI1689" s="139"/>
      <c r="AJ1689" s="139"/>
      <c r="AK1689" s="139"/>
      <c r="AL1689" s="139"/>
      <c r="AM1689" s="139"/>
      <c r="AN1689" s="139"/>
      <c r="AO1689" s="139"/>
      <c r="AP1689" s="139"/>
      <c r="AQ1689" s="174"/>
      <c r="AR1689" s="222"/>
    </row>
    <row r="1690" spans="2:44" s="141" customFormat="1" ht="18" customHeight="1" x14ac:dyDescent="0.25">
      <c r="B1690" s="145"/>
      <c r="C1690" s="139"/>
      <c r="D1690" s="146"/>
      <c r="E1690" s="139"/>
      <c r="F1690" s="139"/>
      <c r="G1690" s="139"/>
      <c r="H1690" s="139"/>
      <c r="I1690" s="139"/>
      <c r="J1690" s="139"/>
      <c r="K1690" s="139"/>
      <c r="L1690" s="243"/>
      <c r="M1690" s="243"/>
      <c r="N1690" s="139"/>
      <c r="O1690" s="139"/>
      <c r="P1690" s="139"/>
      <c r="Q1690" s="147"/>
      <c r="R1690" s="139"/>
      <c r="S1690" s="139"/>
      <c r="T1690" s="139"/>
      <c r="U1690" s="139"/>
      <c r="V1690" s="139"/>
      <c r="W1690" s="139"/>
      <c r="X1690" s="146"/>
      <c r="Y1690" s="148"/>
      <c r="Z1690" s="145"/>
      <c r="AA1690" s="139"/>
      <c r="AB1690" s="149"/>
      <c r="AC1690" s="119"/>
      <c r="AD1690" s="139"/>
      <c r="AE1690" s="139"/>
      <c r="AF1690" s="139"/>
      <c r="AG1690" s="139"/>
      <c r="AH1690" s="139"/>
      <c r="AI1690" s="139"/>
      <c r="AJ1690" s="139"/>
      <c r="AK1690" s="139"/>
      <c r="AL1690" s="139"/>
      <c r="AM1690" s="139"/>
      <c r="AN1690" s="139"/>
      <c r="AO1690" s="139"/>
      <c r="AP1690" s="139"/>
      <c r="AQ1690" s="174"/>
      <c r="AR1690" s="222"/>
    </row>
    <row r="1691" spans="2:44" s="22" customFormat="1" ht="18" customHeight="1" x14ac:dyDescent="0.25">
      <c r="B1691" s="145"/>
      <c r="C1691" s="139"/>
      <c r="D1691" s="146"/>
      <c r="E1691" s="139"/>
      <c r="F1691" s="139"/>
      <c r="G1691" s="139"/>
      <c r="H1691" s="139"/>
      <c r="I1691" s="139"/>
      <c r="J1691" s="139"/>
      <c r="K1691" s="139"/>
      <c r="L1691" s="243"/>
      <c r="M1691" s="243"/>
      <c r="N1691" s="139"/>
      <c r="O1691" s="139"/>
      <c r="P1691" s="139"/>
      <c r="Q1691" s="147"/>
      <c r="R1691" s="139"/>
      <c r="S1691" s="139"/>
      <c r="T1691" s="139"/>
      <c r="U1691" s="139"/>
      <c r="V1691" s="139"/>
      <c r="W1691" s="139"/>
      <c r="X1691" s="146"/>
      <c r="Y1691" s="148"/>
      <c r="Z1691" s="145"/>
      <c r="AA1691" s="139"/>
      <c r="AB1691" s="149"/>
      <c r="AC1691" s="119"/>
      <c r="AD1691" s="139"/>
      <c r="AE1691" s="139"/>
      <c r="AF1691" s="139"/>
      <c r="AG1691" s="139"/>
      <c r="AH1691" s="139"/>
      <c r="AI1691" s="139"/>
      <c r="AJ1691" s="139"/>
      <c r="AK1691" s="139"/>
      <c r="AL1691" s="139"/>
      <c r="AM1691" s="139"/>
      <c r="AN1691" s="139"/>
      <c r="AO1691" s="139"/>
      <c r="AP1691" s="139"/>
      <c r="AQ1691" s="174"/>
      <c r="AR1691" s="222"/>
    </row>
    <row r="1692" spans="2:44" s="22" customFormat="1" ht="18" customHeight="1" x14ac:dyDescent="0.25">
      <c r="B1692" s="145"/>
      <c r="C1692" s="139"/>
      <c r="D1692" s="146"/>
      <c r="E1692" s="139"/>
      <c r="F1692" s="139"/>
      <c r="G1692" s="139"/>
      <c r="H1692" s="139"/>
      <c r="I1692" s="139"/>
      <c r="J1692" s="139"/>
      <c r="K1692" s="139"/>
      <c r="L1692" s="243"/>
      <c r="M1692" s="243"/>
      <c r="N1692" s="139"/>
      <c r="O1692" s="139"/>
      <c r="P1692" s="139"/>
      <c r="Q1692" s="147"/>
      <c r="R1692" s="139"/>
      <c r="S1692" s="139"/>
      <c r="T1692" s="139"/>
      <c r="U1692" s="139"/>
      <c r="V1692" s="139"/>
      <c r="W1692" s="139"/>
      <c r="X1692" s="146"/>
      <c r="Y1692" s="148"/>
      <c r="Z1692" s="145"/>
      <c r="AA1692" s="139"/>
      <c r="AB1692" s="149"/>
      <c r="AC1692" s="119"/>
      <c r="AD1692" s="139"/>
      <c r="AE1692" s="139"/>
      <c r="AF1692" s="139"/>
      <c r="AG1692" s="139"/>
      <c r="AH1692" s="139"/>
      <c r="AI1692" s="139"/>
      <c r="AJ1692" s="139"/>
      <c r="AK1692" s="139"/>
      <c r="AL1692" s="139"/>
      <c r="AM1692" s="139"/>
      <c r="AN1692" s="139"/>
      <c r="AO1692" s="139"/>
      <c r="AP1692" s="139"/>
      <c r="AQ1692" s="174"/>
      <c r="AR1692" s="222"/>
    </row>
    <row r="1693" spans="2:44" s="22" customFormat="1" ht="18" customHeight="1" x14ac:dyDescent="0.25">
      <c r="B1693" s="145"/>
      <c r="C1693" s="139"/>
      <c r="D1693" s="146"/>
      <c r="E1693" s="139"/>
      <c r="F1693" s="139"/>
      <c r="G1693" s="139"/>
      <c r="H1693" s="139"/>
      <c r="I1693" s="139"/>
      <c r="J1693" s="139"/>
      <c r="K1693" s="139"/>
      <c r="L1693" s="243"/>
      <c r="M1693" s="243"/>
      <c r="N1693" s="139"/>
      <c r="O1693" s="139"/>
      <c r="P1693" s="139"/>
      <c r="Q1693" s="147"/>
      <c r="R1693" s="139"/>
      <c r="S1693" s="139"/>
      <c r="T1693" s="139"/>
      <c r="U1693" s="139"/>
      <c r="V1693" s="139"/>
      <c r="W1693" s="139"/>
      <c r="X1693" s="146"/>
      <c r="Y1693" s="148"/>
      <c r="Z1693" s="145"/>
      <c r="AA1693" s="139"/>
      <c r="AB1693" s="149"/>
      <c r="AC1693" s="119"/>
      <c r="AD1693" s="139"/>
      <c r="AE1693" s="139"/>
      <c r="AF1693" s="139"/>
      <c r="AG1693" s="139"/>
      <c r="AH1693" s="139"/>
      <c r="AI1693" s="139"/>
      <c r="AJ1693" s="139"/>
      <c r="AK1693" s="139"/>
      <c r="AL1693" s="139"/>
      <c r="AM1693" s="139"/>
      <c r="AN1693" s="139"/>
      <c r="AO1693" s="139"/>
      <c r="AP1693" s="139"/>
      <c r="AQ1693" s="174"/>
      <c r="AR1693" s="222"/>
    </row>
    <row r="1694" spans="2:44" s="22" customFormat="1" ht="18" customHeight="1" x14ac:dyDescent="0.25">
      <c r="B1694" s="145"/>
      <c r="C1694" s="139"/>
      <c r="D1694" s="146"/>
      <c r="E1694" s="139"/>
      <c r="F1694" s="139"/>
      <c r="G1694" s="139"/>
      <c r="H1694" s="139"/>
      <c r="I1694" s="139"/>
      <c r="J1694" s="139"/>
      <c r="K1694" s="139"/>
      <c r="L1694" s="243"/>
      <c r="M1694" s="243"/>
      <c r="N1694" s="139"/>
      <c r="O1694" s="139"/>
      <c r="P1694" s="139"/>
      <c r="Q1694" s="147"/>
      <c r="R1694" s="139"/>
      <c r="S1694" s="139"/>
      <c r="T1694" s="139"/>
      <c r="U1694" s="139"/>
      <c r="V1694" s="139"/>
      <c r="W1694" s="139"/>
      <c r="X1694" s="146"/>
      <c r="Y1694" s="148"/>
      <c r="Z1694" s="145"/>
      <c r="AA1694" s="139"/>
      <c r="AB1694" s="149"/>
      <c r="AC1694" s="119"/>
      <c r="AD1694" s="139"/>
      <c r="AE1694" s="139"/>
      <c r="AF1694" s="139"/>
      <c r="AG1694" s="139"/>
      <c r="AH1694" s="139"/>
      <c r="AI1694" s="139"/>
      <c r="AJ1694" s="139"/>
      <c r="AK1694" s="139"/>
      <c r="AL1694" s="139"/>
      <c r="AM1694" s="139"/>
      <c r="AN1694" s="139"/>
      <c r="AO1694" s="139"/>
      <c r="AP1694" s="139"/>
      <c r="AQ1694" s="174"/>
      <c r="AR1694" s="222"/>
    </row>
    <row r="1695" spans="2:44" s="22" customFormat="1" ht="18" customHeight="1" x14ac:dyDescent="0.25">
      <c r="B1695" s="145"/>
      <c r="C1695" s="139"/>
      <c r="D1695" s="146"/>
      <c r="E1695" s="139"/>
      <c r="F1695" s="139"/>
      <c r="G1695" s="139"/>
      <c r="H1695" s="139"/>
      <c r="I1695" s="139"/>
      <c r="J1695" s="139"/>
      <c r="K1695" s="139"/>
      <c r="L1695" s="243"/>
      <c r="M1695" s="243"/>
      <c r="N1695" s="139"/>
      <c r="O1695" s="139"/>
      <c r="P1695" s="139"/>
      <c r="Q1695" s="147"/>
      <c r="R1695" s="139"/>
      <c r="S1695" s="139"/>
      <c r="T1695" s="139"/>
      <c r="U1695" s="139"/>
      <c r="V1695" s="139"/>
      <c r="W1695" s="139"/>
      <c r="X1695" s="146"/>
      <c r="Y1695" s="148"/>
      <c r="Z1695" s="145"/>
      <c r="AA1695" s="139"/>
      <c r="AB1695" s="149"/>
      <c r="AC1695" s="119"/>
      <c r="AD1695" s="139"/>
      <c r="AE1695" s="139"/>
      <c r="AF1695" s="139"/>
      <c r="AG1695" s="139"/>
      <c r="AH1695" s="139"/>
      <c r="AI1695" s="139"/>
      <c r="AJ1695" s="139"/>
      <c r="AK1695" s="139"/>
      <c r="AL1695" s="139"/>
      <c r="AM1695" s="139"/>
      <c r="AN1695" s="139"/>
      <c r="AO1695" s="139"/>
      <c r="AP1695" s="139"/>
      <c r="AQ1695" s="174"/>
      <c r="AR1695" s="222"/>
    </row>
    <row r="1696" spans="2:44" s="22" customFormat="1" ht="18" customHeight="1" x14ac:dyDescent="0.25">
      <c r="B1696" s="145"/>
      <c r="C1696" s="139"/>
      <c r="D1696" s="146"/>
      <c r="E1696" s="139"/>
      <c r="F1696" s="139"/>
      <c r="G1696" s="139"/>
      <c r="H1696" s="139"/>
      <c r="I1696" s="139"/>
      <c r="J1696" s="139"/>
      <c r="K1696" s="139"/>
      <c r="L1696" s="243"/>
      <c r="M1696" s="243"/>
      <c r="N1696" s="139"/>
      <c r="O1696" s="139"/>
      <c r="P1696" s="139"/>
      <c r="Q1696" s="147"/>
      <c r="R1696" s="139"/>
      <c r="S1696" s="139"/>
      <c r="T1696" s="139"/>
      <c r="U1696" s="139"/>
      <c r="V1696" s="139"/>
      <c r="W1696" s="139"/>
      <c r="X1696" s="146"/>
      <c r="Y1696" s="148"/>
      <c r="Z1696" s="145"/>
      <c r="AA1696" s="139"/>
      <c r="AB1696" s="149"/>
      <c r="AC1696" s="119"/>
      <c r="AD1696" s="139"/>
      <c r="AE1696" s="139"/>
      <c r="AF1696" s="139"/>
      <c r="AG1696" s="139"/>
      <c r="AH1696" s="139"/>
      <c r="AI1696" s="139"/>
      <c r="AJ1696" s="139"/>
      <c r="AK1696" s="139"/>
      <c r="AL1696" s="139"/>
      <c r="AM1696" s="139"/>
      <c r="AN1696" s="139"/>
      <c r="AO1696" s="139"/>
      <c r="AP1696" s="139"/>
      <c r="AQ1696" s="174"/>
      <c r="AR1696" s="222"/>
    </row>
    <row r="1697" spans="2:44" s="22" customFormat="1" ht="18" customHeight="1" x14ac:dyDescent="0.25">
      <c r="B1697" s="145"/>
      <c r="C1697" s="139"/>
      <c r="D1697" s="146"/>
      <c r="E1697" s="139"/>
      <c r="F1697" s="139"/>
      <c r="G1697" s="139"/>
      <c r="H1697" s="139"/>
      <c r="I1697" s="139"/>
      <c r="J1697" s="139"/>
      <c r="K1697" s="139"/>
      <c r="L1697" s="243"/>
      <c r="M1697" s="243"/>
      <c r="N1697" s="139"/>
      <c r="O1697" s="139"/>
      <c r="P1697" s="139"/>
      <c r="Q1697" s="147"/>
      <c r="R1697" s="139"/>
      <c r="S1697" s="139"/>
      <c r="T1697" s="139"/>
      <c r="U1697" s="139"/>
      <c r="V1697" s="139"/>
      <c r="W1697" s="139"/>
      <c r="X1697" s="146"/>
      <c r="Y1697" s="148"/>
      <c r="Z1697" s="145"/>
      <c r="AA1697" s="139"/>
      <c r="AB1697" s="149"/>
      <c r="AC1697" s="119"/>
      <c r="AD1697" s="139"/>
      <c r="AE1697" s="139"/>
      <c r="AF1697" s="139"/>
      <c r="AG1697" s="139"/>
      <c r="AH1697" s="139"/>
      <c r="AI1697" s="139"/>
      <c r="AJ1697" s="139"/>
      <c r="AK1697" s="139"/>
      <c r="AL1697" s="139"/>
      <c r="AM1697" s="139"/>
      <c r="AN1697" s="139"/>
      <c r="AO1697" s="139"/>
      <c r="AP1697" s="139"/>
      <c r="AQ1697" s="174"/>
      <c r="AR1697" s="222"/>
    </row>
    <row r="1698" spans="2:44" s="22" customFormat="1" ht="18" customHeight="1" x14ac:dyDescent="0.25">
      <c r="B1698" s="145"/>
      <c r="C1698" s="139"/>
      <c r="D1698" s="146"/>
      <c r="E1698" s="139"/>
      <c r="F1698" s="139"/>
      <c r="G1698" s="139"/>
      <c r="H1698" s="139"/>
      <c r="I1698" s="139"/>
      <c r="J1698" s="139"/>
      <c r="K1698" s="139"/>
      <c r="L1698" s="243"/>
      <c r="M1698" s="243"/>
      <c r="N1698" s="139"/>
      <c r="O1698" s="139"/>
      <c r="P1698" s="139"/>
      <c r="Q1698" s="147"/>
      <c r="R1698" s="139"/>
      <c r="S1698" s="139"/>
      <c r="T1698" s="139"/>
      <c r="U1698" s="139"/>
      <c r="V1698" s="139"/>
      <c r="W1698" s="139"/>
      <c r="X1698" s="146"/>
      <c r="Y1698" s="148"/>
      <c r="Z1698" s="145"/>
      <c r="AA1698" s="139"/>
      <c r="AB1698" s="149"/>
      <c r="AC1698" s="119"/>
      <c r="AD1698" s="139"/>
      <c r="AE1698" s="139"/>
      <c r="AF1698" s="139"/>
      <c r="AG1698" s="139"/>
      <c r="AH1698" s="139"/>
      <c r="AI1698" s="139"/>
      <c r="AJ1698" s="139"/>
      <c r="AK1698" s="139"/>
      <c r="AL1698" s="139"/>
      <c r="AM1698" s="139"/>
      <c r="AN1698" s="139"/>
      <c r="AO1698" s="139"/>
      <c r="AP1698" s="139"/>
      <c r="AQ1698" s="174"/>
      <c r="AR1698" s="222"/>
    </row>
    <row r="1699" spans="2:44" s="22" customFormat="1" ht="18" customHeight="1" x14ac:dyDescent="0.25">
      <c r="B1699" s="145"/>
      <c r="C1699" s="139"/>
      <c r="D1699" s="146"/>
      <c r="E1699" s="139"/>
      <c r="F1699" s="139"/>
      <c r="G1699" s="139"/>
      <c r="H1699" s="139"/>
      <c r="I1699" s="139"/>
      <c r="J1699" s="139"/>
      <c r="K1699" s="139"/>
      <c r="L1699" s="243"/>
      <c r="M1699" s="243"/>
      <c r="N1699" s="139"/>
      <c r="O1699" s="139"/>
      <c r="P1699" s="139"/>
      <c r="Q1699" s="147"/>
      <c r="R1699" s="139"/>
      <c r="S1699" s="139"/>
      <c r="T1699" s="139"/>
      <c r="U1699" s="139"/>
      <c r="V1699" s="139"/>
      <c r="W1699" s="139"/>
      <c r="X1699" s="146"/>
      <c r="Y1699" s="148"/>
      <c r="Z1699" s="145"/>
      <c r="AA1699" s="139"/>
      <c r="AB1699" s="149"/>
      <c r="AC1699" s="119"/>
      <c r="AD1699" s="139"/>
      <c r="AE1699" s="139"/>
      <c r="AF1699" s="139"/>
      <c r="AG1699" s="139"/>
      <c r="AH1699" s="139"/>
      <c r="AI1699" s="139"/>
      <c r="AJ1699" s="139"/>
      <c r="AK1699" s="139"/>
      <c r="AL1699" s="139"/>
      <c r="AM1699" s="139"/>
      <c r="AN1699" s="139"/>
      <c r="AO1699" s="139"/>
      <c r="AP1699" s="139"/>
      <c r="AQ1699" s="174"/>
      <c r="AR1699" s="222"/>
    </row>
    <row r="1700" spans="2:44" s="22" customFormat="1" ht="18" customHeight="1" x14ac:dyDescent="0.25">
      <c r="B1700" s="145"/>
      <c r="C1700" s="139"/>
      <c r="D1700" s="146"/>
      <c r="E1700" s="139"/>
      <c r="F1700" s="139"/>
      <c r="G1700" s="139"/>
      <c r="H1700" s="139"/>
      <c r="I1700" s="139"/>
      <c r="J1700" s="139"/>
      <c r="K1700" s="139"/>
      <c r="L1700" s="243"/>
      <c r="M1700" s="243"/>
      <c r="N1700" s="139"/>
      <c r="O1700" s="139"/>
      <c r="P1700" s="139"/>
      <c r="Q1700" s="147"/>
      <c r="R1700" s="139"/>
      <c r="S1700" s="139"/>
      <c r="T1700" s="139"/>
      <c r="U1700" s="139"/>
      <c r="V1700" s="139"/>
      <c r="W1700" s="139"/>
      <c r="X1700" s="146"/>
      <c r="Y1700" s="148"/>
      <c r="Z1700" s="145"/>
      <c r="AA1700" s="139"/>
      <c r="AB1700" s="149"/>
      <c r="AC1700" s="119"/>
      <c r="AD1700" s="139"/>
      <c r="AE1700" s="139"/>
      <c r="AF1700" s="139"/>
      <c r="AG1700" s="139"/>
      <c r="AH1700" s="139"/>
      <c r="AI1700" s="139"/>
      <c r="AJ1700" s="139"/>
      <c r="AK1700" s="139"/>
      <c r="AL1700" s="139"/>
      <c r="AM1700" s="139"/>
      <c r="AN1700" s="139"/>
      <c r="AO1700" s="139"/>
      <c r="AP1700" s="139"/>
      <c r="AQ1700" s="174"/>
      <c r="AR1700" s="222"/>
    </row>
    <row r="1701" spans="2:44" s="22" customFormat="1" ht="18" customHeight="1" x14ac:dyDescent="0.25">
      <c r="B1701" s="145"/>
      <c r="C1701" s="139"/>
      <c r="D1701" s="146"/>
      <c r="E1701" s="139"/>
      <c r="F1701" s="139"/>
      <c r="G1701" s="139"/>
      <c r="H1701" s="139"/>
      <c r="I1701" s="139"/>
      <c r="J1701" s="139"/>
      <c r="K1701" s="139"/>
      <c r="L1701" s="243"/>
      <c r="M1701" s="243"/>
      <c r="N1701" s="139"/>
      <c r="O1701" s="139"/>
      <c r="P1701" s="139"/>
      <c r="Q1701" s="147"/>
      <c r="R1701" s="139"/>
      <c r="S1701" s="139"/>
      <c r="T1701" s="139"/>
      <c r="U1701" s="139"/>
      <c r="V1701" s="139"/>
      <c r="W1701" s="139"/>
      <c r="X1701" s="146"/>
      <c r="Y1701" s="148"/>
      <c r="Z1701" s="145"/>
      <c r="AA1701" s="139"/>
      <c r="AB1701" s="149"/>
      <c r="AC1701" s="119"/>
      <c r="AD1701" s="139"/>
      <c r="AE1701" s="139"/>
      <c r="AF1701" s="139"/>
      <c r="AG1701" s="139"/>
      <c r="AH1701" s="139"/>
      <c r="AI1701" s="139"/>
      <c r="AJ1701" s="139"/>
      <c r="AK1701" s="139"/>
      <c r="AL1701" s="139"/>
      <c r="AM1701" s="139"/>
      <c r="AN1701" s="139"/>
      <c r="AO1701" s="139"/>
      <c r="AP1701" s="139"/>
      <c r="AQ1701" s="174"/>
      <c r="AR1701" s="222"/>
    </row>
    <row r="1702" spans="2:44" s="22" customFormat="1" ht="18" customHeight="1" x14ac:dyDescent="0.25">
      <c r="B1702" s="145"/>
      <c r="C1702" s="139"/>
      <c r="D1702" s="146"/>
      <c r="E1702" s="139"/>
      <c r="F1702" s="139"/>
      <c r="G1702" s="139"/>
      <c r="H1702" s="139"/>
      <c r="I1702" s="139"/>
      <c r="J1702" s="139"/>
      <c r="K1702" s="139"/>
      <c r="L1702" s="243"/>
      <c r="M1702" s="243"/>
      <c r="N1702" s="139"/>
      <c r="O1702" s="139"/>
      <c r="P1702" s="139"/>
      <c r="Q1702" s="147"/>
      <c r="R1702" s="139"/>
      <c r="S1702" s="139"/>
      <c r="T1702" s="139"/>
      <c r="U1702" s="139"/>
      <c r="V1702" s="139"/>
      <c r="W1702" s="139"/>
      <c r="X1702" s="146"/>
      <c r="Y1702" s="148"/>
      <c r="Z1702" s="145"/>
      <c r="AA1702" s="139"/>
      <c r="AB1702" s="149"/>
      <c r="AC1702" s="119"/>
      <c r="AD1702" s="139"/>
      <c r="AE1702" s="139"/>
      <c r="AF1702" s="139"/>
      <c r="AG1702" s="139"/>
      <c r="AH1702" s="139"/>
      <c r="AI1702" s="139"/>
      <c r="AJ1702" s="139"/>
      <c r="AK1702" s="139"/>
      <c r="AL1702" s="139"/>
      <c r="AM1702" s="139"/>
      <c r="AN1702" s="139"/>
      <c r="AO1702" s="139"/>
      <c r="AP1702" s="139"/>
      <c r="AQ1702" s="174"/>
      <c r="AR1702" s="222"/>
    </row>
    <row r="1703" spans="2:44" s="22" customFormat="1" ht="18" customHeight="1" x14ac:dyDescent="0.25">
      <c r="B1703" s="145"/>
      <c r="C1703" s="139"/>
      <c r="D1703" s="146"/>
      <c r="E1703" s="139"/>
      <c r="F1703" s="139"/>
      <c r="G1703" s="139"/>
      <c r="H1703" s="139"/>
      <c r="I1703" s="139"/>
      <c r="J1703" s="139"/>
      <c r="K1703" s="139"/>
      <c r="L1703" s="243"/>
      <c r="M1703" s="243"/>
      <c r="N1703" s="139"/>
      <c r="O1703" s="139"/>
      <c r="P1703" s="139"/>
      <c r="Q1703" s="147"/>
      <c r="R1703" s="139"/>
      <c r="S1703" s="139"/>
      <c r="T1703" s="139"/>
      <c r="U1703" s="139"/>
      <c r="V1703" s="139"/>
      <c r="W1703" s="139"/>
      <c r="X1703" s="146"/>
      <c r="Y1703" s="148"/>
      <c r="Z1703" s="145"/>
      <c r="AA1703" s="139"/>
      <c r="AB1703" s="149"/>
      <c r="AC1703" s="119"/>
      <c r="AD1703" s="139"/>
      <c r="AE1703" s="139"/>
      <c r="AF1703" s="139"/>
      <c r="AG1703" s="139"/>
      <c r="AH1703" s="139"/>
      <c r="AI1703" s="139"/>
      <c r="AJ1703" s="139"/>
      <c r="AK1703" s="139"/>
      <c r="AL1703" s="139"/>
      <c r="AM1703" s="139"/>
      <c r="AN1703" s="139"/>
      <c r="AO1703" s="139"/>
      <c r="AP1703" s="139"/>
      <c r="AQ1703" s="174"/>
      <c r="AR1703" s="222"/>
    </row>
    <row r="1704" spans="2:44" s="22" customFormat="1" ht="18" customHeight="1" x14ac:dyDescent="0.25">
      <c r="B1704" s="145"/>
      <c r="C1704" s="139"/>
      <c r="D1704" s="146"/>
      <c r="E1704" s="139"/>
      <c r="F1704" s="139"/>
      <c r="G1704" s="139"/>
      <c r="H1704" s="139"/>
      <c r="I1704" s="139"/>
      <c r="J1704" s="139"/>
      <c r="K1704" s="139"/>
      <c r="L1704" s="243"/>
      <c r="M1704" s="243"/>
      <c r="N1704" s="139"/>
      <c r="O1704" s="139"/>
      <c r="P1704" s="139"/>
      <c r="Q1704" s="147"/>
      <c r="R1704" s="139"/>
      <c r="S1704" s="139"/>
      <c r="T1704" s="139"/>
      <c r="U1704" s="139"/>
      <c r="V1704" s="139"/>
      <c r="W1704" s="139"/>
      <c r="X1704" s="146"/>
      <c r="Y1704" s="148"/>
      <c r="Z1704" s="145"/>
      <c r="AA1704" s="139"/>
      <c r="AB1704" s="149"/>
      <c r="AC1704" s="119"/>
      <c r="AD1704" s="139"/>
      <c r="AE1704" s="139"/>
      <c r="AF1704" s="139"/>
      <c r="AG1704" s="139"/>
      <c r="AH1704" s="139"/>
      <c r="AI1704" s="139"/>
      <c r="AJ1704" s="139"/>
      <c r="AK1704" s="139"/>
      <c r="AL1704" s="139"/>
      <c r="AM1704" s="139"/>
      <c r="AN1704" s="139"/>
      <c r="AO1704" s="139"/>
      <c r="AP1704" s="139"/>
      <c r="AQ1704" s="174"/>
      <c r="AR1704" s="222"/>
    </row>
    <row r="1705" spans="2:44" s="22" customFormat="1" ht="18" customHeight="1" x14ac:dyDescent="0.25">
      <c r="B1705" s="145"/>
      <c r="C1705" s="139"/>
      <c r="D1705" s="146"/>
      <c r="E1705" s="139"/>
      <c r="F1705" s="139"/>
      <c r="G1705" s="139"/>
      <c r="H1705" s="139"/>
      <c r="I1705" s="139"/>
      <c r="J1705" s="139"/>
      <c r="K1705" s="139"/>
      <c r="L1705" s="243"/>
      <c r="M1705" s="243"/>
      <c r="N1705" s="139"/>
      <c r="O1705" s="139"/>
      <c r="P1705" s="139"/>
      <c r="Q1705" s="147"/>
      <c r="R1705" s="139"/>
      <c r="S1705" s="139"/>
      <c r="T1705" s="139"/>
      <c r="U1705" s="139"/>
      <c r="V1705" s="139"/>
      <c r="W1705" s="139"/>
      <c r="X1705" s="146"/>
      <c r="Y1705" s="148"/>
      <c r="Z1705" s="145"/>
      <c r="AA1705" s="139"/>
      <c r="AB1705" s="149"/>
      <c r="AC1705" s="119"/>
      <c r="AD1705" s="139"/>
      <c r="AE1705" s="139"/>
      <c r="AF1705" s="139"/>
      <c r="AG1705" s="139"/>
      <c r="AH1705" s="139"/>
      <c r="AI1705" s="139"/>
      <c r="AJ1705" s="139"/>
      <c r="AK1705" s="139"/>
      <c r="AL1705" s="139"/>
      <c r="AM1705" s="139"/>
      <c r="AN1705" s="139"/>
      <c r="AO1705" s="139"/>
      <c r="AP1705" s="139"/>
      <c r="AQ1705" s="174"/>
      <c r="AR1705" s="222"/>
    </row>
    <row r="1706" spans="2:44" s="141" customFormat="1" ht="18" customHeight="1" x14ac:dyDescent="0.25">
      <c r="B1706" s="145"/>
      <c r="C1706" s="139"/>
      <c r="D1706" s="146"/>
      <c r="E1706" s="139"/>
      <c r="F1706" s="139"/>
      <c r="G1706" s="139"/>
      <c r="H1706" s="139"/>
      <c r="I1706" s="139"/>
      <c r="J1706" s="139"/>
      <c r="K1706" s="139"/>
      <c r="L1706" s="243"/>
      <c r="M1706" s="243"/>
      <c r="N1706" s="139"/>
      <c r="O1706" s="139"/>
      <c r="P1706" s="139"/>
      <c r="Q1706" s="147"/>
      <c r="R1706" s="139"/>
      <c r="S1706" s="139"/>
      <c r="T1706" s="139"/>
      <c r="U1706" s="139"/>
      <c r="V1706" s="139"/>
      <c r="W1706" s="139"/>
      <c r="X1706" s="146"/>
      <c r="Y1706" s="148"/>
      <c r="Z1706" s="145"/>
      <c r="AA1706" s="139"/>
      <c r="AB1706" s="149"/>
      <c r="AC1706" s="119"/>
      <c r="AD1706" s="139"/>
      <c r="AE1706" s="139"/>
      <c r="AF1706" s="139"/>
      <c r="AG1706" s="139"/>
      <c r="AH1706" s="139"/>
      <c r="AI1706" s="139"/>
      <c r="AJ1706" s="139"/>
      <c r="AK1706" s="139"/>
      <c r="AL1706" s="139"/>
      <c r="AM1706" s="139"/>
      <c r="AN1706" s="139"/>
      <c r="AO1706" s="139"/>
      <c r="AP1706" s="139"/>
      <c r="AQ1706" s="174"/>
      <c r="AR1706" s="222"/>
    </row>
    <row r="1707" spans="2:44" s="22" customFormat="1" ht="18" customHeight="1" x14ac:dyDescent="0.25">
      <c r="B1707" s="145"/>
      <c r="C1707" s="139"/>
      <c r="D1707" s="146"/>
      <c r="E1707" s="139"/>
      <c r="F1707" s="139"/>
      <c r="G1707" s="139"/>
      <c r="H1707" s="139"/>
      <c r="I1707" s="139"/>
      <c r="J1707" s="139"/>
      <c r="K1707" s="139"/>
      <c r="L1707" s="243"/>
      <c r="M1707" s="243"/>
      <c r="N1707" s="139"/>
      <c r="O1707" s="139"/>
      <c r="P1707" s="139"/>
      <c r="Q1707" s="147"/>
      <c r="R1707" s="139"/>
      <c r="S1707" s="139"/>
      <c r="T1707" s="139"/>
      <c r="U1707" s="139"/>
      <c r="V1707" s="139"/>
      <c r="W1707" s="139"/>
      <c r="X1707" s="146"/>
      <c r="Y1707" s="148"/>
      <c r="Z1707" s="145"/>
      <c r="AA1707" s="139"/>
      <c r="AB1707" s="149"/>
      <c r="AC1707" s="119"/>
      <c r="AD1707" s="139"/>
      <c r="AE1707" s="139"/>
      <c r="AF1707" s="139"/>
      <c r="AG1707" s="139"/>
      <c r="AH1707" s="139"/>
      <c r="AI1707" s="139"/>
      <c r="AJ1707" s="139"/>
      <c r="AK1707" s="139"/>
      <c r="AL1707" s="139"/>
      <c r="AM1707" s="139"/>
      <c r="AN1707" s="139"/>
      <c r="AO1707" s="139"/>
      <c r="AP1707" s="139"/>
      <c r="AQ1707" s="174"/>
      <c r="AR1707" s="222"/>
    </row>
    <row r="1708" spans="2:44" s="22" customFormat="1" ht="18" customHeight="1" x14ac:dyDescent="0.25">
      <c r="B1708" s="145"/>
      <c r="C1708" s="139"/>
      <c r="D1708" s="146"/>
      <c r="E1708" s="139"/>
      <c r="F1708" s="139"/>
      <c r="G1708" s="139"/>
      <c r="H1708" s="139"/>
      <c r="I1708" s="139"/>
      <c r="J1708" s="139"/>
      <c r="K1708" s="139"/>
      <c r="L1708" s="243"/>
      <c r="M1708" s="243"/>
      <c r="N1708" s="139"/>
      <c r="O1708" s="139"/>
      <c r="P1708" s="139"/>
      <c r="Q1708" s="147"/>
      <c r="R1708" s="139"/>
      <c r="S1708" s="139"/>
      <c r="T1708" s="139"/>
      <c r="U1708" s="139"/>
      <c r="V1708" s="139"/>
      <c r="W1708" s="139"/>
      <c r="X1708" s="146"/>
      <c r="Y1708" s="148"/>
      <c r="Z1708" s="145"/>
      <c r="AA1708" s="139"/>
      <c r="AB1708" s="149"/>
      <c r="AC1708" s="119"/>
      <c r="AD1708" s="139"/>
      <c r="AE1708" s="139"/>
      <c r="AF1708" s="139"/>
      <c r="AG1708" s="139"/>
      <c r="AH1708" s="139"/>
      <c r="AI1708" s="139"/>
      <c r="AJ1708" s="139"/>
      <c r="AK1708" s="139"/>
      <c r="AL1708" s="139"/>
      <c r="AM1708" s="139"/>
      <c r="AN1708" s="139"/>
      <c r="AO1708" s="139"/>
      <c r="AP1708" s="139"/>
      <c r="AQ1708" s="174"/>
      <c r="AR1708" s="222"/>
    </row>
    <row r="1709" spans="2:44" s="22" customFormat="1" ht="18" customHeight="1" x14ac:dyDescent="0.25">
      <c r="B1709" s="145"/>
      <c r="C1709" s="139"/>
      <c r="D1709" s="146"/>
      <c r="E1709" s="139"/>
      <c r="F1709" s="139"/>
      <c r="G1709" s="139"/>
      <c r="H1709" s="139"/>
      <c r="I1709" s="139"/>
      <c r="J1709" s="139"/>
      <c r="K1709" s="139"/>
      <c r="L1709" s="243"/>
      <c r="M1709" s="243"/>
      <c r="N1709" s="139"/>
      <c r="O1709" s="139"/>
      <c r="P1709" s="139"/>
      <c r="Q1709" s="147"/>
      <c r="R1709" s="139"/>
      <c r="S1709" s="139"/>
      <c r="T1709" s="139"/>
      <c r="U1709" s="139"/>
      <c r="V1709" s="139"/>
      <c r="W1709" s="139"/>
      <c r="X1709" s="146"/>
      <c r="Y1709" s="148"/>
      <c r="Z1709" s="145"/>
      <c r="AA1709" s="139"/>
      <c r="AB1709" s="149"/>
      <c r="AC1709" s="119"/>
      <c r="AD1709" s="139"/>
      <c r="AE1709" s="139"/>
      <c r="AF1709" s="139"/>
      <c r="AG1709" s="139"/>
      <c r="AH1709" s="139"/>
      <c r="AI1709" s="139"/>
      <c r="AJ1709" s="139"/>
      <c r="AK1709" s="139"/>
      <c r="AL1709" s="139"/>
      <c r="AM1709" s="139"/>
      <c r="AN1709" s="139"/>
      <c r="AO1709" s="139"/>
      <c r="AP1709" s="139"/>
      <c r="AQ1709" s="174"/>
      <c r="AR1709" s="222"/>
    </row>
    <row r="1710" spans="2:44" s="22" customFormat="1" ht="18" customHeight="1" x14ac:dyDescent="0.25">
      <c r="B1710" s="145"/>
      <c r="C1710" s="139"/>
      <c r="D1710" s="146"/>
      <c r="E1710" s="139"/>
      <c r="F1710" s="139"/>
      <c r="G1710" s="139"/>
      <c r="H1710" s="139"/>
      <c r="I1710" s="139"/>
      <c r="J1710" s="139"/>
      <c r="K1710" s="139"/>
      <c r="L1710" s="243"/>
      <c r="M1710" s="243"/>
      <c r="N1710" s="139"/>
      <c r="O1710" s="139"/>
      <c r="P1710" s="139"/>
      <c r="Q1710" s="147"/>
      <c r="R1710" s="139"/>
      <c r="S1710" s="139"/>
      <c r="T1710" s="139"/>
      <c r="U1710" s="139"/>
      <c r="V1710" s="139"/>
      <c r="W1710" s="139"/>
      <c r="X1710" s="146"/>
      <c r="Y1710" s="148"/>
      <c r="Z1710" s="145"/>
      <c r="AA1710" s="139"/>
      <c r="AB1710" s="149"/>
      <c r="AC1710" s="119"/>
      <c r="AD1710" s="139"/>
      <c r="AE1710" s="139"/>
      <c r="AF1710" s="139"/>
      <c r="AG1710" s="139"/>
      <c r="AH1710" s="139"/>
      <c r="AI1710" s="139"/>
      <c r="AJ1710" s="139"/>
      <c r="AK1710" s="139"/>
      <c r="AL1710" s="139"/>
      <c r="AM1710" s="139"/>
      <c r="AN1710" s="139"/>
      <c r="AO1710" s="139"/>
      <c r="AP1710" s="139"/>
      <c r="AQ1710" s="174"/>
      <c r="AR1710" s="222"/>
    </row>
    <row r="1711" spans="2:44" s="22" customFormat="1" ht="18" customHeight="1" x14ac:dyDescent="0.25">
      <c r="B1711" s="145"/>
      <c r="C1711" s="139"/>
      <c r="D1711" s="146"/>
      <c r="E1711" s="139"/>
      <c r="F1711" s="139"/>
      <c r="G1711" s="139"/>
      <c r="H1711" s="139"/>
      <c r="I1711" s="139"/>
      <c r="J1711" s="139"/>
      <c r="K1711" s="139"/>
      <c r="L1711" s="243"/>
      <c r="M1711" s="243"/>
      <c r="N1711" s="139"/>
      <c r="O1711" s="139"/>
      <c r="P1711" s="139"/>
      <c r="Q1711" s="147"/>
      <c r="R1711" s="139"/>
      <c r="S1711" s="139"/>
      <c r="T1711" s="139"/>
      <c r="U1711" s="139"/>
      <c r="V1711" s="139"/>
      <c r="W1711" s="139"/>
      <c r="X1711" s="146"/>
      <c r="Y1711" s="148"/>
      <c r="Z1711" s="145"/>
      <c r="AA1711" s="139"/>
      <c r="AB1711" s="149"/>
      <c r="AC1711" s="119"/>
      <c r="AD1711" s="139"/>
      <c r="AE1711" s="139"/>
      <c r="AF1711" s="139"/>
      <c r="AG1711" s="139"/>
      <c r="AH1711" s="139"/>
      <c r="AI1711" s="139"/>
      <c r="AJ1711" s="139"/>
      <c r="AK1711" s="139"/>
      <c r="AL1711" s="139"/>
      <c r="AM1711" s="139"/>
      <c r="AN1711" s="139"/>
      <c r="AO1711" s="139"/>
      <c r="AP1711" s="139"/>
      <c r="AQ1711" s="174"/>
      <c r="AR1711" s="222"/>
    </row>
    <row r="1712" spans="2:44" s="22" customFormat="1" ht="18" customHeight="1" x14ac:dyDescent="0.25">
      <c r="B1712" s="145"/>
      <c r="C1712" s="139"/>
      <c r="D1712" s="146"/>
      <c r="E1712" s="139"/>
      <c r="F1712" s="139"/>
      <c r="G1712" s="139"/>
      <c r="H1712" s="139"/>
      <c r="I1712" s="139"/>
      <c r="J1712" s="139"/>
      <c r="K1712" s="139"/>
      <c r="L1712" s="243"/>
      <c r="M1712" s="243"/>
      <c r="N1712" s="139"/>
      <c r="O1712" s="139"/>
      <c r="P1712" s="139"/>
      <c r="Q1712" s="147"/>
      <c r="R1712" s="139"/>
      <c r="S1712" s="139"/>
      <c r="T1712" s="139"/>
      <c r="U1712" s="139"/>
      <c r="V1712" s="139"/>
      <c r="W1712" s="139"/>
      <c r="X1712" s="146"/>
      <c r="Y1712" s="148"/>
      <c r="Z1712" s="145"/>
      <c r="AA1712" s="139"/>
      <c r="AB1712" s="149"/>
      <c r="AC1712" s="119"/>
      <c r="AD1712" s="139"/>
      <c r="AE1712" s="139"/>
      <c r="AF1712" s="139"/>
      <c r="AG1712" s="139"/>
      <c r="AH1712" s="139"/>
      <c r="AI1712" s="139"/>
      <c r="AJ1712" s="139"/>
      <c r="AK1712" s="139"/>
      <c r="AL1712" s="139"/>
      <c r="AM1712" s="139"/>
      <c r="AN1712" s="139"/>
      <c r="AO1712" s="139"/>
      <c r="AP1712" s="139"/>
      <c r="AQ1712" s="174"/>
      <c r="AR1712" s="222"/>
    </row>
    <row r="1713" spans="2:44" s="22" customFormat="1" ht="18" customHeight="1" x14ac:dyDescent="0.25">
      <c r="B1713" s="145"/>
      <c r="C1713" s="139"/>
      <c r="D1713" s="146"/>
      <c r="E1713" s="139"/>
      <c r="F1713" s="139"/>
      <c r="G1713" s="139"/>
      <c r="H1713" s="139"/>
      <c r="I1713" s="139"/>
      <c r="J1713" s="139"/>
      <c r="K1713" s="139"/>
      <c r="L1713" s="243"/>
      <c r="M1713" s="243"/>
      <c r="N1713" s="139"/>
      <c r="O1713" s="139"/>
      <c r="P1713" s="139"/>
      <c r="Q1713" s="147"/>
      <c r="R1713" s="139"/>
      <c r="S1713" s="139"/>
      <c r="T1713" s="139"/>
      <c r="U1713" s="139"/>
      <c r="V1713" s="139"/>
      <c r="W1713" s="139"/>
      <c r="X1713" s="146"/>
      <c r="Y1713" s="148"/>
      <c r="Z1713" s="145"/>
      <c r="AA1713" s="139"/>
      <c r="AB1713" s="149"/>
      <c r="AC1713" s="119"/>
      <c r="AD1713" s="139"/>
      <c r="AE1713" s="139"/>
      <c r="AF1713" s="139"/>
      <c r="AG1713" s="139"/>
      <c r="AH1713" s="139"/>
      <c r="AI1713" s="139"/>
      <c r="AJ1713" s="139"/>
      <c r="AK1713" s="139"/>
      <c r="AL1713" s="139"/>
      <c r="AM1713" s="139"/>
      <c r="AN1713" s="139"/>
      <c r="AO1713" s="139"/>
      <c r="AP1713" s="139"/>
      <c r="AQ1713" s="174"/>
      <c r="AR1713" s="222"/>
    </row>
    <row r="1714" spans="2:44" s="22" customFormat="1" ht="18" customHeight="1" x14ac:dyDescent="0.25">
      <c r="B1714" s="145"/>
      <c r="C1714" s="139"/>
      <c r="D1714" s="146"/>
      <c r="E1714" s="139"/>
      <c r="F1714" s="139"/>
      <c r="G1714" s="139"/>
      <c r="H1714" s="139"/>
      <c r="I1714" s="139"/>
      <c r="J1714" s="139"/>
      <c r="K1714" s="139"/>
      <c r="L1714" s="243"/>
      <c r="M1714" s="243"/>
      <c r="N1714" s="139"/>
      <c r="O1714" s="139"/>
      <c r="P1714" s="139"/>
      <c r="Q1714" s="147"/>
      <c r="R1714" s="139"/>
      <c r="S1714" s="139"/>
      <c r="T1714" s="139"/>
      <c r="U1714" s="139"/>
      <c r="V1714" s="139"/>
      <c r="W1714" s="139"/>
      <c r="X1714" s="146"/>
      <c r="Y1714" s="148"/>
      <c r="Z1714" s="145"/>
      <c r="AA1714" s="139"/>
      <c r="AB1714" s="149"/>
      <c r="AC1714" s="119"/>
      <c r="AD1714" s="139"/>
      <c r="AE1714" s="139"/>
      <c r="AF1714" s="139"/>
      <c r="AG1714" s="139"/>
      <c r="AH1714" s="139"/>
      <c r="AI1714" s="139"/>
      <c r="AJ1714" s="139"/>
      <c r="AK1714" s="139"/>
      <c r="AL1714" s="139"/>
      <c r="AM1714" s="139"/>
      <c r="AN1714" s="139"/>
      <c r="AO1714" s="139"/>
      <c r="AP1714" s="139"/>
      <c r="AQ1714" s="174"/>
      <c r="AR1714" s="222"/>
    </row>
    <row r="1715" spans="2:44" s="22" customFormat="1" ht="18" customHeight="1" x14ac:dyDescent="0.25">
      <c r="B1715" s="145"/>
      <c r="C1715" s="139"/>
      <c r="D1715" s="146"/>
      <c r="E1715" s="139"/>
      <c r="F1715" s="139"/>
      <c r="G1715" s="139"/>
      <c r="H1715" s="139"/>
      <c r="I1715" s="139"/>
      <c r="J1715" s="139"/>
      <c r="K1715" s="139"/>
      <c r="L1715" s="243"/>
      <c r="M1715" s="243"/>
      <c r="N1715" s="139"/>
      <c r="O1715" s="139"/>
      <c r="P1715" s="139"/>
      <c r="Q1715" s="147"/>
      <c r="R1715" s="139"/>
      <c r="S1715" s="139"/>
      <c r="T1715" s="139"/>
      <c r="U1715" s="139"/>
      <c r="V1715" s="139"/>
      <c r="W1715" s="139"/>
      <c r="X1715" s="146"/>
      <c r="Y1715" s="148"/>
      <c r="Z1715" s="145"/>
      <c r="AA1715" s="139"/>
      <c r="AB1715" s="149"/>
      <c r="AC1715" s="119"/>
      <c r="AD1715" s="139"/>
      <c r="AE1715" s="139"/>
      <c r="AF1715" s="139"/>
      <c r="AG1715" s="139"/>
      <c r="AH1715" s="139"/>
      <c r="AI1715" s="139"/>
      <c r="AJ1715" s="139"/>
      <c r="AK1715" s="139"/>
      <c r="AL1715" s="139"/>
      <c r="AM1715" s="139"/>
      <c r="AN1715" s="139"/>
      <c r="AO1715" s="139"/>
      <c r="AP1715" s="139"/>
      <c r="AQ1715" s="174"/>
      <c r="AR1715" s="222"/>
    </row>
    <row r="1716" spans="2:44" s="22" customFormat="1" ht="18" customHeight="1" x14ac:dyDescent="0.25">
      <c r="B1716" s="145"/>
      <c r="C1716" s="139"/>
      <c r="D1716" s="146"/>
      <c r="E1716" s="139"/>
      <c r="F1716" s="139"/>
      <c r="G1716" s="139"/>
      <c r="H1716" s="139"/>
      <c r="I1716" s="139"/>
      <c r="J1716" s="139"/>
      <c r="K1716" s="139"/>
      <c r="L1716" s="243"/>
      <c r="M1716" s="243"/>
      <c r="N1716" s="139"/>
      <c r="O1716" s="139"/>
      <c r="P1716" s="139"/>
      <c r="Q1716" s="147"/>
      <c r="R1716" s="139"/>
      <c r="S1716" s="139"/>
      <c r="T1716" s="139"/>
      <c r="U1716" s="139"/>
      <c r="V1716" s="139"/>
      <c r="W1716" s="139"/>
      <c r="X1716" s="146"/>
      <c r="Y1716" s="148"/>
      <c r="Z1716" s="145"/>
      <c r="AA1716" s="139"/>
      <c r="AB1716" s="149"/>
      <c r="AC1716" s="119"/>
      <c r="AD1716" s="139"/>
      <c r="AE1716" s="139"/>
      <c r="AF1716" s="139"/>
      <c r="AG1716" s="139"/>
      <c r="AH1716" s="139"/>
      <c r="AI1716" s="139"/>
      <c r="AJ1716" s="139"/>
      <c r="AK1716" s="139"/>
      <c r="AL1716" s="139"/>
      <c r="AM1716" s="139"/>
      <c r="AN1716" s="139"/>
      <c r="AO1716" s="139"/>
      <c r="AP1716" s="139"/>
      <c r="AQ1716" s="174"/>
      <c r="AR1716" s="222"/>
    </row>
    <row r="1717" spans="2:44" s="22" customFormat="1" ht="18" customHeight="1" x14ac:dyDescent="0.25">
      <c r="B1717" s="145"/>
      <c r="C1717" s="139"/>
      <c r="D1717" s="146"/>
      <c r="E1717" s="139"/>
      <c r="F1717" s="139"/>
      <c r="G1717" s="139"/>
      <c r="H1717" s="139"/>
      <c r="I1717" s="139"/>
      <c r="J1717" s="139"/>
      <c r="K1717" s="139"/>
      <c r="L1717" s="243"/>
      <c r="M1717" s="243"/>
      <c r="N1717" s="139"/>
      <c r="O1717" s="139"/>
      <c r="P1717" s="139"/>
      <c r="Q1717" s="147"/>
      <c r="R1717" s="139"/>
      <c r="S1717" s="139"/>
      <c r="T1717" s="139"/>
      <c r="U1717" s="139"/>
      <c r="V1717" s="139"/>
      <c r="W1717" s="139"/>
      <c r="X1717" s="146"/>
      <c r="Y1717" s="148"/>
      <c r="Z1717" s="145"/>
      <c r="AA1717" s="139"/>
      <c r="AB1717" s="149"/>
      <c r="AC1717" s="119"/>
      <c r="AD1717" s="139"/>
      <c r="AE1717" s="139"/>
      <c r="AF1717" s="139"/>
      <c r="AG1717" s="139"/>
      <c r="AH1717" s="139"/>
      <c r="AI1717" s="139"/>
      <c r="AJ1717" s="139"/>
      <c r="AK1717" s="139"/>
      <c r="AL1717" s="139"/>
      <c r="AM1717" s="139"/>
      <c r="AN1717" s="139"/>
      <c r="AO1717" s="139"/>
      <c r="AP1717" s="139"/>
      <c r="AQ1717" s="174"/>
      <c r="AR1717" s="222"/>
    </row>
    <row r="1718" spans="2:44" s="22" customFormat="1" ht="18" customHeight="1" x14ac:dyDescent="0.25">
      <c r="B1718" s="145"/>
      <c r="C1718" s="139"/>
      <c r="D1718" s="146"/>
      <c r="E1718" s="139"/>
      <c r="F1718" s="139"/>
      <c r="G1718" s="139"/>
      <c r="H1718" s="139"/>
      <c r="I1718" s="139"/>
      <c r="J1718" s="139"/>
      <c r="K1718" s="139"/>
      <c r="L1718" s="243"/>
      <c r="M1718" s="243"/>
      <c r="N1718" s="139"/>
      <c r="O1718" s="139"/>
      <c r="P1718" s="139"/>
      <c r="Q1718" s="147"/>
      <c r="R1718" s="139"/>
      <c r="S1718" s="139"/>
      <c r="T1718" s="139"/>
      <c r="U1718" s="139"/>
      <c r="V1718" s="139"/>
      <c r="W1718" s="139"/>
      <c r="X1718" s="146"/>
      <c r="Y1718" s="148"/>
      <c r="Z1718" s="145"/>
      <c r="AA1718" s="139"/>
      <c r="AB1718" s="149"/>
      <c r="AC1718" s="119"/>
      <c r="AD1718" s="139"/>
      <c r="AE1718" s="139"/>
      <c r="AF1718" s="139"/>
      <c r="AG1718" s="139"/>
      <c r="AH1718" s="139"/>
      <c r="AI1718" s="139"/>
      <c r="AJ1718" s="139"/>
      <c r="AK1718" s="139"/>
      <c r="AL1718" s="139"/>
      <c r="AM1718" s="139"/>
      <c r="AN1718" s="139"/>
      <c r="AO1718" s="139"/>
      <c r="AP1718" s="139"/>
      <c r="AQ1718" s="174"/>
      <c r="AR1718" s="222"/>
    </row>
    <row r="1719" spans="2:44" s="22" customFormat="1" ht="18" customHeight="1" x14ac:dyDescent="0.25">
      <c r="B1719" s="145"/>
      <c r="C1719" s="139"/>
      <c r="D1719" s="146"/>
      <c r="E1719" s="139"/>
      <c r="F1719" s="139"/>
      <c r="G1719" s="139"/>
      <c r="H1719" s="139"/>
      <c r="I1719" s="139"/>
      <c r="J1719" s="139"/>
      <c r="K1719" s="139"/>
      <c r="L1719" s="243"/>
      <c r="M1719" s="243"/>
      <c r="N1719" s="139"/>
      <c r="O1719" s="139"/>
      <c r="P1719" s="139"/>
      <c r="Q1719" s="147"/>
      <c r="R1719" s="139"/>
      <c r="S1719" s="139"/>
      <c r="T1719" s="139"/>
      <c r="U1719" s="139"/>
      <c r="V1719" s="139"/>
      <c r="W1719" s="139"/>
      <c r="X1719" s="146"/>
      <c r="Y1719" s="148"/>
      <c r="Z1719" s="145"/>
      <c r="AA1719" s="139"/>
      <c r="AB1719" s="149"/>
      <c r="AC1719" s="119"/>
      <c r="AD1719" s="139"/>
      <c r="AE1719" s="139"/>
      <c r="AF1719" s="139"/>
      <c r="AG1719" s="139"/>
      <c r="AH1719" s="139"/>
      <c r="AI1719" s="139"/>
      <c r="AJ1719" s="139"/>
      <c r="AK1719" s="139"/>
      <c r="AL1719" s="139"/>
      <c r="AM1719" s="139"/>
      <c r="AN1719" s="139"/>
      <c r="AO1719" s="139"/>
      <c r="AP1719" s="139"/>
      <c r="AQ1719" s="174"/>
      <c r="AR1719" s="222"/>
    </row>
    <row r="1720" spans="2:44" s="22" customFormat="1" ht="18" customHeight="1" x14ac:dyDescent="0.25">
      <c r="B1720" s="145"/>
      <c r="C1720" s="139"/>
      <c r="D1720" s="146"/>
      <c r="E1720" s="139"/>
      <c r="F1720" s="139"/>
      <c r="G1720" s="139"/>
      <c r="H1720" s="139"/>
      <c r="I1720" s="139"/>
      <c r="J1720" s="139"/>
      <c r="K1720" s="139"/>
      <c r="L1720" s="243"/>
      <c r="M1720" s="243"/>
      <c r="N1720" s="139"/>
      <c r="O1720" s="139"/>
      <c r="P1720" s="139"/>
      <c r="Q1720" s="147"/>
      <c r="R1720" s="139"/>
      <c r="S1720" s="139"/>
      <c r="T1720" s="139"/>
      <c r="U1720" s="139"/>
      <c r="V1720" s="139"/>
      <c r="W1720" s="139"/>
      <c r="X1720" s="146"/>
      <c r="Y1720" s="148"/>
      <c r="Z1720" s="145"/>
      <c r="AA1720" s="139"/>
      <c r="AB1720" s="149"/>
      <c r="AC1720" s="119"/>
      <c r="AD1720" s="139"/>
      <c r="AE1720" s="139"/>
      <c r="AF1720" s="139"/>
      <c r="AG1720" s="139"/>
      <c r="AH1720" s="139"/>
      <c r="AI1720" s="139"/>
      <c r="AJ1720" s="139"/>
      <c r="AK1720" s="139"/>
      <c r="AL1720" s="139"/>
      <c r="AM1720" s="139"/>
      <c r="AN1720" s="139"/>
      <c r="AO1720" s="139"/>
      <c r="AP1720" s="139"/>
      <c r="AQ1720" s="174"/>
      <c r="AR1720" s="222"/>
    </row>
    <row r="1721" spans="2:44" s="22" customFormat="1" ht="18" customHeight="1" x14ac:dyDescent="0.25">
      <c r="B1721" s="145"/>
      <c r="C1721" s="139"/>
      <c r="D1721" s="146"/>
      <c r="E1721" s="139"/>
      <c r="F1721" s="139"/>
      <c r="G1721" s="139"/>
      <c r="H1721" s="139"/>
      <c r="I1721" s="139"/>
      <c r="J1721" s="139"/>
      <c r="K1721" s="139"/>
      <c r="L1721" s="243"/>
      <c r="M1721" s="243"/>
      <c r="N1721" s="139"/>
      <c r="O1721" s="139"/>
      <c r="P1721" s="139"/>
      <c r="Q1721" s="147"/>
      <c r="R1721" s="139"/>
      <c r="S1721" s="139"/>
      <c r="T1721" s="139"/>
      <c r="U1721" s="139"/>
      <c r="V1721" s="139"/>
      <c r="W1721" s="139"/>
      <c r="X1721" s="146"/>
      <c r="Y1721" s="148"/>
      <c r="Z1721" s="145"/>
      <c r="AA1721" s="139"/>
      <c r="AB1721" s="149"/>
      <c r="AC1721" s="119"/>
      <c r="AD1721" s="139"/>
      <c r="AE1721" s="139"/>
      <c r="AF1721" s="139"/>
      <c r="AG1721" s="139"/>
      <c r="AH1721" s="139"/>
      <c r="AI1721" s="139"/>
      <c r="AJ1721" s="139"/>
      <c r="AK1721" s="139"/>
      <c r="AL1721" s="139"/>
      <c r="AM1721" s="139"/>
      <c r="AN1721" s="139"/>
      <c r="AO1721" s="139"/>
      <c r="AP1721" s="139"/>
      <c r="AQ1721" s="174"/>
      <c r="AR1721" s="222"/>
    </row>
    <row r="1722" spans="2:44" s="22" customFormat="1" ht="18" customHeight="1" x14ac:dyDescent="0.25">
      <c r="B1722" s="145"/>
      <c r="C1722" s="139"/>
      <c r="D1722" s="146"/>
      <c r="E1722" s="139"/>
      <c r="F1722" s="139"/>
      <c r="G1722" s="139"/>
      <c r="H1722" s="139"/>
      <c r="I1722" s="139"/>
      <c r="J1722" s="139"/>
      <c r="K1722" s="139"/>
      <c r="L1722" s="243"/>
      <c r="M1722" s="243"/>
      <c r="N1722" s="139"/>
      <c r="O1722" s="139"/>
      <c r="P1722" s="139"/>
      <c r="Q1722" s="147"/>
      <c r="R1722" s="139"/>
      <c r="S1722" s="139"/>
      <c r="T1722" s="139"/>
      <c r="U1722" s="139"/>
      <c r="V1722" s="139"/>
      <c r="W1722" s="139"/>
      <c r="X1722" s="146"/>
      <c r="Y1722" s="148"/>
      <c r="Z1722" s="145"/>
      <c r="AA1722" s="139"/>
      <c r="AB1722" s="149"/>
      <c r="AC1722" s="119"/>
      <c r="AD1722" s="139"/>
      <c r="AE1722" s="139"/>
      <c r="AF1722" s="139"/>
      <c r="AG1722" s="139"/>
      <c r="AH1722" s="139"/>
      <c r="AI1722" s="139"/>
      <c r="AJ1722" s="139"/>
      <c r="AK1722" s="139"/>
      <c r="AL1722" s="139"/>
      <c r="AM1722" s="139"/>
      <c r="AN1722" s="139"/>
      <c r="AO1722" s="139"/>
      <c r="AP1722" s="139"/>
      <c r="AQ1722" s="174"/>
      <c r="AR1722" s="222"/>
    </row>
    <row r="1723" spans="2:44" s="22" customFormat="1" ht="18" customHeight="1" x14ac:dyDescent="0.25">
      <c r="B1723" s="145"/>
      <c r="C1723" s="139"/>
      <c r="D1723" s="146"/>
      <c r="E1723" s="139"/>
      <c r="F1723" s="139"/>
      <c r="G1723" s="139"/>
      <c r="H1723" s="139"/>
      <c r="I1723" s="139"/>
      <c r="J1723" s="139"/>
      <c r="K1723" s="139"/>
      <c r="L1723" s="243"/>
      <c r="M1723" s="243"/>
      <c r="N1723" s="139"/>
      <c r="O1723" s="139"/>
      <c r="P1723" s="139"/>
      <c r="Q1723" s="147"/>
      <c r="R1723" s="139"/>
      <c r="S1723" s="139"/>
      <c r="T1723" s="139"/>
      <c r="U1723" s="139"/>
      <c r="V1723" s="139"/>
      <c r="W1723" s="139"/>
      <c r="X1723" s="146"/>
      <c r="Y1723" s="148"/>
      <c r="Z1723" s="145"/>
      <c r="AA1723" s="139"/>
      <c r="AB1723" s="149"/>
      <c r="AC1723" s="119"/>
      <c r="AD1723" s="139"/>
      <c r="AE1723" s="139"/>
      <c r="AF1723" s="139"/>
      <c r="AG1723" s="139"/>
      <c r="AH1723" s="139"/>
      <c r="AI1723" s="139"/>
      <c r="AJ1723" s="139"/>
      <c r="AK1723" s="139"/>
      <c r="AL1723" s="139"/>
      <c r="AM1723" s="139"/>
      <c r="AN1723" s="139"/>
      <c r="AO1723" s="139"/>
      <c r="AP1723" s="139"/>
      <c r="AQ1723" s="174"/>
      <c r="AR1723" s="222"/>
    </row>
    <row r="1724" spans="2:44" s="22" customFormat="1" ht="18" customHeight="1" x14ac:dyDescent="0.25">
      <c r="B1724" s="145"/>
      <c r="C1724" s="139"/>
      <c r="D1724" s="146"/>
      <c r="E1724" s="139"/>
      <c r="F1724" s="139"/>
      <c r="G1724" s="139"/>
      <c r="H1724" s="139"/>
      <c r="I1724" s="139"/>
      <c r="J1724" s="139"/>
      <c r="K1724" s="139"/>
      <c r="L1724" s="243"/>
      <c r="M1724" s="243"/>
      <c r="N1724" s="139"/>
      <c r="O1724" s="139"/>
      <c r="P1724" s="139"/>
      <c r="Q1724" s="147"/>
      <c r="R1724" s="139"/>
      <c r="S1724" s="139"/>
      <c r="T1724" s="139"/>
      <c r="U1724" s="139"/>
      <c r="V1724" s="139"/>
      <c r="W1724" s="139"/>
      <c r="X1724" s="146"/>
      <c r="Y1724" s="148"/>
      <c r="Z1724" s="145"/>
      <c r="AA1724" s="139"/>
      <c r="AB1724" s="149"/>
      <c r="AC1724" s="119"/>
      <c r="AD1724" s="139"/>
      <c r="AE1724" s="139"/>
      <c r="AF1724" s="139"/>
      <c r="AG1724" s="139"/>
      <c r="AH1724" s="139"/>
      <c r="AI1724" s="139"/>
      <c r="AJ1724" s="139"/>
      <c r="AK1724" s="139"/>
      <c r="AL1724" s="139"/>
      <c r="AM1724" s="139"/>
      <c r="AN1724" s="139"/>
      <c r="AO1724" s="139"/>
      <c r="AP1724" s="139"/>
      <c r="AQ1724" s="174"/>
      <c r="AR1724" s="222"/>
    </row>
    <row r="1725" spans="2:44" s="22" customFormat="1" ht="18" customHeight="1" x14ac:dyDescent="0.25">
      <c r="B1725" s="145"/>
      <c r="C1725" s="139"/>
      <c r="D1725" s="146"/>
      <c r="E1725" s="139"/>
      <c r="F1725" s="139"/>
      <c r="G1725" s="139"/>
      <c r="H1725" s="139"/>
      <c r="I1725" s="139"/>
      <c r="J1725" s="139"/>
      <c r="K1725" s="139"/>
      <c r="L1725" s="243"/>
      <c r="M1725" s="243"/>
      <c r="N1725" s="139"/>
      <c r="O1725" s="139"/>
      <c r="P1725" s="139"/>
      <c r="Q1725" s="147"/>
      <c r="R1725" s="139"/>
      <c r="S1725" s="139"/>
      <c r="T1725" s="139"/>
      <c r="U1725" s="139"/>
      <c r="V1725" s="139"/>
      <c r="W1725" s="139"/>
      <c r="X1725" s="146"/>
      <c r="Y1725" s="148"/>
      <c r="Z1725" s="145"/>
      <c r="AA1725" s="139"/>
      <c r="AB1725" s="149"/>
      <c r="AC1725" s="119"/>
      <c r="AD1725" s="139"/>
      <c r="AE1725" s="139"/>
      <c r="AF1725" s="139"/>
      <c r="AG1725" s="139"/>
      <c r="AH1725" s="139"/>
      <c r="AI1725" s="139"/>
      <c r="AJ1725" s="139"/>
      <c r="AK1725" s="139"/>
      <c r="AL1725" s="139"/>
      <c r="AM1725" s="139"/>
      <c r="AN1725" s="139"/>
      <c r="AO1725" s="139"/>
      <c r="AP1725" s="139"/>
      <c r="AQ1725" s="174"/>
      <c r="AR1725" s="222"/>
    </row>
    <row r="1726" spans="2:44" s="22" customFormat="1" ht="18" customHeight="1" x14ac:dyDescent="0.25">
      <c r="B1726" s="145"/>
      <c r="C1726" s="139"/>
      <c r="D1726" s="146"/>
      <c r="E1726" s="139"/>
      <c r="F1726" s="139"/>
      <c r="G1726" s="139"/>
      <c r="H1726" s="139"/>
      <c r="I1726" s="139"/>
      <c r="J1726" s="139"/>
      <c r="K1726" s="139"/>
      <c r="L1726" s="243"/>
      <c r="M1726" s="243"/>
      <c r="N1726" s="139"/>
      <c r="O1726" s="139"/>
      <c r="P1726" s="139"/>
      <c r="Q1726" s="147"/>
      <c r="R1726" s="139"/>
      <c r="S1726" s="139"/>
      <c r="T1726" s="139"/>
      <c r="U1726" s="139"/>
      <c r="V1726" s="139"/>
      <c r="W1726" s="139"/>
      <c r="X1726" s="146"/>
      <c r="Y1726" s="148"/>
      <c r="Z1726" s="145"/>
      <c r="AA1726" s="139"/>
      <c r="AB1726" s="149"/>
      <c r="AC1726" s="119"/>
      <c r="AD1726" s="139"/>
      <c r="AE1726" s="139"/>
      <c r="AF1726" s="139"/>
      <c r="AG1726" s="139"/>
      <c r="AH1726" s="139"/>
      <c r="AI1726" s="139"/>
      <c r="AJ1726" s="139"/>
      <c r="AK1726" s="139"/>
      <c r="AL1726" s="139"/>
      <c r="AM1726" s="139"/>
      <c r="AN1726" s="139"/>
      <c r="AO1726" s="139"/>
      <c r="AP1726" s="139"/>
      <c r="AQ1726" s="174"/>
      <c r="AR1726" s="222"/>
    </row>
    <row r="1727" spans="2:44" s="22" customFormat="1" ht="18" customHeight="1" x14ac:dyDescent="0.25">
      <c r="B1727" s="145"/>
      <c r="C1727" s="139"/>
      <c r="D1727" s="146"/>
      <c r="E1727" s="139"/>
      <c r="F1727" s="139"/>
      <c r="G1727" s="139"/>
      <c r="H1727" s="139"/>
      <c r="I1727" s="139"/>
      <c r="J1727" s="139"/>
      <c r="K1727" s="139"/>
      <c r="L1727" s="243"/>
      <c r="M1727" s="243"/>
      <c r="N1727" s="139"/>
      <c r="O1727" s="139"/>
      <c r="P1727" s="139"/>
      <c r="Q1727" s="147"/>
      <c r="R1727" s="139"/>
      <c r="S1727" s="139"/>
      <c r="T1727" s="139"/>
      <c r="U1727" s="139"/>
      <c r="V1727" s="139"/>
      <c r="W1727" s="139"/>
      <c r="X1727" s="146"/>
      <c r="Y1727" s="148"/>
      <c r="Z1727" s="145"/>
      <c r="AA1727" s="139"/>
      <c r="AB1727" s="149"/>
      <c r="AC1727" s="119"/>
      <c r="AD1727" s="139"/>
      <c r="AE1727" s="139"/>
      <c r="AF1727" s="139"/>
      <c r="AG1727" s="139"/>
      <c r="AH1727" s="139"/>
      <c r="AI1727" s="139"/>
      <c r="AJ1727" s="139"/>
      <c r="AK1727" s="139"/>
      <c r="AL1727" s="139"/>
      <c r="AM1727" s="139"/>
      <c r="AN1727" s="139"/>
      <c r="AO1727" s="139"/>
      <c r="AP1727" s="139"/>
      <c r="AQ1727" s="174"/>
      <c r="AR1727" s="222"/>
    </row>
    <row r="1728" spans="2:44" s="141" customFormat="1" ht="18" customHeight="1" x14ac:dyDescent="0.25">
      <c r="B1728" s="145"/>
      <c r="C1728" s="139"/>
      <c r="D1728" s="146"/>
      <c r="E1728" s="139"/>
      <c r="F1728" s="139"/>
      <c r="G1728" s="139"/>
      <c r="H1728" s="139"/>
      <c r="I1728" s="139"/>
      <c r="J1728" s="139"/>
      <c r="K1728" s="139"/>
      <c r="L1728" s="243"/>
      <c r="M1728" s="243"/>
      <c r="N1728" s="139"/>
      <c r="O1728" s="139"/>
      <c r="P1728" s="139"/>
      <c r="Q1728" s="147"/>
      <c r="R1728" s="139"/>
      <c r="S1728" s="139"/>
      <c r="T1728" s="139"/>
      <c r="U1728" s="139"/>
      <c r="V1728" s="139"/>
      <c r="W1728" s="139"/>
      <c r="X1728" s="146"/>
      <c r="Y1728" s="148"/>
      <c r="Z1728" s="145"/>
      <c r="AA1728" s="139"/>
      <c r="AB1728" s="149"/>
      <c r="AC1728" s="119"/>
      <c r="AD1728" s="139"/>
      <c r="AE1728" s="139"/>
      <c r="AF1728" s="139"/>
      <c r="AG1728" s="139"/>
      <c r="AH1728" s="139"/>
      <c r="AI1728" s="139"/>
      <c r="AJ1728" s="139"/>
      <c r="AK1728" s="139"/>
      <c r="AL1728" s="139"/>
      <c r="AM1728" s="139"/>
      <c r="AN1728" s="139"/>
      <c r="AO1728" s="139"/>
      <c r="AP1728" s="139"/>
      <c r="AQ1728" s="174"/>
      <c r="AR1728" s="222"/>
    </row>
    <row r="1729" spans="2:44" s="22" customFormat="1" ht="18" customHeight="1" x14ac:dyDescent="0.25">
      <c r="B1729" s="145"/>
      <c r="C1729" s="139"/>
      <c r="D1729" s="146"/>
      <c r="E1729" s="139"/>
      <c r="F1729" s="139"/>
      <c r="G1729" s="139"/>
      <c r="H1729" s="139"/>
      <c r="I1729" s="139"/>
      <c r="J1729" s="139"/>
      <c r="K1729" s="139"/>
      <c r="L1729" s="243"/>
      <c r="M1729" s="243"/>
      <c r="N1729" s="139"/>
      <c r="O1729" s="139"/>
      <c r="P1729" s="139"/>
      <c r="Q1729" s="147"/>
      <c r="R1729" s="139"/>
      <c r="S1729" s="139"/>
      <c r="T1729" s="139"/>
      <c r="U1729" s="139"/>
      <c r="V1729" s="139"/>
      <c r="W1729" s="139"/>
      <c r="X1729" s="146"/>
      <c r="Y1729" s="148"/>
      <c r="Z1729" s="145"/>
      <c r="AA1729" s="139"/>
      <c r="AB1729" s="149"/>
      <c r="AC1729" s="119"/>
      <c r="AD1729" s="139"/>
      <c r="AE1729" s="139"/>
      <c r="AF1729" s="139"/>
      <c r="AG1729" s="139"/>
      <c r="AH1729" s="139"/>
      <c r="AI1729" s="139"/>
      <c r="AJ1729" s="139"/>
      <c r="AK1729" s="139"/>
      <c r="AL1729" s="139"/>
      <c r="AM1729" s="139"/>
      <c r="AN1729" s="139"/>
      <c r="AO1729" s="139"/>
      <c r="AP1729" s="139"/>
      <c r="AQ1729" s="174"/>
      <c r="AR1729" s="222"/>
    </row>
    <row r="1730" spans="2:44" s="22" customFormat="1" ht="18" customHeight="1" x14ac:dyDescent="0.25">
      <c r="B1730" s="145"/>
      <c r="C1730" s="139"/>
      <c r="D1730" s="146"/>
      <c r="E1730" s="139"/>
      <c r="F1730" s="139"/>
      <c r="G1730" s="139"/>
      <c r="H1730" s="139"/>
      <c r="I1730" s="139"/>
      <c r="J1730" s="139"/>
      <c r="K1730" s="139"/>
      <c r="L1730" s="243"/>
      <c r="M1730" s="243"/>
      <c r="N1730" s="139"/>
      <c r="O1730" s="139"/>
      <c r="P1730" s="139"/>
      <c r="Q1730" s="147"/>
      <c r="R1730" s="139"/>
      <c r="S1730" s="139"/>
      <c r="T1730" s="139"/>
      <c r="U1730" s="139"/>
      <c r="V1730" s="139"/>
      <c r="W1730" s="139"/>
      <c r="X1730" s="146"/>
      <c r="Y1730" s="148"/>
      <c r="Z1730" s="145"/>
      <c r="AA1730" s="139"/>
      <c r="AB1730" s="149"/>
      <c r="AC1730" s="119"/>
      <c r="AD1730" s="139"/>
      <c r="AE1730" s="139"/>
      <c r="AF1730" s="139"/>
      <c r="AG1730" s="139"/>
      <c r="AH1730" s="139"/>
      <c r="AI1730" s="139"/>
      <c r="AJ1730" s="139"/>
      <c r="AK1730" s="139"/>
      <c r="AL1730" s="139"/>
      <c r="AM1730" s="139"/>
      <c r="AN1730" s="139"/>
      <c r="AO1730" s="139"/>
      <c r="AP1730" s="139"/>
      <c r="AQ1730" s="174"/>
      <c r="AR1730" s="222"/>
    </row>
    <row r="1731" spans="2:44" s="22" customFormat="1" ht="18" customHeight="1" x14ac:dyDescent="0.25">
      <c r="B1731" s="145"/>
      <c r="C1731" s="139"/>
      <c r="D1731" s="146"/>
      <c r="E1731" s="139"/>
      <c r="F1731" s="139"/>
      <c r="G1731" s="139"/>
      <c r="H1731" s="139"/>
      <c r="I1731" s="139"/>
      <c r="J1731" s="139"/>
      <c r="K1731" s="139"/>
      <c r="L1731" s="243"/>
      <c r="M1731" s="243"/>
      <c r="N1731" s="139"/>
      <c r="O1731" s="139"/>
      <c r="P1731" s="139"/>
      <c r="Q1731" s="147"/>
      <c r="R1731" s="139"/>
      <c r="S1731" s="139"/>
      <c r="T1731" s="139"/>
      <c r="U1731" s="139"/>
      <c r="V1731" s="139"/>
      <c r="W1731" s="139"/>
      <c r="X1731" s="146"/>
      <c r="Y1731" s="148"/>
      <c r="Z1731" s="145"/>
      <c r="AA1731" s="139"/>
      <c r="AB1731" s="149"/>
      <c r="AC1731" s="119"/>
      <c r="AD1731" s="139"/>
      <c r="AE1731" s="139"/>
      <c r="AF1731" s="139"/>
      <c r="AG1731" s="139"/>
      <c r="AH1731" s="139"/>
      <c r="AI1731" s="139"/>
      <c r="AJ1731" s="139"/>
      <c r="AK1731" s="139"/>
      <c r="AL1731" s="139"/>
      <c r="AM1731" s="139"/>
      <c r="AN1731" s="139"/>
      <c r="AO1731" s="139"/>
      <c r="AP1731" s="139"/>
      <c r="AQ1731" s="174"/>
      <c r="AR1731" s="222"/>
    </row>
    <row r="1732" spans="2:44" s="22" customFormat="1" ht="18" customHeight="1" x14ac:dyDescent="0.25">
      <c r="B1732" s="145"/>
      <c r="C1732" s="139"/>
      <c r="D1732" s="146"/>
      <c r="E1732" s="139"/>
      <c r="F1732" s="139"/>
      <c r="G1732" s="139"/>
      <c r="H1732" s="139"/>
      <c r="I1732" s="139"/>
      <c r="J1732" s="139"/>
      <c r="K1732" s="139"/>
      <c r="L1732" s="243"/>
      <c r="M1732" s="243"/>
      <c r="N1732" s="139"/>
      <c r="O1732" s="139"/>
      <c r="P1732" s="139"/>
      <c r="Q1732" s="147"/>
      <c r="R1732" s="139"/>
      <c r="S1732" s="139"/>
      <c r="T1732" s="139"/>
      <c r="U1732" s="139"/>
      <c r="V1732" s="139"/>
      <c r="W1732" s="139"/>
      <c r="X1732" s="146"/>
      <c r="Y1732" s="148"/>
      <c r="Z1732" s="145"/>
      <c r="AA1732" s="139"/>
      <c r="AB1732" s="149"/>
      <c r="AC1732" s="119"/>
      <c r="AD1732" s="139"/>
      <c r="AE1732" s="139"/>
      <c r="AF1732" s="139"/>
      <c r="AG1732" s="139"/>
      <c r="AH1732" s="139"/>
      <c r="AI1732" s="139"/>
      <c r="AJ1732" s="139"/>
      <c r="AK1732" s="139"/>
      <c r="AL1732" s="139"/>
      <c r="AM1732" s="139"/>
      <c r="AN1732" s="139"/>
      <c r="AO1732" s="139"/>
      <c r="AP1732" s="139"/>
      <c r="AQ1732" s="174"/>
      <c r="AR1732" s="222"/>
    </row>
    <row r="1733" spans="2:44" s="22" customFormat="1" ht="18" customHeight="1" x14ac:dyDescent="0.25">
      <c r="B1733" s="145"/>
      <c r="C1733" s="139"/>
      <c r="D1733" s="146"/>
      <c r="E1733" s="139"/>
      <c r="F1733" s="139"/>
      <c r="G1733" s="139"/>
      <c r="H1733" s="139"/>
      <c r="I1733" s="139"/>
      <c r="J1733" s="139"/>
      <c r="K1733" s="139"/>
      <c r="L1733" s="243"/>
      <c r="M1733" s="243"/>
      <c r="N1733" s="139"/>
      <c r="O1733" s="139"/>
      <c r="P1733" s="139"/>
      <c r="Q1733" s="147"/>
      <c r="R1733" s="139"/>
      <c r="S1733" s="139"/>
      <c r="T1733" s="139"/>
      <c r="U1733" s="139"/>
      <c r="V1733" s="139"/>
      <c r="W1733" s="139"/>
      <c r="X1733" s="146"/>
      <c r="Y1733" s="148"/>
      <c r="Z1733" s="145"/>
      <c r="AA1733" s="139"/>
      <c r="AB1733" s="149"/>
      <c r="AC1733" s="119"/>
      <c r="AD1733" s="139"/>
      <c r="AE1733" s="139"/>
      <c r="AF1733" s="139"/>
      <c r="AG1733" s="139"/>
      <c r="AH1733" s="139"/>
      <c r="AI1733" s="139"/>
      <c r="AJ1733" s="139"/>
      <c r="AK1733" s="139"/>
      <c r="AL1733" s="139"/>
      <c r="AM1733" s="139"/>
      <c r="AN1733" s="139"/>
      <c r="AO1733" s="139"/>
      <c r="AP1733" s="139"/>
      <c r="AQ1733" s="174"/>
      <c r="AR1733" s="222"/>
    </row>
    <row r="1734" spans="2:44" s="143" customFormat="1" ht="18" customHeight="1" x14ac:dyDescent="0.25">
      <c r="B1734" s="145"/>
      <c r="C1734" s="139"/>
      <c r="D1734" s="146"/>
      <c r="E1734" s="139"/>
      <c r="F1734" s="139"/>
      <c r="G1734" s="139"/>
      <c r="H1734" s="139"/>
      <c r="I1734" s="139"/>
      <c r="J1734" s="139"/>
      <c r="K1734" s="139"/>
      <c r="L1734" s="243"/>
      <c r="M1734" s="243"/>
      <c r="N1734" s="139"/>
      <c r="O1734" s="139"/>
      <c r="P1734" s="139"/>
      <c r="Q1734" s="147"/>
      <c r="R1734" s="139"/>
      <c r="S1734" s="139"/>
      <c r="T1734" s="139"/>
      <c r="U1734" s="139"/>
      <c r="V1734" s="139"/>
      <c r="W1734" s="139"/>
      <c r="X1734" s="146"/>
      <c r="Y1734" s="148"/>
      <c r="Z1734" s="145"/>
      <c r="AA1734" s="139"/>
      <c r="AB1734" s="149"/>
      <c r="AC1734" s="119"/>
      <c r="AD1734" s="139"/>
      <c r="AE1734" s="139"/>
      <c r="AF1734" s="139"/>
      <c r="AG1734" s="139"/>
      <c r="AH1734" s="139"/>
      <c r="AI1734" s="139"/>
      <c r="AJ1734" s="139"/>
      <c r="AK1734" s="139"/>
      <c r="AL1734" s="139"/>
      <c r="AM1734" s="139"/>
      <c r="AN1734" s="139"/>
      <c r="AO1734" s="139"/>
      <c r="AP1734" s="139"/>
      <c r="AQ1734" s="174"/>
      <c r="AR1734" s="222"/>
    </row>
    <row r="1735" spans="2:44" s="141" customFormat="1" ht="18" customHeight="1" x14ac:dyDescent="0.25">
      <c r="B1735" s="145"/>
      <c r="C1735" s="139"/>
      <c r="D1735" s="146"/>
      <c r="E1735" s="139"/>
      <c r="F1735" s="139"/>
      <c r="G1735" s="139"/>
      <c r="H1735" s="139"/>
      <c r="I1735" s="139"/>
      <c r="J1735" s="139"/>
      <c r="K1735" s="139"/>
      <c r="L1735" s="243"/>
      <c r="M1735" s="243"/>
      <c r="N1735" s="139"/>
      <c r="O1735" s="139"/>
      <c r="P1735" s="139"/>
      <c r="Q1735" s="147"/>
      <c r="R1735" s="139"/>
      <c r="S1735" s="139"/>
      <c r="T1735" s="139"/>
      <c r="U1735" s="139"/>
      <c r="V1735" s="139"/>
      <c r="W1735" s="139"/>
      <c r="X1735" s="146"/>
      <c r="Y1735" s="148"/>
      <c r="Z1735" s="145"/>
      <c r="AA1735" s="139"/>
      <c r="AB1735" s="149"/>
      <c r="AC1735" s="119"/>
      <c r="AD1735" s="139"/>
      <c r="AE1735" s="139"/>
      <c r="AF1735" s="139"/>
      <c r="AG1735" s="139"/>
      <c r="AH1735" s="139"/>
      <c r="AI1735" s="139"/>
      <c r="AJ1735" s="139"/>
      <c r="AK1735" s="139"/>
      <c r="AL1735" s="139"/>
      <c r="AM1735" s="139"/>
      <c r="AN1735" s="139"/>
      <c r="AO1735" s="139"/>
      <c r="AP1735" s="139"/>
      <c r="AQ1735" s="174"/>
      <c r="AR1735" s="222"/>
    </row>
    <row r="1736" spans="2:44" s="141" customFormat="1" ht="18" customHeight="1" x14ac:dyDescent="0.25">
      <c r="B1736" s="145"/>
      <c r="C1736" s="139"/>
      <c r="D1736" s="146"/>
      <c r="E1736" s="139"/>
      <c r="F1736" s="139"/>
      <c r="G1736" s="139"/>
      <c r="H1736" s="139"/>
      <c r="I1736" s="139"/>
      <c r="J1736" s="139"/>
      <c r="K1736" s="139"/>
      <c r="L1736" s="243"/>
      <c r="M1736" s="243"/>
      <c r="N1736" s="139"/>
      <c r="O1736" s="139"/>
      <c r="P1736" s="139"/>
      <c r="Q1736" s="147"/>
      <c r="R1736" s="139"/>
      <c r="S1736" s="139"/>
      <c r="T1736" s="139"/>
      <c r="U1736" s="139"/>
      <c r="V1736" s="139"/>
      <c r="W1736" s="139"/>
      <c r="X1736" s="146"/>
      <c r="Y1736" s="148"/>
      <c r="Z1736" s="145"/>
      <c r="AA1736" s="139"/>
      <c r="AB1736" s="149"/>
      <c r="AC1736" s="119"/>
      <c r="AD1736" s="139"/>
      <c r="AE1736" s="139"/>
      <c r="AF1736" s="139"/>
      <c r="AG1736" s="139"/>
      <c r="AH1736" s="139"/>
      <c r="AI1736" s="139"/>
      <c r="AJ1736" s="139"/>
      <c r="AK1736" s="139"/>
      <c r="AL1736" s="139"/>
      <c r="AM1736" s="139"/>
      <c r="AN1736" s="139"/>
      <c r="AO1736" s="139"/>
      <c r="AP1736" s="139"/>
      <c r="AQ1736" s="174"/>
      <c r="AR1736" s="222"/>
    </row>
    <row r="1737" spans="2:44" s="22" customFormat="1" ht="18" customHeight="1" x14ac:dyDescent="0.25">
      <c r="B1737" s="145"/>
      <c r="C1737" s="139"/>
      <c r="D1737" s="146"/>
      <c r="E1737" s="139"/>
      <c r="F1737" s="139"/>
      <c r="G1737" s="139"/>
      <c r="H1737" s="139"/>
      <c r="I1737" s="139"/>
      <c r="J1737" s="139"/>
      <c r="K1737" s="139"/>
      <c r="L1737" s="243"/>
      <c r="M1737" s="243"/>
      <c r="N1737" s="139"/>
      <c r="O1737" s="139"/>
      <c r="P1737" s="139"/>
      <c r="Q1737" s="147"/>
      <c r="R1737" s="139"/>
      <c r="S1737" s="139"/>
      <c r="T1737" s="139"/>
      <c r="U1737" s="139"/>
      <c r="V1737" s="139"/>
      <c r="W1737" s="139"/>
      <c r="X1737" s="146"/>
      <c r="Y1737" s="148"/>
      <c r="Z1737" s="145"/>
      <c r="AA1737" s="139"/>
      <c r="AB1737" s="149"/>
      <c r="AC1737" s="119"/>
      <c r="AD1737" s="139"/>
      <c r="AE1737" s="139"/>
      <c r="AF1737" s="139"/>
      <c r="AG1737" s="139"/>
      <c r="AH1737" s="139"/>
      <c r="AI1737" s="139"/>
      <c r="AJ1737" s="139"/>
      <c r="AK1737" s="139"/>
      <c r="AL1737" s="139"/>
      <c r="AM1737" s="139"/>
      <c r="AN1737" s="139"/>
      <c r="AO1737" s="139"/>
      <c r="AP1737" s="139"/>
      <c r="AQ1737" s="174"/>
      <c r="AR1737" s="222"/>
    </row>
    <row r="1738" spans="2:44" s="22" customFormat="1" ht="18" customHeight="1" x14ac:dyDescent="0.25">
      <c r="B1738" s="145"/>
      <c r="C1738" s="139"/>
      <c r="D1738" s="146"/>
      <c r="E1738" s="139"/>
      <c r="F1738" s="139"/>
      <c r="G1738" s="139"/>
      <c r="H1738" s="139"/>
      <c r="I1738" s="139"/>
      <c r="J1738" s="139"/>
      <c r="K1738" s="139"/>
      <c r="L1738" s="243"/>
      <c r="M1738" s="243"/>
      <c r="N1738" s="139"/>
      <c r="O1738" s="139"/>
      <c r="P1738" s="139"/>
      <c r="Q1738" s="147"/>
      <c r="R1738" s="139"/>
      <c r="S1738" s="139"/>
      <c r="T1738" s="139"/>
      <c r="U1738" s="139"/>
      <c r="V1738" s="139"/>
      <c r="W1738" s="139"/>
      <c r="X1738" s="146"/>
      <c r="Y1738" s="148"/>
      <c r="Z1738" s="145"/>
      <c r="AA1738" s="139"/>
      <c r="AB1738" s="149"/>
      <c r="AC1738" s="119"/>
      <c r="AD1738" s="139"/>
      <c r="AE1738" s="139"/>
      <c r="AF1738" s="139"/>
      <c r="AG1738" s="139"/>
      <c r="AH1738" s="139"/>
      <c r="AI1738" s="139"/>
      <c r="AJ1738" s="139"/>
      <c r="AK1738" s="139"/>
      <c r="AL1738" s="139"/>
      <c r="AM1738" s="139"/>
      <c r="AN1738" s="139"/>
      <c r="AO1738" s="139"/>
      <c r="AP1738" s="139"/>
      <c r="AQ1738" s="174"/>
      <c r="AR1738" s="222"/>
    </row>
    <row r="1739" spans="2:44" s="22" customFormat="1" ht="18" customHeight="1" x14ac:dyDescent="0.25">
      <c r="B1739" s="145"/>
      <c r="C1739" s="139"/>
      <c r="D1739" s="146"/>
      <c r="E1739" s="139"/>
      <c r="F1739" s="139"/>
      <c r="G1739" s="139"/>
      <c r="H1739" s="139"/>
      <c r="I1739" s="139"/>
      <c r="J1739" s="139"/>
      <c r="K1739" s="139"/>
      <c r="L1739" s="243"/>
      <c r="M1739" s="243"/>
      <c r="N1739" s="139"/>
      <c r="O1739" s="139"/>
      <c r="P1739" s="139"/>
      <c r="Q1739" s="147"/>
      <c r="R1739" s="139"/>
      <c r="S1739" s="139"/>
      <c r="T1739" s="139"/>
      <c r="U1739" s="139"/>
      <c r="V1739" s="139"/>
      <c r="W1739" s="139"/>
      <c r="X1739" s="146"/>
      <c r="Y1739" s="148"/>
      <c r="Z1739" s="145"/>
      <c r="AA1739" s="139"/>
      <c r="AB1739" s="149"/>
      <c r="AC1739" s="119"/>
      <c r="AD1739" s="139"/>
      <c r="AE1739" s="139"/>
      <c r="AF1739" s="139"/>
      <c r="AG1739" s="139"/>
      <c r="AH1739" s="139"/>
      <c r="AI1739" s="139"/>
      <c r="AJ1739" s="139"/>
      <c r="AK1739" s="139"/>
      <c r="AL1739" s="139"/>
      <c r="AM1739" s="139"/>
      <c r="AN1739" s="139"/>
      <c r="AO1739" s="139"/>
      <c r="AP1739" s="139"/>
      <c r="AQ1739" s="174"/>
      <c r="AR1739" s="222"/>
    </row>
    <row r="1741" spans="2:44" s="144" customFormat="1" ht="18" customHeight="1" x14ac:dyDescent="0.25">
      <c r="B1741" s="145"/>
      <c r="C1741" s="139"/>
      <c r="D1741" s="146"/>
      <c r="E1741" s="139"/>
      <c r="F1741" s="139"/>
      <c r="G1741" s="139"/>
      <c r="H1741" s="139"/>
      <c r="I1741" s="139"/>
      <c r="J1741" s="139"/>
      <c r="K1741" s="139"/>
      <c r="L1741" s="243"/>
      <c r="M1741" s="243"/>
      <c r="N1741" s="139"/>
      <c r="O1741" s="139"/>
      <c r="P1741" s="139"/>
      <c r="Q1741" s="147"/>
      <c r="R1741" s="139"/>
      <c r="S1741" s="139"/>
      <c r="T1741" s="139"/>
      <c r="U1741" s="139"/>
      <c r="V1741" s="139"/>
      <c r="W1741" s="139"/>
      <c r="X1741" s="146"/>
      <c r="Y1741" s="148"/>
      <c r="Z1741" s="145"/>
      <c r="AA1741" s="139"/>
      <c r="AB1741" s="149"/>
      <c r="AC1741" s="119"/>
      <c r="AD1741" s="139"/>
      <c r="AE1741" s="139"/>
      <c r="AF1741" s="139"/>
      <c r="AG1741" s="139"/>
      <c r="AH1741" s="139"/>
      <c r="AI1741" s="139"/>
      <c r="AJ1741" s="139"/>
      <c r="AK1741" s="139"/>
      <c r="AL1741" s="139"/>
      <c r="AM1741" s="139"/>
      <c r="AN1741" s="139"/>
      <c r="AO1741" s="139"/>
      <c r="AP1741" s="139"/>
      <c r="AQ1741" s="174"/>
      <c r="AR1741" s="222"/>
    </row>
    <row r="1750" spans="2:44" s="144" customFormat="1" ht="18" customHeight="1" x14ac:dyDescent="0.25">
      <c r="B1750" s="145"/>
      <c r="C1750" s="139"/>
      <c r="D1750" s="146"/>
      <c r="E1750" s="139"/>
      <c r="F1750" s="139"/>
      <c r="G1750" s="139"/>
      <c r="H1750" s="139"/>
      <c r="I1750" s="139"/>
      <c r="J1750" s="139"/>
      <c r="K1750" s="139"/>
      <c r="L1750" s="243"/>
      <c r="M1750" s="243"/>
      <c r="N1750" s="139"/>
      <c r="O1750" s="139"/>
      <c r="P1750" s="139"/>
      <c r="Q1750" s="147"/>
      <c r="R1750" s="139"/>
      <c r="S1750" s="139"/>
      <c r="T1750" s="139"/>
      <c r="U1750" s="139"/>
      <c r="V1750" s="139"/>
      <c r="W1750" s="139"/>
      <c r="X1750" s="146"/>
      <c r="Y1750" s="148"/>
      <c r="Z1750" s="145"/>
      <c r="AA1750" s="139"/>
      <c r="AB1750" s="149"/>
      <c r="AC1750" s="119"/>
      <c r="AD1750" s="139"/>
      <c r="AE1750" s="139"/>
      <c r="AF1750" s="139"/>
      <c r="AG1750" s="139"/>
      <c r="AH1750" s="139"/>
      <c r="AI1750" s="139"/>
      <c r="AJ1750" s="139"/>
      <c r="AK1750" s="139"/>
      <c r="AL1750" s="139"/>
      <c r="AM1750" s="139"/>
      <c r="AN1750" s="139"/>
      <c r="AO1750" s="139"/>
      <c r="AP1750" s="139"/>
      <c r="AQ1750" s="174"/>
      <c r="AR1750" s="222"/>
    </row>
    <row r="1751" spans="2:44" s="144" customFormat="1" ht="18" customHeight="1" x14ac:dyDescent="0.25">
      <c r="B1751" s="145"/>
      <c r="C1751" s="139"/>
      <c r="D1751" s="146"/>
      <c r="E1751" s="139"/>
      <c r="F1751" s="139"/>
      <c r="G1751" s="139"/>
      <c r="H1751" s="139"/>
      <c r="I1751" s="139"/>
      <c r="J1751" s="139"/>
      <c r="K1751" s="139"/>
      <c r="L1751" s="243"/>
      <c r="M1751" s="243"/>
      <c r="N1751" s="139"/>
      <c r="O1751" s="139"/>
      <c r="P1751" s="139"/>
      <c r="Q1751" s="147"/>
      <c r="R1751" s="139"/>
      <c r="S1751" s="139"/>
      <c r="T1751" s="139"/>
      <c r="U1751" s="139"/>
      <c r="V1751" s="139"/>
      <c r="W1751" s="139"/>
      <c r="X1751" s="146"/>
      <c r="Y1751" s="148"/>
      <c r="Z1751" s="145"/>
      <c r="AA1751" s="139"/>
      <c r="AB1751" s="149"/>
      <c r="AC1751" s="119"/>
      <c r="AD1751" s="139"/>
      <c r="AE1751" s="139"/>
      <c r="AF1751" s="139"/>
      <c r="AG1751" s="139"/>
      <c r="AH1751" s="139"/>
      <c r="AI1751" s="139"/>
      <c r="AJ1751" s="139"/>
      <c r="AK1751" s="139"/>
      <c r="AL1751" s="139"/>
      <c r="AM1751" s="139"/>
      <c r="AN1751" s="139"/>
      <c r="AO1751" s="139"/>
      <c r="AP1751" s="139"/>
      <c r="AQ1751" s="174"/>
      <c r="AR1751" s="222"/>
    </row>
    <row r="1752" spans="2:44" s="144" customFormat="1" ht="18" customHeight="1" x14ac:dyDescent="0.25">
      <c r="B1752" s="145"/>
      <c r="C1752" s="139"/>
      <c r="D1752" s="146"/>
      <c r="E1752" s="139"/>
      <c r="F1752" s="139"/>
      <c r="G1752" s="139"/>
      <c r="H1752" s="139"/>
      <c r="I1752" s="139"/>
      <c r="J1752" s="139"/>
      <c r="K1752" s="139"/>
      <c r="L1752" s="243"/>
      <c r="M1752" s="243"/>
      <c r="N1752" s="139"/>
      <c r="O1752" s="139"/>
      <c r="P1752" s="139"/>
      <c r="Q1752" s="147"/>
      <c r="R1752" s="139"/>
      <c r="S1752" s="139"/>
      <c r="T1752" s="139"/>
      <c r="U1752" s="139"/>
      <c r="V1752" s="139"/>
      <c r="W1752" s="139"/>
      <c r="X1752" s="146"/>
      <c r="Y1752" s="148"/>
      <c r="Z1752" s="145"/>
      <c r="AA1752" s="139"/>
      <c r="AB1752" s="149"/>
      <c r="AC1752" s="119"/>
      <c r="AD1752" s="139"/>
      <c r="AE1752" s="139"/>
      <c r="AF1752" s="139"/>
      <c r="AG1752" s="139"/>
      <c r="AH1752" s="139"/>
      <c r="AI1752" s="139"/>
      <c r="AJ1752" s="139"/>
      <c r="AK1752" s="139"/>
      <c r="AL1752" s="139"/>
      <c r="AM1752" s="139"/>
      <c r="AN1752" s="139"/>
      <c r="AO1752" s="139"/>
      <c r="AP1752" s="139"/>
      <c r="AQ1752" s="174"/>
      <c r="AR1752" s="222"/>
    </row>
    <row r="1753" spans="2:44" s="144" customFormat="1" ht="18" customHeight="1" x14ac:dyDescent="0.25">
      <c r="B1753" s="145"/>
      <c r="C1753" s="139"/>
      <c r="D1753" s="146"/>
      <c r="E1753" s="139"/>
      <c r="F1753" s="139"/>
      <c r="G1753" s="139"/>
      <c r="H1753" s="139"/>
      <c r="I1753" s="139"/>
      <c r="J1753" s="139"/>
      <c r="K1753" s="139"/>
      <c r="L1753" s="243"/>
      <c r="M1753" s="243"/>
      <c r="N1753" s="139"/>
      <c r="O1753" s="139"/>
      <c r="P1753" s="139"/>
      <c r="Q1753" s="147"/>
      <c r="R1753" s="139"/>
      <c r="S1753" s="139"/>
      <c r="T1753" s="139"/>
      <c r="U1753" s="139"/>
      <c r="V1753" s="139"/>
      <c r="W1753" s="139"/>
      <c r="X1753" s="146"/>
      <c r="Y1753" s="148"/>
      <c r="Z1753" s="145"/>
      <c r="AA1753" s="139"/>
      <c r="AB1753" s="149"/>
      <c r="AC1753" s="119"/>
      <c r="AD1753" s="139"/>
      <c r="AE1753" s="139"/>
      <c r="AF1753" s="139"/>
      <c r="AG1753" s="139"/>
      <c r="AH1753" s="139"/>
      <c r="AI1753" s="139"/>
      <c r="AJ1753" s="139"/>
      <c r="AK1753" s="139"/>
      <c r="AL1753" s="139"/>
      <c r="AM1753" s="139"/>
      <c r="AN1753" s="139"/>
      <c r="AO1753" s="139"/>
      <c r="AP1753" s="139"/>
      <c r="AQ1753" s="174"/>
      <c r="AR1753" s="222"/>
    </row>
    <row r="1754" spans="2:44" s="144" customFormat="1" ht="18" customHeight="1" x14ac:dyDescent="0.25">
      <c r="B1754" s="145"/>
      <c r="C1754" s="139"/>
      <c r="D1754" s="146"/>
      <c r="E1754" s="139"/>
      <c r="F1754" s="139"/>
      <c r="G1754" s="139"/>
      <c r="H1754" s="139"/>
      <c r="I1754" s="139"/>
      <c r="J1754" s="139"/>
      <c r="K1754" s="139"/>
      <c r="L1754" s="243"/>
      <c r="M1754" s="243"/>
      <c r="N1754" s="139"/>
      <c r="O1754" s="139"/>
      <c r="P1754" s="139"/>
      <c r="Q1754" s="147"/>
      <c r="R1754" s="139"/>
      <c r="S1754" s="139"/>
      <c r="T1754" s="139"/>
      <c r="U1754" s="139"/>
      <c r="V1754" s="139"/>
      <c r="W1754" s="139"/>
      <c r="X1754" s="146"/>
      <c r="Y1754" s="148"/>
      <c r="Z1754" s="145"/>
      <c r="AA1754" s="139"/>
      <c r="AB1754" s="149"/>
      <c r="AC1754" s="119"/>
      <c r="AD1754" s="139"/>
      <c r="AE1754" s="139"/>
      <c r="AF1754" s="139"/>
      <c r="AG1754" s="139"/>
      <c r="AH1754" s="139"/>
      <c r="AI1754" s="139"/>
      <c r="AJ1754" s="139"/>
      <c r="AK1754" s="139"/>
      <c r="AL1754" s="139"/>
      <c r="AM1754" s="139"/>
      <c r="AN1754" s="139"/>
      <c r="AO1754" s="139"/>
      <c r="AP1754" s="139"/>
      <c r="AQ1754" s="174"/>
      <c r="AR1754" s="222"/>
    </row>
    <row r="1760" spans="2:44" s="144" customFormat="1" ht="18" customHeight="1" x14ac:dyDescent="0.25">
      <c r="B1760" s="145"/>
      <c r="C1760" s="139"/>
      <c r="D1760" s="146"/>
      <c r="E1760" s="139"/>
      <c r="F1760" s="139"/>
      <c r="G1760" s="139"/>
      <c r="H1760" s="139"/>
      <c r="I1760" s="139"/>
      <c r="J1760" s="139"/>
      <c r="K1760" s="139"/>
      <c r="L1760" s="243"/>
      <c r="M1760" s="243"/>
      <c r="N1760" s="139"/>
      <c r="O1760" s="139"/>
      <c r="P1760" s="139"/>
      <c r="Q1760" s="147"/>
      <c r="R1760" s="139"/>
      <c r="S1760" s="139"/>
      <c r="T1760" s="139"/>
      <c r="U1760" s="139"/>
      <c r="V1760" s="139"/>
      <c r="W1760" s="139"/>
      <c r="X1760" s="146"/>
      <c r="Y1760" s="148"/>
      <c r="Z1760" s="145"/>
      <c r="AA1760" s="139"/>
      <c r="AB1760" s="149"/>
      <c r="AC1760" s="119"/>
      <c r="AD1760" s="139"/>
      <c r="AE1760" s="139"/>
      <c r="AF1760" s="139"/>
      <c r="AG1760" s="139"/>
      <c r="AH1760" s="139"/>
      <c r="AI1760" s="139"/>
      <c r="AJ1760" s="139"/>
      <c r="AK1760" s="139"/>
      <c r="AL1760" s="139"/>
      <c r="AM1760" s="139"/>
      <c r="AN1760" s="139"/>
      <c r="AO1760" s="139"/>
      <c r="AP1760" s="139"/>
      <c r="AQ1760" s="174"/>
      <c r="AR1760" s="222"/>
    </row>
    <row r="1761" spans="2:44" s="144" customFormat="1" ht="18" customHeight="1" x14ac:dyDescent="0.25">
      <c r="B1761" s="145"/>
      <c r="C1761" s="139"/>
      <c r="D1761" s="146"/>
      <c r="E1761" s="139"/>
      <c r="F1761" s="139"/>
      <c r="G1761" s="139"/>
      <c r="H1761" s="139"/>
      <c r="I1761" s="139"/>
      <c r="J1761" s="139"/>
      <c r="K1761" s="139"/>
      <c r="L1761" s="243"/>
      <c r="M1761" s="243"/>
      <c r="N1761" s="139"/>
      <c r="O1761" s="139"/>
      <c r="P1761" s="139"/>
      <c r="Q1761" s="147"/>
      <c r="R1761" s="139"/>
      <c r="S1761" s="139"/>
      <c r="T1761" s="139"/>
      <c r="U1761" s="139"/>
      <c r="V1761" s="139"/>
      <c r="W1761" s="139"/>
      <c r="X1761" s="146"/>
      <c r="Y1761" s="148"/>
      <c r="Z1761" s="145"/>
      <c r="AA1761" s="139"/>
      <c r="AB1761" s="149"/>
      <c r="AC1761" s="119"/>
      <c r="AD1761" s="139"/>
      <c r="AE1761" s="139"/>
      <c r="AF1761" s="139"/>
      <c r="AG1761" s="139"/>
      <c r="AH1761" s="139"/>
      <c r="AI1761" s="139"/>
      <c r="AJ1761" s="139"/>
      <c r="AK1761" s="139"/>
      <c r="AL1761" s="139"/>
      <c r="AM1761" s="139"/>
      <c r="AN1761" s="139"/>
      <c r="AO1761" s="139"/>
      <c r="AP1761" s="139"/>
      <c r="AQ1761" s="174"/>
      <c r="AR1761" s="222"/>
    </row>
    <row r="1774" spans="2:44" s="144" customFormat="1" ht="18" customHeight="1" x14ac:dyDescent="0.25">
      <c r="B1774" s="145"/>
      <c r="C1774" s="139"/>
      <c r="D1774" s="146"/>
      <c r="E1774" s="139"/>
      <c r="F1774" s="139"/>
      <c r="G1774" s="139"/>
      <c r="H1774" s="139"/>
      <c r="I1774" s="139"/>
      <c r="J1774" s="139"/>
      <c r="K1774" s="139"/>
      <c r="L1774" s="243"/>
      <c r="M1774" s="243"/>
      <c r="N1774" s="139"/>
      <c r="O1774" s="139"/>
      <c r="P1774" s="139"/>
      <c r="Q1774" s="147"/>
      <c r="R1774" s="139"/>
      <c r="S1774" s="139"/>
      <c r="T1774" s="139"/>
      <c r="U1774" s="139"/>
      <c r="V1774" s="139"/>
      <c r="W1774" s="139"/>
      <c r="X1774" s="146"/>
      <c r="Y1774" s="148"/>
      <c r="Z1774" s="145"/>
      <c r="AA1774" s="139"/>
      <c r="AB1774" s="149"/>
      <c r="AC1774" s="119"/>
      <c r="AD1774" s="139"/>
      <c r="AE1774" s="139"/>
      <c r="AF1774" s="139"/>
      <c r="AG1774" s="139"/>
      <c r="AH1774" s="139"/>
      <c r="AI1774" s="139"/>
      <c r="AJ1774" s="139"/>
      <c r="AK1774" s="139"/>
      <c r="AL1774" s="139"/>
      <c r="AM1774" s="139"/>
      <c r="AN1774" s="139"/>
      <c r="AO1774" s="139"/>
      <c r="AP1774" s="139"/>
      <c r="AQ1774" s="174"/>
      <c r="AR1774" s="222"/>
    </row>
    <row r="1775" spans="2:44" s="144" customFormat="1" ht="18" customHeight="1" x14ac:dyDescent="0.25">
      <c r="B1775" s="145"/>
      <c r="C1775" s="139"/>
      <c r="D1775" s="146"/>
      <c r="E1775" s="139"/>
      <c r="F1775" s="139"/>
      <c r="G1775" s="139"/>
      <c r="H1775" s="139"/>
      <c r="I1775" s="139"/>
      <c r="J1775" s="139"/>
      <c r="K1775" s="139"/>
      <c r="L1775" s="243"/>
      <c r="M1775" s="243"/>
      <c r="N1775" s="139"/>
      <c r="O1775" s="139"/>
      <c r="P1775" s="139"/>
      <c r="Q1775" s="147"/>
      <c r="R1775" s="139"/>
      <c r="S1775" s="139"/>
      <c r="T1775" s="139"/>
      <c r="U1775" s="139"/>
      <c r="V1775" s="139"/>
      <c r="W1775" s="139"/>
      <c r="X1775" s="146"/>
      <c r="Y1775" s="148"/>
      <c r="Z1775" s="145"/>
      <c r="AA1775" s="139"/>
      <c r="AB1775" s="149"/>
      <c r="AC1775" s="119"/>
      <c r="AD1775" s="139"/>
      <c r="AE1775" s="139"/>
      <c r="AF1775" s="139"/>
      <c r="AG1775" s="139"/>
      <c r="AH1775" s="139"/>
      <c r="AI1775" s="139"/>
      <c r="AJ1775" s="139"/>
      <c r="AK1775" s="139"/>
      <c r="AL1775" s="139"/>
      <c r="AM1775" s="139"/>
      <c r="AN1775" s="139"/>
      <c r="AO1775" s="139"/>
      <c r="AP1775" s="139"/>
      <c r="AQ1775" s="174"/>
      <c r="AR1775" s="222"/>
    </row>
    <row r="1776" spans="2:44" s="144" customFormat="1" ht="18" customHeight="1" x14ac:dyDescent="0.25">
      <c r="B1776" s="145"/>
      <c r="C1776" s="139"/>
      <c r="D1776" s="146"/>
      <c r="E1776" s="139"/>
      <c r="F1776" s="139"/>
      <c r="G1776" s="139"/>
      <c r="H1776" s="139"/>
      <c r="I1776" s="139"/>
      <c r="J1776" s="139"/>
      <c r="K1776" s="139"/>
      <c r="L1776" s="243"/>
      <c r="M1776" s="243"/>
      <c r="N1776" s="139"/>
      <c r="O1776" s="139"/>
      <c r="P1776" s="139"/>
      <c r="Q1776" s="147"/>
      <c r="R1776" s="139"/>
      <c r="S1776" s="139"/>
      <c r="T1776" s="139"/>
      <c r="U1776" s="139"/>
      <c r="V1776" s="139"/>
      <c r="W1776" s="139"/>
      <c r="X1776" s="146"/>
      <c r="Y1776" s="148"/>
      <c r="Z1776" s="145"/>
      <c r="AA1776" s="139"/>
      <c r="AB1776" s="149"/>
      <c r="AC1776" s="119"/>
      <c r="AD1776" s="139"/>
      <c r="AE1776" s="139"/>
      <c r="AF1776" s="139"/>
      <c r="AG1776" s="139"/>
      <c r="AH1776" s="139"/>
      <c r="AI1776" s="139"/>
      <c r="AJ1776" s="139"/>
      <c r="AK1776" s="139"/>
      <c r="AL1776" s="139"/>
      <c r="AM1776" s="139"/>
      <c r="AN1776" s="139"/>
      <c r="AO1776" s="139"/>
      <c r="AP1776" s="139"/>
      <c r="AQ1776" s="174"/>
      <c r="AR1776" s="222"/>
    </row>
    <row r="1780" spans="2:44" s="144" customFormat="1" ht="18" customHeight="1" x14ac:dyDescent="0.25">
      <c r="B1780" s="145"/>
      <c r="C1780" s="139"/>
      <c r="D1780" s="146"/>
      <c r="E1780" s="139"/>
      <c r="F1780" s="139"/>
      <c r="G1780" s="139"/>
      <c r="H1780" s="139"/>
      <c r="I1780" s="139"/>
      <c r="J1780" s="139"/>
      <c r="K1780" s="139"/>
      <c r="L1780" s="243"/>
      <c r="M1780" s="243"/>
      <c r="N1780" s="139"/>
      <c r="O1780" s="139"/>
      <c r="P1780" s="139"/>
      <c r="Q1780" s="147"/>
      <c r="R1780" s="139"/>
      <c r="S1780" s="139"/>
      <c r="T1780" s="139"/>
      <c r="U1780" s="139"/>
      <c r="V1780" s="139"/>
      <c r="W1780" s="139"/>
      <c r="X1780" s="146"/>
      <c r="Y1780" s="148"/>
      <c r="Z1780" s="145"/>
      <c r="AA1780" s="139"/>
      <c r="AB1780" s="149"/>
      <c r="AC1780" s="119"/>
      <c r="AD1780" s="139"/>
      <c r="AE1780" s="139"/>
      <c r="AF1780" s="139"/>
      <c r="AG1780" s="139"/>
      <c r="AH1780" s="139"/>
      <c r="AI1780" s="139"/>
      <c r="AJ1780" s="139"/>
      <c r="AK1780" s="139"/>
      <c r="AL1780" s="139"/>
      <c r="AM1780" s="139"/>
      <c r="AN1780" s="139"/>
      <c r="AO1780" s="139"/>
      <c r="AP1780" s="139"/>
      <c r="AQ1780" s="174"/>
      <c r="AR1780" s="222"/>
    </row>
    <row r="1783" spans="2:44" s="144" customFormat="1" ht="18" customHeight="1" x14ac:dyDescent="0.25">
      <c r="B1783" s="145"/>
      <c r="C1783" s="139"/>
      <c r="D1783" s="146"/>
      <c r="E1783" s="139"/>
      <c r="F1783" s="139"/>
      <c r="G1783" s="139"/>
      <c r="H1783" s="139"/>
      <c r="I1783" s="139"/>
      <c r="J1783" s="139"/>
      <c r="K1783" s="139"/>
      <c r="L1783" s="243"/>
      <c r="M1783" s="243"/>
      <c r="N1783" s="139"/>
      <c r="O1783" s="139"/>
      <c r="P1783" s="139"/>
      <c r="Q1783" s="147"/>
      <c r="R1783" s="139"/>
      <c r="S1783" s="139"/>
      <c r="T1783" s="139"/>
      <c r="U1783" s="139"/>
      <c r="V1783" s="139"/>
      <c r="W1783" s="139"/>
      <c r="X1783" s="146"/>
      <c r="Y1783" s="148"/>
      <c r="Z1783" s="145"/>
      <c r="AA1783" s="139"/>
      <c r="AB1783" s="149"/>
      <c r="AC1783" s="119"/>
      <c r="AD1783" s="139"/>
      <c r="AE1783" s="139"/>
      <c r="AF1783" s="139"/>
      <c r="AG1783" s="139"/>
      <c r="AH1783" s="139"/>
      <c r="AI1783" s="139"/>
      <c r="AJ1783" s="139"/>
      <c r="AK1783" s="139"/>
      <c r="AL1783" s="139"/>
      <c r="AM1783" s="139"/>
      <c r="AN1783" s="139"/>
      <c r="AO1783" s="139"/>
      <c r="AP1783" s="139"/>
      <c r="AQ1783" s="174"/>
      <c r="AR1783" s="222"/>
    </row>
    <row r="1789" spans="2:44" s="277" customFormat="1" ht="18" customHeight="1" x14ac:dyDescent="0.25">
      <c r="B1789" s="145"/>
      <c r="C1789" s="139"/>
      <c r="D1789" s="146"/>
      <c r="E1789" s="139"/>
      <c r="F1789" s="139"/>
      <c r="G1789" s="139"/>
      <c r="H1789" s="139"/>
      <c r="I1789" s="139"/>
      <c r="J1789" s="139"/>
      <c r="K1789" s="139"/>
      <c r="L1789" s="243"/>
      <c r="M1789" s="243"/>
      <c r="N1789" s="139"/>
      <c r="O1789" s="139"/>
      <c r="P1789" s="139"/>
      <c r="Q1789" s="147"/>
      <c r="R1789" s="139"/>
      <c r="S1789" s="139"/>
      <c r="T1789" s="139"/>
      <c r="U1789" s="139"/>
      <c r="V1789" s="139"/>
      <c r="W1789" s="139"/>
      <c r="X1789" s="146"/>
      <c r="Y1789" s="148"/>
      <c r="Z1789" s="145"/>
      <c r="AA1789" s="139"/>
      <c r="AB1789" s="149"/>
      <c r="AC1789" s="119"/>
      <c r="AD1789" s="139"/>
      <c r="AE1789" s="139"/>
      <c r="AF1789" s="139"/>
      <c r="AG1789" s="139"/>
      <c r="AH1789" s="139"/>
      <c r="AI1789" s="139"/>
      <c r="AJ1789" s="139"/>
      <c r="AK1789" s="139"/>
      <c r="AL1789" s="139"/>
      <c r="AM1789" s="139"/>
      <c r="AN1789" s="139"/>
      <c r="AO1789" s="139"/>
      <c r="AP1789" s="139"/>
      <c r="AQ1789" s="174"/>
      <c r="AR1789" s="222"/>
    </row>
    <row r="1794" spans="2:44" s="277" customFormat="1" ht="18" customHeight="1" x14ac:dyDescent="0.25">
      <c r="B1794" s="145"/>
      <c r="C1794" s="139"/>
      <c r="D1794" s="146"/>
      <c r="E1794" s="139"/>
      <c r="F1794" s="139"/>
      <c r="G1794" s="139"/>
      <c r="H1794" s="139"/>
      <c r="I1794" s="139"/>
      <c r="J1794" s="139"/>
      <c r="K1794" s="139"/>
      <c r="L1794" s="243"/>
      <c r="M1794" s="243"/>
      <c r="N1794" s="139"/>
      <c r="O1794" s="139"/>
      <c r="P1794" s="139"/>
      <c r="Q1794" s="147"/>
      <c r="R1794" s="139"/>
      <c r="S1794" s="139"/>
      <c r="T1794" s="139"/>
      <c r="U1794" s="139"/>
      <c r="V1794" s="139"/>
      <c r="W1794" s="139"/>
      <c r="X1794" s="146"/>
      <c r="Y1794" s="148"/>
      <c r="Z1794" s="145"/>
      <c r="AA1794" s="139"/>
      <c r="AB1794" s="149"/>
      <c r="AC1794" s="119"/>
      <c r="AD1794" s="139"/>
      <c r="AE1794" s="139"/>
      <c r="AF1794" s="139"/>
      <c r="AG1794" s="139"/>
      <c r="AH1794" s="139"/>
      <c r="AI1794" s="139"/>
      <c r="AJ1794" s="139"/>
      <c r="AK1794" s="139"/>
      <c r="AL1794" s="139"/>
      <c r="AM1794" s="139"/>
      <c r="AN1794" s="139"/>
      <c r="AO1794" s="139"/>
      <c r="AP1794" s="139"/>
      <c r="AQ1794" s="174"/>
      <c r="AR1794" s="222"/>
    </row>
    <row r="1804" spans="2:44" s="277" customFormat="1" ht="18" customHeight="1" x14ac:dyDescent="0.25">
      <c r="B1804" s="145"/>
      <c r="C1804" s="139"/>
      <c r="D1804" s="146"/>
      <c r="E1804" s="139"/>
      <c r="F1804" s="139"/>
      <c r="G1804" s="139"/>
      <c r="H1804" s="139"/>
      <c r="I1804" s="139"/>
      <c r="J1804" s="139"/>
      <c r="K1804" s="139"/>
      <c r="L1804" s="243"/>
      <c r="M1804" s="243"/>
      <c r="N1804" s="139"/>
      <c r="O1804" s="139"/>
      <c r="P1804" s="139"/>
      <c r="Q1804" s="147"/>
      <c r="R1804" s="139"/>
      <c r="S1804" s="139"/>
      <c r="T1804" s="139"/>
      <c r="U1804" s="139"/>
      <c r="V1804" s="139"/>
      <c r="W1804" s="139"/>
      <c r="X1804" s="146"/>
      <c r="Y1804" s="148"/>
      <c r="Z1804" s="145"/>
      <c r="AA1804" s="139"/>
      <c r="AB1804" s="149"/>
      <c r="AC1804" s="119"/>
      <c r="AD1804" s="139"/>
      <c r="AE1804" s="139"/>
      <c r="AF1804" s="139"/>
      <c r="AG1804" s="139"/>
      <c r="AH1804" s="139"/>
      <c r="AI1804" s="139"/>
      <c r="AJ1804" s="139"/>
      <c r="AK1804" s="139"/>
      <c r="AL1804" s="139"/>
      <c r="AM1804" s="139"/>
      <c r="AN1804" s="139"/>
      <c r="AO1804" s="139"/>
      <c r="AP1804" s="139"/>
      <c r="AQ1804" s="174"/>
      <c r="AR1804" s="222"/>
    </row>
    <row r="1805" spans="2:44" s="277" customFormat="1" ht="18" customHeight="1" x14ac:dyDescent="0.25">
      <c r="B1805" s="145"/>
      <c r="C1805" s="139"/>
      <c r="D1805" s="146"/>
      <c r="E1805" s="139"/>
      <c r="F1805" s="139"/>
      <c r="G1805" s="139"/>
      <c r="H1805" s="139"/>
      <c r="I1805" s="139"/>
      <c r="J1805" s="139"/>
      <c r="K1805" s="139"/>
      <c r="L1805" s="243"/>
      <c r="M1805" s="243"/>
      <c r="N1805" s="139"/>
      <c r="O1805" s="139"/>
      <c r="P1805" s="139"/>
      <c r="Q1805" s="147"/>
      <c r="R1805" s="139"/>
      <c r="S1805" s="139"/>
      <c r="T1805" s="139"/>
      <c r="U1805" s="139"/>
      <c r="V1805" s="139"/>
      <c r="W1805" s="139"/>
      <c r="X1805" s="146"/>
      <c r="Y1805" s="148"/>
      <c r="Z1805" s="145"/>
      <c r="AA1805" s="139"/>
      <c r="AB1805" s="149"/>
      <c r="AC1805" s="119"/>
      <c r="AD1805" s="139"/>
      <c r="AE1805" s="139"/>
      <c r="AF1805" s="139"/>
      <c r="AG1805" s="139"/>
      <c r="AH1805" s="139"/>
      <c r="AI1805" s="139"/>
      <c r="AJ1805" s="139"/>
      <c r="AK1805" s="139"/>
      <c r="AL1805" s="139"/>
      <c r="AM1805" s="139"/>
      <c r="AN1805" s="139"/>
      <c r="AO1805" s="139"/>
      <c r="AP1805" s="139"/>
      <c r="AQ1805" s="174"/>
      <c r="AR1805" s="222"/>
    </row>
    <row r="1806" spans="2:44" s="144" customFormat="1" ht="18" customHeight="1" x14ac:dyDescent="0.25">
      <c r="B1806" s="145"/>
      <c r="C1806" s="139"/>
      <c r="D1806" s="146"/>
      <c r="E1806" s="139"/>
      <c r="F1806" s="139"/>
      <c r="G1806" s="139"/>
      <c r="H1806" s="139"/>
      <c r="I1806" s="139"/>
      <c r="J1806" s="139"/>
      <c r="K1806" s="139"/>
      <c r="L1806" s="243"/>
      <c r="M1806" s="243"/>
      <c r="N1806" s="139"/>
      <c r="O1806" s="139"/>
      <c r="P1806" s="139"/>
      <c r="Q1806" s="147"/>
      <c r="R1806" s="139"/>
      <c r="S1806" s="139"/>
      <c r="T1806" s="139"/>
      <c r="U1806" s="139"/>
      <c r="V1806" s="139"/>
      <c r="W1806" s="139"/>
      <c r="X1806" s="146"/>
      <c r="Y1806" s="148"/>
      <c r="Z1806" s="145"/>
      <c r="AA1806" s="139"/>
      <c r="AB1806" s="149"/>
      <c r="AC1806" s="119"/>
      <c r="AD1806" s="139"/>
      <c r="AE1806" s="139"/>
      <c r="AF1806" s="139"/>
      <c r="AG1806" s="139"/>
      <c r="AH1806" s="139"/>
      <c r="AI1806" s="139"/>
      <c r="AJ1806" s="139"/>
      <c r="AK1806" s="139"/>
      <c r="AL1806" s="139"/>
      <c r="AM1806" s="139"/>
      <c r="AN1806" s="139"/>
      <c r="AO1806" s="139"/>
      <c r="AP1806" s="139"/>
      <c r="AQ1806" s="174"/>
      <c r="AR1806" s="222"/>
    </row>
    <row r="1807" spans="2:44" s="144" customFormat="1" ht="18" customHeight="1" x14ac:dyDescent="0.25">
      <c r="B1807" s="145"/>
      <c r="C1807" s="139"/>
      <c r="D1807" s="146"/>
      <c r="E1807" s="139"/>
      <c r="F1807" s="139"/>
      <c r="G1807" s="139"/>
      <c r="H1807" s="139"/>
      <c r="I1807" s="139"/>
      <c r="J1807" s="139"/>
      <c r="K1807" s="139"/>
      <c r="L1807" s="243"/>
      <c r="M1807" s="243"/>
      <c r="N1807" s="139"/>
      <c r="O1807" s="139"/>
      <c r="P1807" s="139"/>
      <c r="Q1807" s="147"/>
      <c r="R1807" s="139"/>
      <c r="S1807" s="139"/>
      <c r="T1807" s="139"/>
      <c r="U1807" s="139"/>
      <c r="V1807" s="139"/>
      <c r="W1807" s="139"/>
      <c r="X1807" s="146"/>
      <c r="Y1807" s="148"/>
      <c r="Z1807" s="145"/>
      <c r="AA1807" s="139"/>
      <c r="AB1807" s="149"/>
      <c r="AC1807" s="119"/>
      <c r="AD1807" s="139"/>
      <c r="AE1807" s="139"/>
      <c r="AF1807" s="139"/>
      <c r="AG1807" s="139"/>
      <c r="AH1807" s="139"/>
      <c r="AI1807" s="139"/>
      <c r="AJ1807" s="139"/>
      <c r="AK1807" s="139"/>
      <c r="AL1807" s="139"/>
      <c r="AM1807" s="139"/>
      <c r="AN1807" s="139"/>
      <c r="AO1807" s="139"/>
      <c r="AP1807" s="139"/>
      <c r="AQ1807" s="174"/>
      <c r="AR1807" s="222"/>
    </row>
    <row r="1811" spans="2:44" s="277" customFormat="1" ht="18" customHeight="1" x14ac:dyDescent="0.25">
      <c r="B1811" s="145"/>
      <c r="C1811" s="139"/>
      <c r="D1811" s="146"/>
      <c r="E1811" s="139"/>
      <c r="F1811" s="139"/>
      <c r="G1811" s="139"/>
      <c r="H1811" s="139"/>
      <c r="I1811" s="139"/>
      <c r="J1811" s="139"/>
      <c r="K1811" s="139"/>
      <c r="L1811" s="243"/>
      <c r="M1811" s="243"/>
      <c r="N1811" s="139"/>
      <c r="O1811" s="139"/>
      <c r="P1811" s="139"/>
      <c r="Q1811" s="147"/>
      <c r="R1811" s="139"/>
      <c r="S1811" s="139"/>
      <c r="T1811" s="139"/>
      <c r="U1811" s="139"/>
      <c r="V1811" s="139"/>
      <c r="W1811" s="139"/>
      <c r="X1811" s="146"/>
      <c r="Y1811" s="148"/>
      <c r="Z1811" s="145"/>
      <c r="AA1811" s="139"/>
      <c r="AB1811" s="149"/>
      <c r="AC1811" s="119"/>
      <c r="AD1811" s="139"/>
      <c r="AE1811" s="139"/>
      <c r="AF1811" s="139"/>
      <c r="AG1811" s="139"/>
      <c r="AH1811" s="139"/>
      <c r="AI1811" s="139"/>
      <c r="AJ1811" s="139"/>
      <c r="AK1811" s="139"/>
      <c r="AL1811" s="139"/>
      <c r="AM1811" s="139"/>
      <c r="AN1811" s="139"/>
      <c r="AO1811" s="139"/>
      <c r="AP1811" s="139"/>
      <c r="AQ1811" s="174"/>
      <c r="AR1811" s="222"/>
    </row>
    <row r="1814" spans="2:44" s="277" customFormat="1" ht="18" customHeight="1" x14ac:dyDescent="0.25">
      <c r="B1814" s="145"/>
      <c r="C1814" s="139"/>
      <c r="D1814" s="146"/>
      <c r="E1814" s="139"/>
      <c r="F1814" s="139"/>
      <c r="G1814" s="139"/>
      <c r="H1814" s="139"/>
      <c r="I1814" s="139"/>
      <c r="J1814" s="139"/>
      <c r="K1814" s="139"/>
      <c r="L1814" s="243"/>
      <c r="M1814" s="243"/>
      <c r="N1814" s="139"/>
      <c r="O1814" s="139"/>
      <c r="P1814" s="139"/>
      <c r="Q1814" s="147"/>
      <c r="R1814" s="139"/>
      <c r="S1814" s="139"/>
      <c r="T1814" s="139"/>
      <c r="U1814" s="139"/>
      <c r="V1814" s="139"/>
      <c r="W1814" s="139"/>
      <c r="X1814" s="146"/>
      <c r="Y1814" s="148"/>
      <c r="Z1814" s="145"/>
      <c r="AA1814" s="139"/>
      <c r="AB1814" s="149"/>
      <c r="AC1814" s="119"/>
      <c r="AD1814" s="139"/>
      <c r="AE1814" s="139"/>
      <c r="AF1814" s="139"/>
      <c r="AG1814" s="139"/>
      <c r="AH1814" s="139"/>
      <c r="AI1814" s="139"/>
      <c r="AJ1814" s="139"/>
      <c r="AK1814" s="139"/>
      <c r="AL1814" s="139"/>
      <c r="AM1814" s="139"/>
      <c r="AN1814" s="139"/>
      <c r="AO1814" s="139"/>
      <c r="AP1814" s="139"/>
      <c r="AQ1814" s="174"/>
      <c r="AR1814" s="222"/>
    </row>
    <row r="1823" spans="2:44" s="277" customFormat="1" ht="18" customHeight="1" x14ac:dyDescent="0.25">
      <c r="B1823" s="145"/>
      <c r="C1823" s="139"/>
      <c r="D1823" s="146"/>
      <c r="E1823" s="139"/>
      <c r="F1823" s="139"/>
      <c r="G1823" s="139"/>
      <c r="H1823" s="139"/>
      <c r="I1823" s="139"/>
      <c r="J1823" s="139"/>
      <c r="K1823" s="139"/>
      <c r="L1823" s="243"/>
      <c r="M1823" s="243"/>
      <c r="N1823" s="139"/>
      <c r="O1823" s="139"/>
      <c r="P1823" s="139"/>
      <c r="Q1823" s="147"/>
      <c r="R1823" s="139"/>
      <c r="S1823" s="139"/>
      <c r="T1823" s="139"/>
      <c r="U1823" s="139"/>
      <c r="V1823" s="139"/>
      <c r="W1823" s="139"/>
      <c r="X1823" s="146"/>
      <c r="Y1823" s="148"/>
      <c r="Z1823" s="145"/>
      <c r="AA1823" s="139"/>
      <c r="AB1823" s="149"/>
      <c r="AC1823" s="119"/>
      <c r="AD1823" s="139"/>
      <c r="AE1823" s="139"/>
      <c r="AF1823" s="139"/>
      <c r="AG1823" s="139"/>
      <c r="AH1823" s="139"/>
      <c r="AI1823" s="139"/>
      <c r="AJ1823" s="139"/>
      <c r="AK1823" s="139"/>
      <c r="AL1823" s="139"/>
      <c r="AM1823" s="139"/>
      <c r="AN1823" s="139"/>
      <c r="AO1823" s="139"/>
      <c r="AP1823" s="139"/>
      <c r="AQ1823" s="174"/>
      <c r="AR1823" s="222"/>
    </row>
    <row r="1833" spans="2:44" s="277" customFormat="1" ht="18" customHeight="1" x14ac:dyDescent="0.25">
      <c r="B1833" s="145"/>
      <c r="C1833" s="139"/>
      <c r="D1833" s="146"/>
      <c r="E1833" s="139"/>
      <c r="F1833" s="139"/>
      <c r="G1833" s="139"/>
      <c r="H1833" s="139"/>
      <c r="I1833" s="139"/>
      <c r="J1833" s="139"/>
      <c r="K1833" s="139"/>
      <c r="L1833" s="243"/>
      <c r="M1833" s="243"/>
      <c r="N1833" s="139"/>
      <c r="O1833" s="139"/>
      <c r="P1833" s="139"/>
      <c r="Q1833" s="147"/>
      <c r="R1833" s="139"/>
      <c r="S1833" s="139"/>
      <c r="T1833" s="139"/>
      <c r="U1833" s="139"/>
      <c r="V1833" s="139"/>
      <c r="W1833" s="139"/>
      <c r="X1833" s="146"/>
      <c r="Y1833" s="148"/>
      <c r="Z1833" s="145"/>
      <c r="AA1833" s="139"/>
      <c r="AB1833" s="149"/>
      <c r="AC1833" s="119"/>
      <c r="AD1833" s="139"/>
      <c r="AE1833" s="139"/>
      <c r="AF1833" s="139"/>
      <c r="AG1833" s="139"/>
      <c r="AH1833" s="139"/>
      <c r="AI1833" s="139"/>
      <c r="AJ1833" s="139"/>
      <c r="AK1833" s="139"/>
      <c r="AL1833" s="139"/>
      <c r="AM1833" s="139"/>
      <c r="AN1833" s="139"/>
      <c r="AO1833" s="139"/>
      <c r="AP1833" s="139"/>
      <c r="AQ1833" s="174"/>
      <c r="AR1833" s="222"/>
    </row>
    <row r="1835" spans="2:44" s="277" customFormat="1" ht="18" customHeight="1" x14ac:dyDescent="0.25">
      <c r="B1835" s="145"/>
      <c r="C1835" s="139"/>
      <c r="D1835" s="146"/>
      <c r="E1835" s="139"/>
      <c r="F1835" s="139"/>
      <c r="G1835" s="139"/>
      <c r="H1835" s="139"/>
      <c r="I1835" s="139"/>
      <c r="J1835" s="139"/>
      <c r="K1835" s="139"/>
      <c r="L1835" s="243"/>
      <c r="M1835" s="243"/>
      <c r="N1835" s="139"/>
      <c r="O1835" s="139"/>
      <c r="P1835" s="139"/>
      <c r="Q1835" s="147"/>
      <c r="R1835" s="139"/>
      <c r="S1835" s="139"/>
      <c r="T1835" s="139"/>
      <c r="U1835" s="139"/>
      <c r="V1835" s="139"/>
      <c r="W1835" s="139"/>
      <c r="X1835" s="146"/>
      <c r="Y1835" s="148"/>
      <c r="Z1835" s="145"/>
      <c r="AA1835" s="139"/>
      <c r="AB1835" s="149"/>
      <c r="AC1835" s="119"/>
      <c r="AD1835" s="139"/>
      <c r="AE1835" s="139"/>
      <c r="AF1835" s="139"/>
      <c r="AG1835" s="139"/>
      <c r="AH1835" s="139"/>
      <c r="AI1835" s="139"/>
      <c r="AJ1835" s="139"/>
      <c r="AK1835" s="139"/>
      <c r="AL1835" s="139"/>
      <c r="AM1835" s="139"/>
      <c r="AN1835" s="139"/>
      <c r="AO1835" s="139"/>
      <c r="AP1835" s="139"/>
      <c r="AQ1835" s="174"/>
      <c r="AR1835" s="222"/>
    </row>
    <row r="1840" spans="2:44" s="277" customFormat="1" ht="18" customHeight="1" x14ac:dyDescent="0.25">
      <c r="B1840" s="145"/>
      <c r="C1840" s="139"/>
      <c r="D1840" s="146"/>
      <c r="E1840" s="139"/>
      <c r="F1840" s="139"/>
      <c r="G1840" s="139"/>
      <c r="H1840" s="139"/>
      <c r="I1840" s="139"/>
      <c r="J1840" s="139"/>
      <c r="K1840" s="139"/>
      <c r="L1840" s="243"/>
      <c r="M1840" s="243"/>
      <c r="N1840" s="139"/>
      <c r="O1840" s="139"/>
      <c r="P1840" s="139"/>
      <c r="Q1840" s="147"/>
      <c r="R1840" s="139"/>
      <c r="S1840" s="139"/>
      <c r="T1840" s="139"/>
      <c r="U1840" s="139"/>
      <c r="V1840" s="139"/>
      <c r="W1840" s="139"/>
      <c r="X1840" s="146"/>
      <c r="Y1840" s="148"/>
      <c r="Z1840" s="145"/>
      <c r="AA1840" s="139"/>
      <c r="AB1840" s="149"/>
      <c r="AC1840" s="119"/>
      <c r="AD1840" s="139"/>
      <c r="AE1840" s="139"/>
      <c r="AF1840" s="139"/>
      <c r="AG1840" s="139"/>
      <c r="AH1840" s="139"/>
      <c r="AI1840" s="139"/>
      <c r="AJ1840" s="139"/>
      <c r="AK1840" s="139"/>
      <c r="AL1840" s="139"/>
      <c r="AM1840" s="139"/>
      <c r="AN1840" s="139"/>
      <c r="AO1840" s="139"/>
      <c r="AP1840" s="139"/>
      <c r="AQ1840" s="174"/>
      <c r="AR1840" s="222"/>
    </row>
    <row r="1841" spans="2:44" s="277" customFormat="1" ht="18" customHeight="1" x14ac:dyDescent="0.25">
      <c r="B1841" s="145"/>
      <c r="C1841" s="139"/>
      <c r="D1841" s="146"/>
      <c r="E1841" s="139"/>
      <c r="F1841" s="139"/>
      <c r="G1841" s="139"/>
      <c r="H1841" s="139"/>
      <c r="I1841" s="139"/>
      <c r="J1841" s="139"/>
      <c r="K1841" s="139"/>
      <c r="L1841" s="243"/>
      <c r="M1841" s="243"/>
      <c r="N1841" s="139"/>
      <c r="O1841" s="139"/>
      <c r="P1841" s="139"/>
      <c r="Q1841" s="147"/>
      <c r="R1841" s="139"/>
      <c r="S1841" s="139"/>
      <c r="T1841" s="139"/>
      <c r="U1841" s="139"/>
      <c r="V1841" s="139"/>
      <c r="W1841" s="139"/>
      <c r="X1841" s="146"/>
      <c r="Y1841" s="148"/>
      <c r="Z1841" s="145"/>
      <c r="AA1841" s="139"/>
      <c r="AB1841" s="149"/>
      <c r="AC1841" s="119"/>
      <c r="AD1841" s="139"/>
      <c r="AE1841" s="139"/>
      <c r="AF1841" s="139"/>
      <c r="AG1841" s="139"/>
      <c r="AH1841" s="139"/>
      <c r="AI1841" s="139"/>
      <c r="AJ1841" s="139"/>
      <c r="AK1841" s="139"/>
      <c r="AL1841" s="139"/>
      <c r="AM1841" s="139"/>
      <c r="AN1841" s="139"/>
      <c r="AO1841" s="139"/>
      <c r="AP1841" s="139"/>
      <c r="AQ1841" s="174"/>
      <c r="AR1841" s="222"/>
    </row>
    <row r="1846" spans="2:44" s="277" customFormat="1" ht="18" customHeight="1" x14ac:dyDescent="0.25">
      <c r="B1846" s="145"/>
      <c r="C1846" s="139"/>
      <c r="D1846" s="146"/>
      <c r="E1846" s="139"/>
      <c r="F1846" s="139"/>
      <c r="G1846" s="139"/>
      <c r="H1846" s="139"/>
      <c r="I1846" s="139"/>
      <c r="J1846" s="139"/>
      <c r="K1846" s="139"/>
      <c r="L1846" s="243"/>
      <c r="M1846" s="243"/>
      <c r="N1846" s="139"/>
      <c r="O1846" s="139"/>
      <c r="P1846" s="139"/>
      <c r="Q1846" s="147"/>
      <c r="R1846" s="139"/>
      <c r="S1846" s="139"/>
      <c r="T1846" s="139"/>
      <c r="U1846" s="139"/>
      <c r="V1846" s="139"/>
      <c r="W1846" s="139"/>
      <c r="X1846" s="146"/>
      <c r="Y1846" s="148"/>
      <c r="Z1846" s="145"/>
      <c r="AA1846" s="139"/>
      <c r="AB1846" s="149"/>
      <c r="AC1846" s="119"/>
      <c r="AD1846" s="139"/>
      <c r="AE1846" s="139"/>
      <c r="AF1846" s="139"/>
      <c r="AG1846" s="139"/>
      <c r="AH1846" s="139"/>
      <c r="AI1846" s="139"/>
      <c r="AJ1846" s="139"/>
      <c r="AK1846" s="139"/>
      <c r="AL1846" s="139"/>
      <c r="AM1846" s="139"/>
      <c r="AN1846" s="139"/>
      <c r="AO1846" s="139"/>
      <c r="AP1846" s="139"/>
      <c r="AQ1846" s="174"/>
      <c r="AR1846" s="222"/>
    </row>
    <row r="1850" spans="2:44" s="277" customFormat="1" ht="18" customHeight="1" x14ac:dyDescent="0.25">
      <c r="B1850" s="145"/>
      <c r="C1850" s="139"/>
      <c r="D1850" s="146"/>
      <c r="E1850" s="139"/>
      <c r="F1850" s="139"/>
      <c r="G1850" s="139"/>
      <c r="H1850" s="139"/>
      <c r="I1850" s="139"/>
      <c r="J1850" s="139"/>
      <c r="K1850" s="139"/>
      <c r="L1850" s="243"/>
      <c r="M1850" s="243"/>
      <c r="N1850" s="139"/>
      <c r="O1850" s="139"/>
      <c r="P1850" s="139"/>
      <c r="Q1850" s="147"/>
      <c r="R1850" s="139"/>
      <c r="S1850" s="139"/>
      <c r="T1850" s="139"/>
      <c r="U1850" s="139"/>
      <c r="V1850" s="139"/>
      <c r="W1850" s="139"/>
      <c r="X1850" s="146"/>
      <c r="Y1850" s="148"/>
      <c r="Z1850" s="145"/>
      <c r="AA1850" s="139"/>
      <c r="AB1850" s="149"/>
      <c r="AC1850" s="119"/>
      <c r="AD1850" s="139"/>
      <c r="AE1850" s="139"/>
      <c r="AF1850" s="139"/>
      <c r="AG1850" s="139"/>
      <c r="AH1850" s="139"/>
      <c r="AI1850" s="139"/>
      <c r="AJ1850" s="139"/>
      <c r="AK1850" s="139"/>
      <c r="AL1850" s="139"/>
      <c r="AM1850" s="139"/>
      <c r="AN1850" s="139"/>
      <c r="AO1850" s="139"/>
      <c r="AP1850" s="139"/>
      <c r="AQ1850" s="174"/>
      <c r="AR1850" s="222"/>
    </row>
    <row r="1860" spans="2:44" s="277" customFormat="1" ht="18" customHeight="1" x14ac:dyDescent="0.25">
      <c r="B1860" s="145"/>
      <c r="C1860" s="139"/>
      <c r="D1860" s="146"/>
      <c r="E1860" s="139"/>
      <c r="F1860" s="139"/>
      <c r="G1860" s="139"/>
      <c r="H1860" s="139"/>
      <c r="I1860" s="139"/>
      <c r="J1860" s="139"/>
      <c r="K1860" s="139"/>
      <c r="L1860" s="243"/>
      <c r="M1860" s="243"/>
      <c r="N1860" s="139"/>
      <c r="O1860" s="139"/>
      <c r="P1860" s="139"/>
      <c r="Q1860" s="147"/>
      <c r="R1860" s="139"/>
      <c r="S1860" s="139"/>
      <c r="T1860" s="139"/>
      <c r="U1860" s="139"/>
      <c r="V1860" s="139"/>
      <c r="W1860" s="139"/>
      <c r="X1860" s="146"/>
      <c r="Y1860" s="148"/>
      <c r="Z1860" s="145"/>
      <c r="AA1860" s="139"/>
      <c r="AB1860" s="149"/>
      <c r="AC1860" s="119"/>
      <c r="AD1860" s="139"/>
      <c r="AE1860" s="139"/>
      <c r="AF1860" s="139"/>
      <c r="AG1860" s="139"/>
      <c r="AH1860" s="139"/>
      <c r="AI1860" s="139"/>
      <c r="AJ1860" s="139"/>
      <c r="AK1860" s="139"/>
      <c r="AL1860" s="139"/>
      <c r="AM1860" s="139"/>
      <c r="AN1860" s="139"/>
      <c r="AO1860" s="139"/>
      <c r="AP1860" s="139"/>
      <c r="AQ1860" s="174"/>
      <c r="AR1860" s="222"/>
    </row>
    <row r="1865" spans="2:44" s="144" customFormat="1" ht="18" customHeight="1" x14ac:dyDescent="0.25">
      <c r="B1865" s="145"/>
      <c r="C1865" s="139"/>
      <c r="D1865" s="146"/>
      <c r="E1865" s="139"/>
      <c r="F1865" s="139"/>
      <c r="G1865" s="139"/>
      <c r="H1865" s="139"/>
      <c r="I1865" s="139"/>
      <c r="J1865" s="139"/>
      <c r="K1865" s="139"/>
      <c r="L1865" s="243"/>
      <c r="M1865" s="243"/>
      <c r="N1865" s="139"/>
      <c r="O1865" s="139"/>
      <c r="P1865" s="139"/>
      <c r="Q1865" s="147"/>
      <c r="R1865" s="139"/>
      <c r="S1865" s="139"/>
      <c r="T1865" s="139"/>
      <c r="U1865" s="139"/>
      <c r="V1865" s="139"/>
      <c r="W1865" s="139"/>
      <c r="X1865" s="146"/>
      <c r="Y1865" s="148"/>
      <c r="Z1865" s="145"/>
      <c r="AA1865" s="139"/>
      <c r="AB1865" s="149"/>
      <c r="AC1865" s="119"/>
      <c r="AD1865" s="139"/>
      <c r="AE1865" s="139"/>
      <c r="AF1865" s="139"/>
      <c r="AG1865" s="139"/>
      <c r="AH1865" s="139"/>
      <c r="AI1865" s="139"/>
      <c r="AJ1865" s="139"/>
      <c r="AK1865" s="139"/>
      <c r="AL1865" s="139"/>
      <c r="AM1865" s="139"/>
      <c r="AN1865" s="139"/>
      <c r="AO1865" s="139"/>
      <c r="AP1865" s="139"/>
      <c r="AQ1865" s="174"/>
      <c r="AR1865" s="222"/>
    </row>
    <row r="1867" spans="2:44" s="277" customFormat="1" ht="18" customHeight="1" x14ac:dyDescent="0.25">
      <c r="B1867" s="145"/>
      <c r="C1867" s="139"/>
      <c r="D1867" s="146"/>
      <c r="E1867" s="139"/>
      <c r="F1867" s="139"/>
      <c r="G1867" s="139"/>
      <c r="H1867" s="139"/>
      <c r="I1867" s="139"/>
      <c r="J1867" s="139"/>
      <c r="K1867" s="139"/>
      <c r="L1867" s="243"/>
      <c r="M1867" s="243"/>
      <c r="N1867" s="139"/>
      <c r="O1867" s="139"/>
      <c r="P1867" s="139"/>
      <c r="Q1867" s="147"/>
      <c r="R1867" s="139"/>
      <c r="S1867" s="139"/>
      <c r="T1867" s="139"/>
      <c r="U1867" s="139"/>
      <c r="V1867" s="139"/>
      <c r="W1867" s="139"/>
      <c r="X1867" s="146"/>
      <c r="Y1867" s="148"/>
      <c r="Z1867" s="145"/>
      <c r="AA1867" s="139"/>
      <c r="AB1867" s="149"/>
      <c r="AC1867" s="119"/>
      <c r="AD1867" s="139"/>
      <c r="AE1867" s="139"/>
      <c r="AF1867" s="139"/>
      <c r="AG1867" s="139"/>
      <c r="AH1867" s="139"/>
      <c r="AI1867" s="139"/>
      <c r="AJ1867" s="139"/>
      <c r="AK1867" s="139"/>
      <c r="AL1867" s="139"/>
      <c r="AM1867" s="139"/>
      <c r="AN1867" s="139"/>
      <c r="AO1867" s="139"/>
      <c r="AP1867" s="139"/>
      <c r="AQ1867" s="174"/>
      <c r="AR1867" s="222"/>
    </row>
    <row r="1878" spans="2:44" s="277" customFormat="1" ht="18" customHeight="1" x14ac:dyDescent="0.25">
      <c r="B1878" s="145"/>
      <c r="C1878" s="139"/>
      <c r="D1878" s="146"/>
      <c r="E1878" s="139"/>
      <c r="F1878" s="139"/>
      <c r="G1878" s="139"/>
      <c r="H1878" s="139"/>
      <c r="I1878" s="139"/>
      <c r="J1878" s="139"/>
      <c r="K1878" s="139"/>
      <c r="L1878" s="243"/>
      <c r="M1878" s="243"/>
      <c r="N1878" s="139"/>
      <c r="O1878" s="139"/>
      <c r="P1878" s="139"/>
      <c r="Q1878" s="147"/>
      <c r="R1878" s="139"/>
      <c r="S1878" s="139"/>
      <c r="T1878" s="139"/>
      <c r="U1878" s="139"/>
      <c r="V1878" s="139"/>
      <c r="W1878" s="139"/>
      <c r="X1878" s="146"/>
      <c r="Y1878" s="148"/>
      <c r="Z1878" s="145"/>
      <c r="AA1878" s="139"/>
      <c r="AB1878" s="149"/>
      <c r="AC1878" s="119"/>
      <c r="AD1878" s="139"/>
      <c r="AE1878" s="139"/>
      <c r="AF1878" s="139"/>
      <c r="AG1878" s="139"/>
      <c r="AH1878" s="139"/>
      <c r="AI1878" s="139"/>
      <c r="AJ1878" s="139"/>
      <c r="AK1878" s="139"/>
      <c r="AL1878" s="139"/>
      <c r="AM1878" s="139"/>
      <c r="AN1878" s="139"/>
      <c r="AO1878" s="139"/>
      <c r="AP1878" s="139"/>
      <c r="AQ1878" s="174"/>
      <c r="AR1878" s="222"/>
    </row>
    <row r="1883" spans="2:44" s="277" customFormat="1" ht="18" customHeight="1" x14ac:dyDescent="0.25">
      <c r="B1883" s="145"/>
      <c r="C1883" s="139"/>
      <c r="D1883" s="146"/>
      <c r="E1883" s="139"/>
      <c r="F1883" s="139"/>
      <c r="G1883" s="139"/>
      <c r="H1883" s="139"/>
      <c r="I1883" s="139"/>
      <c r="J1883" s="139"/>
      <c r="K1883" s="139"/>
      <c r="L1883" s="243"/>
      <c r="M1883" s="243"/>
      <c r="N1883" s="139"/>
      <c r="O1883" s="139"/>
      <c r="P1883" s="139"/>
      <c r="Q1883" s="147"/>
      <c r="R1883" s="139"/>
      <c r="S1883" s="139"/>
      <c r="T1883" s="139"/>
      <c r="U1883" s="139"/>
      <c r="V1883" s="139"/>
      <c r="W1883" s="139"/>
      <c r="X1883" s="146"/>
      <c r="Y1883" s="148"/>
      <c r="Z1883" s="145"/>
      <c r="AA1883" s="139"/>
      <c r="AB1883" s="149"/>
      <c r="AC1883" s="119"/>
      <c r="AD1883" s="139"/>
      <c r="AE1883" s="139"/>
      <c r="AF1883" s="139"/>
      <c r="AG1883" s="139"/>
      <c r="AH1883" s="139"/>
      <c r="AI1883" s="139"/>
      <c r="AJ1883" s="139"/>
      <c r="AK1883" s="139"/>
      <c r="AL1883" s="139"/>
      <c r="AM1883" s="139"/>
      <c r="AN1883" s="139"/>
      <c r="AO1883" s="139"/>
      <c r="AP1883" s="139"/>
      <c r="AQ1883" s="174"/>
      <c r="AR1883" s="222"/>
    </row>
    <row r="1955" spans="2:44" s="277" customFormat="1" ht="18" customHeight="1" x14ac:dyDescent="0.25">
      <c r="B1955" s="145"/>
      <c r="C1955" s="139"/>
      <c r="D1955" s="146"/>
      <c r="E1955" s="139"/>
      <c r="F1955" s="139"/>
      <c r="G1955" s="139"/>
      <c r="H1955" s="139"/>
      <c r="I1955" s="139"/>
      <c r="J1955" s="139"/>
      <c r="K1955" s="139"/>
      <c r="L1955" s="243"/>
      <c r="M1955" s="243"/>
      <c r="N1955" s="139"/>
      <c r="O1955" s="139"/>
      <c r="P1955" s="139"/>
      <c r="Q1955" s="147"/>
      <c r="R1955" s="139"/>
      <c r="S1955" s="139"/>
      <c r="T1955" s="139"/>
      <c r="U1955" s="139"/>
      <c r="V1955" s="139"/>
      <c r="W1955" s="139"/>
      <c r="X1955" s="146"/>
      <c r="Y1955" s="148"/>
      <c r="Z1955" s="145"/>
      <c r="AA1955" s="139"/>
      <c r="AB1955" s="149"/>
      <c r="AC1955" s="119"/>
      <c r="AD1955" s="139"/>
      <c r="AE1955" s="139"/>
      <c r="AF1955" s="139"/>
      <c r="AG1955" s="139"/>
      <c r="AH1955" s="139"/>
      <c r="AI1955" s="139"/>
      <c r="AJ1955" s="139"/>
      <c r="AK1955" s="139"/>
      <c r="AL1955" s="139"/>
      <c r="AM1955" s="139"/>
      <c r="AN1955" s="139"/>
      <c r="AO1955" s="139"/>
      <c r="AP1955" s="139"/>
      <c r="AQ1955" s="174"/>
      <c r="AR1955" s="222"/>
    </row>
    <row r="1958" spans="2:44" s="144" customFormat="1" ht="18" customHeight="1" x14ac:dyDescent="0.25">
      <c r="B1958" s="145"/>
      <c r="C1958" s="139"/>
      <c r="D1958" s="146"/>
      <c r="E1958" s="139"/>
      <c r="F1958" s="139"/>
      <c r="G1958" s="139"/>
      <c r="H1958" s="139"/>
      <c r="I1958" s="139"/>
      <c r="J1958" s="139"/>
      <c r="K1958" s="139"/>
      <c r="L1958" s="243"/>
      <c r="M1958" s="243"/>
      <c r="N1958" s="139"/>
      <c r="O1958" s="139"/>
      <c r="P1958" s="139"/>
      <c r="Q1958" s="147"/>
      <c r="R1958" s="139"/>
      <c r="S1958" s="139"/>
      <c r="T1958" s="139"/>
      <c r="U1958" s="139"/>
      <c r="V1958" s="139"/>
      <c r="W1958" s="139"/>
      <c r="X1958" s="146"/>
      <c r="Y1958" s="148"/>
      <c r="Z1958" s="145"/>
      <c r="AA1958" s="139"/>
      <c r="AB1958" s="149"/>
      <c r="AC1958" s="119"/>
      <c r="AD1958" s="139"/>
      <c r="AE1958" s="139"/>
      <c r="AF1958" s="139"/>
      <c r="AG1958" s="139"/>
      <c r="AH1958" s="139"/>
      <c r="AI1958" s="139"/>
      <c r="AJ1958" s="139"/>
      <c r="AK1958" s="139"/>
      <c r="AL1958" s="139"/>
      <c r="AM1958" s="139"/>
      <c r="AN1958" s="139"/>
      <c r="AO1958" s="139"/>
      <c r="AP1958" s="139"/>
      <c r="AQ1958" s="174"/>
      <c r="AR1958" s="222"/>
    </row>
    <row r="2004" spans="2:44" s="277" customFormat="1" ht="18" customHeight="1" x14ac:dyDescent="0.25">
      <c r="B2004" s="145"/>
      <c r="C2004" s="139"/>
      <c r="D2004" s="146"/>
      <c r="E2004" s="139"/>
      <c r="F2004" s="139"/>
      <c r="G2004" s="139"/>
      <c r="H2004" s="139"/>
      <c r="I2004" s="139"/>
      <c r="J2004" s="139"/>
      <c r="K2004" s="139"/>
      <c r="L2004" s="243"/>
      <c r="M2004" s="243"/>
      <c r="N2004" s="139"/>
      <c r="O2004" s="139"/>
      <c r="P2004" s="139"/>
      <c r="Q2004" s="147"/>
      <c r="R2004" s="139"/>
      <c r="S2004" s="139"/>
      <c r="T2004" s="139"/>
      <c r="U2004" s="139"/>
      <c r="V2004" s="139"/>
      <c r="W2004" s="139"/>
      <c r="X2004" s="146"/>
      <c r="Y2004" s="148"/>
      <c r="Z2004" s="145"/>
      <c r="AA2004" s="139"/>
      <c r="AB2004" s="149"/>
      <c r="AC2004" s="119"/>
      <c r="AD2004" s="139"/>
      <c r="AE2004" s="139"/>
      <c r="AF2004" s="139"/>
      <c r="AG2004" s="139"/>
      <c r="AH2004" s="139"/>
      <c r="AI2004" s="139"/>
      <c r="AJ2004" s="139"/>
      <c r="AK2004" s="139"/>
      <c r="AL2004" s="139"/>
      <c r="AM2004" s="139"/>
      <c r="AN2004" s="139"/>
      <c r="AO2004" s="139"/>
      <c r="AP2004" s="139"/>
      <c r="AQ2004" s="174"/>
      <c r="AR2004" s="222"/>
    </row>
    <row r="2011" spans="2:44" s="277" customFormat="1" ht="18" customHeight="1" x14ac:dyDescent="0.25">
      <c r="B2011" s="145"/>
      <c r="C2011" s="139"/>
      <c r="D2011" s="146"/>
      <c r="E2011" s="139"/>
      <c r="F2011" s="139"/>
      <c r="G2011" s="139"/>
      <c r="H2011" s="139"/>
      <c r="I2011" s="139"/>
      <c r="J2011" s="139"/>
      <c r="K2011" s="139"/>
      <c r="L2011" s="243"/>
      <c r="M2011" s="243"/>
      <c r="N2011" s="139"/>
      <c r="O2011" s="139"/>
      <c r="P2011" s="139"/>
      <c r="Q2011" s="147"/>
      <c r="R2011" s="139"/>
      <c r="S2011" s="139"/>
      <c r="T2011" s="139"/>
      <c r="U2011" s="139"/>
      <c r="V2011" s="139"/>
      <c r="W2011" s="139"/>
      <c r="X2011" s="146"/>
      <c r="Y2011" s="148"/>
      <c r="Z2011" s="145"/>
      <c r="AA2011" s="139"/>
      <c r="AB2011" s="149"/>
      <c r="AC2011" s="119"/>
      <c r="AD2011" s="139"/>
      <c r="AE2011" s="139"/>
      <c r="AF2011" s="139"/>
      <c r="AG2011" s="139"/>
      <c r="AH2011" s="139"/>
      <c r="AI2011" s="139"/>
      <c r="AJ2011" s="139"/>
      <c r="AK2011" s="139"/>
      <c r="AL2011" s="139"/>
      <c r="AM2011" s="139"/>
      <c r="AN2011" s="139"/>
      <c r="AO2011" s="139"/>
      <c r="AP2011" s="139"/>
      <c r="AQ2011" s="174"/>
      <c r="AR2011" s="222"/>
    </row>
    <row r="2047" spans="2:44" s="277" customFormat="1" ht="18" customHeight="1" x14ac:dyDescent="0.25">
      <c r="B2047" s="145"/>
      <c r="C2047" s="139"/>
      <c r="D2047" s="146"/>
      <c r="E2047" s="139"/>
      <c r="F2047" s="139"/>
      <c r="G2047" s="139"/>
      <c r="H2047" s="139"/>
      <c r="I2047" s="139"/>
      <c r="J2047" s="139"/>
      <c r="K2047" s="139"/>
      <c r="L2047" s="243"/>
      <c r="M2047" s="243"/>
      <c r="N2047" s="139"/>
      <c r="O2047" s="139"/>
      <c r="P2047" s="139"/>
      <c r="Q2047" s="147"/>
      <c r="R2047" s="139"/>
      <c r="S2047" s="139"/>
      <c r="T2047" s="139"/>
      <c r="U2047" s="139"/>
      <c r="V2047" s="139"/>
      <c r="W2047" s="139"/>
      <c r="X2047" s="146"/>
      <c r="Y2047" s="148"/>
      <c r="Z2047" s="145"/>
      <c r="AA2047" s="139"/>
      <c r="AB2047" s="149"/>
      <c r="AC2047" s="119"/>
      <c r="AD2047" s="139"/>
      <c r="AE2047" s="139"/>
      <c r="AF2047" s="139"/>
      <c r="AG2047" s="139"/>
      <c r="AH2047" s="139"/>
      <c r="AI2047" s="139"/>
      <c r="AJ2047" s="139"/>
      <c r="AK2047" s="139"/>
      <c r="AL2047" s="139"/>
      <c r="AM2047" s="139"/>
      <c r="AN2047" s="139"/>
      <c r="AO2047" s="139"/>
      <c r="AP2047" s="139"/>
      <c r="AQ2047" s="174"/>
      <c r="AR2047" s="222"/>
    </row>
    <row r="2068" spans="2:44" s="277" customFormat="1" ht="18" customHeight="1" x14ac:dyDescent="0.25">
      <c r="B2068" s="145"/>
      <c r="C2068" s="139"/>
      <c r="D2068" s="146"/>
      <c r="E2068" s="139"/>
      <c r="F2068" s="139"/>
      <c r="G2068" s="139"/>
      <c r="H2068" s="139"/>
      <c r="I2068" s="139"/>
      <c r="J2068" s="139"/>
      <c r="K2068" s="139"/>
      <c r="L2068" s="243"/>
      <c r="M2068" s="243"/>
      <c r="N2068" s="139"/>
      <c r="O2068" s="139"/>
      <c r="P2068" s="139"/>
      <c r="Q2068" s="147"/>
      <c r="R2068" s="139"/>
      <c r="S2068" s="139"/>
      <c r="T2068" s="139"/>
      <c r="U2068" s="139"/>
      <c r="V2068" s="139"/>
      <c r="W2068" s="139"/>
      <c r="X2068" s="146"/>
      <c r="Y2068" s="148"/>
      <c r="Z2068" s="145"/>
      <c r="AA2068" s="139"/>
      <c r="AB2068" s="149"/>
      <c r="AC2068" s="119"/>
      <c r="AD2068" s="139"/>
      <c r="AE2068" s="139"/>
      <c r="AF2068" s="139"/>
      <c r="AG2068" s="139"/>
      <c r="AH2068" s="139"/>
      <c r="AI2068" s="139"/>
      <c r="AJ2068" s="139"/>
      <c r="AK2068" s="139"/>
      <c r="AL2068" s="139"/>
      <c r="AM2068" s="139"/>
      <c r="AN2068" s="139"/>
      <c r="AO2068" s="139"/>
      <c r="AP2068" s="139"/>
      <c r="AQ2068" s="174"/>
      <c r="AR2068" s="222"/>
    </row>
    <row r="2083" spans="2:44" s="277" customFormat="1" ht="18" customHeight="1" x14ac:dyDescent="0.25">
      <c r="B2083" s="145"/>
      <c r="C2083" s="139"/>
      <c r="D2083" s="146"/>
      <c r="E2083" s="139"/>
      <c r="F2083" s="139"/>
      <c r="G2083" s="139"/>
      <c r="H2083" s="139"/>
      <c r="I2083" s="139"/>
      <c r="J2083" s="139"/>
      <c r="K2083" s="139"/>
      <c r="L2083" s="243"/>
      <c r="M2083" s="243"/>
      <c r="N2083" s="139"/>
      <c r="O2083" s="139"/>
      <c r="P2083" s="139"/>
      <c r="Q2083" s="147"/>
      <c r="R2083" s="139"/>
      <c r="S2083" s="139"/>
      <c r="T2083" s="139"/>
      <c r="U2083" s="139"/>
      <c r="V2083" s="139"/>
      <c r="W2083" s="139"/>
      <c r="X2083" s="146"/>
      <c r="Y2083" s="148"/>
      <c r="Z2083" s="145"/>
      <c r="AA2083" s="139"/>
      <c r="AB2083" s="149"/>
      <c r="AC2083" s="119"/>
      <c r="AD2083" s="139"/>
      <c r="AE2083" s="139"/>
      <c r="AF2083" s="139"/>
      <c r="AG2083" s="139"/>
      <c r="AH2083" s="139"/>
      <c r="AI2083" s="139"/>
      <c r="AJ2083" s="139"/>
      <c r="AK2083" s="139"/>
      <c r="AL2083" s="139"/>
      <c r="AM2083" s="139"/>
      <c r="AN2083" s="139"/>
      <c r="AO2083" s="139"/>
      <c r="AP2083" s="139"/>
      <c r="AQ2083" s="174"/>
      <c r="AR2083" s="222"/>
    </row>
    <row r="2097" spans="2:44" s="277" customFormat="1" ht="18" customHeight="1" x14ac:dyDescent="0.25">
      <c r="B2097" s="145"/>
      <c r="C2097" s="139"/>
      <c r="D2097" s="146"/>
      <c r="E2097" s="139"/>
      <c r="F2097" s="139"/>
      <c r="G2097" s="139"/>
      <c r="H2097" s="139"/>
      <c r="I2097" s="139"/>
      <c r="J2097" s="139"/>
      <c r="K2097" s="139"/>
      <c r="L2097" s="243"/>
      <c r="M2097" s="243"/>
      <c r="N2097" s="139"/>
      <c r="O2097" s="139"/>
      <c r="P2097" s="139"/>
      <c r="Q2097" s="147"/>
      <c r="R2097" s="139"/>
      <c r="S2097" s="139"/>
      <c r="T2097" s="139"/>
      <c r="U2097" s="139"/>
      <c r="V2097" s="139"/>
      <c r="W2097" s="139"/>
      <c r="X2097" s="146"/>
      <c r="Y2097" s="148"/>
      <c r="Z2097" s="145"/>
      <c r="AA2097" s="139"/>
      <c r="AB2097" s="149"/>
      <c r="AC2097" s="119"/>
      <c r="AD2097" s="139"/>
      <c r="AE2097" s="139"/>
      <c r="AF2097" s="139"/>
      <c r="AG2097" s="139"/>
      <c r="AH2097" s="139"/>
      <c r="AI2097" s="139"/>
      <c r="AJ2097" s="139"/>
      <c r="AK2097" s="139"/>
      <c r="AL2097" s="139"/>
      <c r="AM2097" s="139"/>
      <c r="AN2097" s="139"/>
      <c r="AO2097" s="139"/>
      <c r="AP2097" s="139"/>
      <c r="AQ2097" s="174"/>
      <c r="AR2097" s="222"/>
    </row>
    <row r="2155" spans="2:44" s="277" customFormat="1" ht="18" customHeight="1" x14ac:dyDescent="0.25">
      <c r="B2155" s="145"/>
      <c r="C2155" s="139"/>
      <c r="D2155" s="146"/>
      <c r="E2155" s="139"/>
      <c r="F2155" s="139"/>
      <c r="G2155" s="139"/>
      <c r="H2155" s="139"/>
      <c r="I2155" s="139"/>
      <c r="J2155" s="139"/>
      <c r="K2155" s="139"/>
      <c r="L2155" s="243"/>
      <c r="M2155" s="243"/>
      <c r="N2155" s="139"/>
      <c r="O2155" s="139"/>
      <c r="P2155" s="139"/>
      <c r="Q2155" s="147"/>
      <c r="R2155" s="139"/>
      <c r="S2155" s="139"/>
      <c r="T2155" s="139"/>
      <c r="U2155" s="139"/>
      <c r="V2155" s="139"/>
      <c r="W2155" s="139"/>
      <c r="X2155" s="146"/>
      <c r="Y2155" s="148"/>
      <c r="Z2155" s="145"/>
      <c r="AA2155" s="139"/>
      <c r="AB2155" s="149"/>
      <c r="AC2155" s="119"/>
      <c r="AD2155" s="139"/>
      <c r="AE2155" s="139"/>
      <c r="AF2155" s="139"/>
      <c r="AG2155" s="139"/>
      <c r="AH2155" s="139"/>
      <c r="AI2155" s="139"/>
      <c r="AJ2155" s="139"/>
      <c r="AK2155" s="139"/>
      <c r="AL2155" s="139"/>
      <c r="AM2155" s="139"/>
      <c r="AN2155" s="139"/>
      <c r="AO2155" s="139"/>
      <c r="AP2155" s="139"/>
      <c r="AQ2155" s="174"/>
      <c r="AR2155" s="222"/>
    </row>
    <row r="2228" spans="2:44" s="277" customFormat="1" ht="18" customHeight="1" x14ac:dyDescent="0.25">
      <c r="B2228" s="145"/>
      <c r="C2228" s="139"/>
      <c r="D2228" s="146"/>
      <c r="E2228" s="139"/>
      <c r="F2228" s="139"/>
      <c r="G2228" s="139"/>
      <c r="H2228" s="139"/>
      <c r="I2228" s="139"/>
      <c r="J2228" s="139"/>
      <c r="K2228" s="139"/>
      <c r="L2228" s="243"/>
      <c r="M2228" s="243"/>
      <c r="N2228" s="139"/>
      <c r="O2228" s="139"/>
      <c r="P2228" s="139"/>
      <c r="Q2228" s="147"/>
      <c r="R2228" s="139"/>
      <c r="S2228" s="139"/>
      <c r="T2228" s="139"/>
      <c r="U2228" s="139"/>
      <c r="V2228" s="139"/>
      <c r="W2228" s="139"/>
      <c r="X2228" s="146"/>
      <c r="Y2228" s="148"/>
      <c r="Z2228" s="145"/>
      <c r="AA2228" s="139"/>
      <c r="AB2228" s="149"/>
      <c r="AC2228" s="119"/>
      <c r="AD2228" s="139"/>
      <c r="AE2228" s="139"/>
      <c r="AF2228" s="139"/>
      <c r="AG2228" s="139"/>
      <c r="AH2228" s="139"/>
      <c r="AI2228" s="139"/>
      <c r="AJ2228" s="139"/>
      <c r="AK2228" s="139"/>
      <c r="AL2228" s="139"/>
      <c r="AM2228" s="139"/>
      <c r="AN2228" s="139"/>
      <c r="AO2228" s="139"/>
      <c r="AP2228" s="139"/>
      <c r="AQ2228" s="174"/>
      <c r="AR2228" s="222"/>
    </row>
    <row r="2232" spans="2:44" s="277" customFormat="1" ht="18" customHeight="1" x14ac:dyDescent="0.25">
      <c r="B2232" s="145"/>
      <c r="C2232" s="139"/>
      <c r="D2232" s="146"/>
      <c r="E2232" s="139"/>
      <c r="F2232" s="139"/>
      <c r="G2232" s="139"/>
      <c r="H2232" s="139"/>
      <c r="I2232" s="139"/>
      <c r="J2232" s="139"/>
      <c r="K2232" s="139"/>
      <c r="L2232" s="243"/>
      <c r="M2232" s="243"/>
      <c r="N2232" s="139"/>
      <c r="O2232" s="139"/>
      <c r="P2232" s="139"/>
      <c r="Q2232" s="147"/>
      <c r="R2232" s="139"/>
      <c r="S2232" s="139"/>
      <c r="T2232" s="139"/>
      <c r="U2232" s="139"/>
      <c r="V2232" s="139"/>
      <c r="W2232" s="139"/>
      <c r="X2232" s="146"/>
      <c r="Y2232" s="148"/>
      <c r="Z2232" s="145"/>
      <c r="AA2232" s="139"/>
      <c r="AB2232" s="149"/>
      <c r="AC2232" s="119"/>
      <c r="AD2232" s="139"/>
      <c r="AE2232" s="139"/>
      <c r="AF2232" s="139"/>
      <c r="AG2232" s="139"/>
      <c r="AH2232" s="139"/>
      <c r="AI2232" s="139"/>
      <c r="AJ2232" s="139"/>
      <c r="AK2232" s="139"/>
      <c r="AL2232" s="139"/>
      <c r="AM2232" s="139"/>
      <c r="AN2232" s="139"/>
      <c r="AO2232" s="139"/>
      <c r="AP2232" s="139"/>
      <c r="AQ2232" s="174"/>
      <c r="AR2232" s="222"/>
    </row>
    <row r="2233" spans="2:44" s="277" customFormat="1" ht="18" customHeight="1" x14ac:dyDescent="0.25">
      <c r="B2233" s="145"/>
      <c r="C2233" s="139"/>
      <c r="D2233" s="146"/>
      <c r="E2233" s="139"/>
      <c r="F2233" s="139"/>
      <c r="G2233" s="139"/>
      <c r="H2233" s="139"/>
      <c r="I2233" s="139"/>
      <c r="J2233" s="139"/>
      <c r="K2233" s="139"/>
      <c r="L2233" s="243"/>
      <c r="M2233" s="243"/>
      <c r="N2233" s="139"/>
      <c r="O2233" s="139"/>
      <c r="P2233" s="139"/>
      <c r="Q2233" s="147"/>
      <c r="R2233" s="139"/>
      <c r="S2233" s="139"/>
      <c r="T2233" s="139"/>
      <c r="U2233" s="139"/>
      <c r="V2233" s="139"/>
      <c r="W2233" s="139"/>
      <c r="X2233" s="146"/>
      <c r="Y2233" s="148"/>
      <c r="Z2233" s="145"/>
      <c r="AA2233" s="139"/>
      <c r="AB2233" s="149"/>
      <c r="AC2233" s="119"/>
      <c r="AD2233" s="139"/>
      <c r="AE2233" s="139"/>
      <c r="AF2233" s="139"/>
      <c r="AG2233" s="139"/>
      <c r="AH2233" s="139"/>
      <c r="AI2233" s="139"/>
      <c r="AJ2233" s="139"/>
      <c r="AK2233" s="139"/>
      <c r="AL2233" s="139"/>
      <c r="AM2233" s="139"/>
      <c r="AN2233" s="139"/>
      <c r="AO2233" s="139"/>
      <c r="AP2233" s="139"/>
      <c r="AQ2233" s="174"/>
      <c r="AR2233" s="222"/>
    </row>
    <row r="2235" spans="2:44" s="277" customFormat="1" ht="18" customHeight="1" x14ac:dyDescent="0.25">
      <c r="B2235" s="145"/>
      <c r="C2235" s="139"/>
      <c r="D2235" s="146"/>
      <c r="E2235" s="139"/>
      <c r="F2235" s="139"/>
      <c r="G2235" s="139"/>
      <c r="H2235" s="139"/>
      <c r="I2235" s="139"/>
      <c r="J2235" s="139"/>
      <c r="K2235" s="139"/>
      <c r="L2235" s="243"/>
      <c r="M2235" s="243"/>
      <c r="N2235" s="139"/>
      <c r="O2235" s="139"/>
      <c r="P2235" s="139"/>
      <c r="Q2235" s="147"/>
      <c r="R2235" s="139"/>
      <c r="S2235" s="139"/>
      <c r="T2235" s="139"/>
      <c r="U2235" s="139"/>
      <c r="V2235" s="139"/>
      <c r="W2235" s="139"/>
      <c r="X2235" s="146"/>
      <c r="Y2235" s="148"/>
      <c r="Z2235" s="145"/>
      <c r="AA2235" s="139"/>
      <c r="AB2235" s="149"/>
      <c r="AC2235" s="119"/>
      <c r="AD2235" s="139"/>
      <c r="AE2235" s="139"/>
      <c r="AF2235" s="139"/>
      <c r="AG2235" s="139"/>
      <c r="AH2235" s="139"/>
      <c r="AI2235" s="139"/>
      <c r="AJ2235" s="139"/>
      <c r="AK2235" s="139"/>
      <c r="AL2235" s="139"/>
      <c r="AM2235" s="139"/>
      <c r="AN2235" s="139"/>
      <c r="AO2235" s="139"/>
      <c r="AP2235" s="139"/>
      <c r="AQ2235" s="174"/>
      <c r="AR2235" s="222"/>
    </row>
    <row r="2249" spans="2:44" s="277" customFormat="1" ht="18" customHeight="1" x14ac:dyDescent="0.25">
      <c r="B2249" s="145"/>
      <c r="C2249" s="139"/>
      <c r="D2249" s="146"/>
      <c r="E2249" s="139"/>
      <c r="F2249" s="139"/>
      <c r="G2249" s="139"/>
      <c r="H2249" s="139"/>
      <c r="I2249" s="139"/>
      <c r="J2249" s="139"/>
      <c r="K2249" s="139"/>
      <c r="L2249" s="243"/>
      <c r="M2249" s="243"/>
      <c r="N2249" s="139"/>
      <c r="O2249" s="139"/>
      <c r="P2249" s="139"/>
      <c r="Q2249" s="147"/>
      <c r="R2249" s="139"/>
      <c r="S2249" s="139"/>
      <c r="T2249" s="139"/>
      <c r="U2249" s="139"/>
      <c r="V2249" s="139"/>
      <c r="W2249" s="139"/>
      <c r="X2249" s="146"/>
      <c r="Y2249" s="148"/>
      <c r="Z2249" s="145"/>
      <c r="AA2249" s="139"/>
      <c r="AB2249" s="149"/>
      <c r="AC2249" s="119"/>
      <c r="AD2249" s="139"/>
      <c r="AE2249" s="139"/>
      <c r="AF2249" s="139"/>
      <c r="AG2249" s="139"/>
      <c r="AH2249" s="139"/>
      <c r="AI2249" s="139"/>
      <c r="AJ2249" s="139"/>
      <c r="AK2249" s="139"/>
      <c r="AL2249" s="139"/>
      <c r="AM2249" s="139"/>
      <c r="AN2249" s="139"/>
      <c r="AO2249" s="139"/>
      <c r="AP2249" s="139"/>
      <c r="AQ2249" s="174"/>
      <c r="AR2249" s="222"/>
    </row>
    <row r="2265" spans="2:44" s="144" customFormat="1" ht="18" customHeight="1" x14ac:dyDescent="0.25">
      <c r="B2265" s="145"/>
      <c r="C2265" s="139"/>
      <c r="D2265" s="146"/>
      <c r="E2265" s="139"/>
      <c r="F2265" s="139"/>
      <c r="G2265" s="139"/>
      <c r="H2265" s="139"/>
      <c r="I2265" s="139"/>
      <c r="J2265" s="139"/>
      <c r="K2265" s="139"/>
      <c r="L2265" s="243"/>
      <c r="M2265" s="243"/>
      <c r="N2265" s="139"/>
      <c r="O2265" s="139"/>
      <c r="P2265" s="139"/>
      <c r="Q2265" s="147"/>
      <c r="R2265" s="139"/>
      <c r="S2265" s="139"/>
      <c r="T2265" s="139"/>
      <c r="U2265" s="139"/>
      <c r="V2265" s="139"/>
      <c r="W2265" s="139"/>
      <c r="X2265" s="146"/>
      <c r="Y2265" s="148"/>
      <c r="Z2265" s="145"/>
      <c r="AA2265" s="139"/>
      <c r="AB2265" s="149"/>
      <c r="AC2265" s="119"/>
      <c r="AD2265" s="139"/>
      <c r="AE2265" s="139"/>
      <c r="AF2265" s="139"/>
      <c r="AG2265" s="139"/>
      <c r="AH2265" s="139"/>
      <c r="AI2265" s="139"/>
      <c r="AJ2265" s="139"/>
      <c r="AK2265" s="139"/>
      <c r="AL2265" s="139"/>
      <c r="AM2265" s="139"/>
      <c r="AN2265" s="139"/>
      <c r="AO2265" s="139"/>
      <c r="AP2265" s="139"/>
      <c r="AQ2265" s="174"/>
      <c r="AR2265" s="222"/>
    </row>
    <row r="2279" spans="2:44" s="277" customFormat="1" ht="18" customHeight="1" x14ac:dyDescent="0.25">
      <c r="B2279" s="145"/>
      <c r="C2279" s="139"/>
      <c r="D2279" s="146"/>
      <c r="E2279" s="139"/>
      <c r="F2279" s="139"/>
      <c r="G2279" s="139"/>
      <c r="H2279" s="139"/>
      <c r="I2279" s="139"/>
      <c r="J2279" s="139"/>
      <c r="K2279" s="139"/>
      <c r="L2279" s="243"/>
      <c r="M2279" s="243"/>
      <c r="N2279" s="139"/>
      <c r="O2279" s="139"/>
      <c r="P2279" s="139"/>
      <c r="Q2279" s="147"/>
      <c r="R2279" s="139"/>
      <c r="S2279" s="139"/>
      <c r="T2279" s="139"/>
      <c r="U2279" s="139"/>
      <c r="V2279" s="139"/>
      <c r="W2279" s="139"/>
      <c r="X2279" s="146"/>
      <c r="Y2279" s="148"/>
      <c r="Z2279" s="145"/>
      <c r="AA2279" s="139"/>
      <c r="AB2279" s="149"/>
      <c r="AC2279" s="119"/>
      <c r="AD2279" s="139"/>
      <c r="AE2279" s="139"/>
      <c r="AF2279" s="139"/>
      <c r="AG2279" s="139"/>
      <c r="AH2279" s="139"/>
      <c r="AI2279" s="139"/>
      <c r="AJ2279" s="139"/>
      <c r="AK2279" s="139"/>
      <c r="AL2279" s="139"/>
      <c r="AM2279" s="139"/>
      <c r="AN2279" s="139"/>
      <c r="AO2279" s="139"/>
      <c r="AP2279" s="139"/>
      <c r="AQ2279" s="174"/>
      <c r="AR2279" s="222"/>
    </row>
    <row r="2295" spans="2:44" s="144" customFormat="1" ht="18" customHeight="1" x14ac:dyDescent="0.25">
      <c r="B2295" s="145"/>
      <c r="C2295" s="139"/>
      <c r="D2295" s="146"/>
      <c r="E2295" s="139"/>
      <c r="F2295" s="139"/>
      <c r="G2295" s="139"/>
      <c r="H2295" s="139"/>
      <c r="I2295" s="139"/>
      <c r="J2295" s="139"/>
      <c r="K2295" s="139"/>
      <c r="L2295" s="243"/>
      <c r="M2295" s="243"/>
      <c r="N2295" s="139"/>
      <c r="O2295" s="139"/>
      <c r="P2295" s="139"/>
      <c r="Q2295" s="147"/>
      <c r="R2295" s="139"/>
      <c r="S2295" s="139"/>
      <c r="T2295" s="139"/>
      <c r="U2295" s="139"/>
      <c r="V2295" s="139"/>
      <c r="W2295" s="139"/>
      <c r="X2295" s="146"/>
      <c r="Y2295" s="148"/>
      <c r="Z2295" s="145"/>
      <c r="AA2295" s="139"/>
      <c r="AB2295" s="149"/>
      <c r="AC2295" s="119"/>
      <c r="AD2295" s="139"/>
      <c r="AE2295" s="139"/>
      <c r="AF2295" s="139"/>
      <c r="AG2295" s="139"/>
      <c r="AH2295" s="139"/>
      <c r="AI2295" s="139"/>
      <c r="AJ2295" s="139"/>
      <c r="AK2295" s="139"/>
      <c r="AL2295" s="139"/>
      <c r="AM2295" s="139"/>
      <c r="AN2295" s="139"/>
      <c r="AO2295" s="139"/>
      <c r="AP2295" s="139"/>
      <c r="AQ2295" s="174"/>
      <c r="AR2295" s="222"/>
    </row>
    <row r="2296" spans="2:44" s="277" customFormat="1" ht="18" customHeight="1" x14ac:dyDescent="0.25">
      <c r="B2296" s="145"/>
      <c r="C2296" s="139"/>
      <c r="D2296" s="146"/>
      <c r="E2296" s="139"/>
      <c r="F2296" s="139"/>
      <c r="G2296" s="139"/>
      <c r="H2296" s="139"/>
      <c r="I2296" s="139"/>
      <c r="J2296" s="139"/>
      <c r="K2296" s="139"/>
      <c r="L2296" s="243"/>
      <c r="M2296" s="243"/>
      <c r="N2296" s="139"/>
      <c r="O2296" s="139"/>
      <c r="P2296" s="139"/>
      <c r="Q2296" s="147"/>
      <c r="R2296" s="139"/>
      <c r="S2296" s="139"/>
      <c r="T2296" s="139"/>
      <c r="U2296" s="139"/>
      <c r="V2296" s="139"/>
      <c r="W2296" s="139"/>
      <c r="X2296" s="146"/>
      <c r="Y2296" s="148"/>
      <c r="Z2296" s="145"/>
      <c r="AA2296" s="139"/>
      <c r="AB2296" s="149"/>
      <c r="AC2296" s="119"/>
      <c r="AD2296" s="139"/>
      <c r="AE2296" s="139"/>
      <c r="AF2296" s="139"/>
      <c r="AG2296" s="139"/>
      <c r="AH2296" s="139"/>
      <c r="AI2296" s="139"/>
      <c r="AJ2296" s="139"/>
      <c r="AK2296" s="139"/>
      <c r="AL2296" s="139"/>
      <c r="AM2296" s="139"/>
      <c r="AN2296" s="139"/>
      <c r="AO2296" s="139"/>
      <c r="AP2296" s="139"/>
      <c r="AQ2296" s="174"/>
      <c r="AR2296" s="222"/>
    </row>
    <row r="2303" spans="2:44" s="144" customFormat="1" ht="18" customHeight="1" x14ac:dyDescent="0.25">
      <c r="B2303" s="145"/>
      <c r="C2303" s="139"/>
      <c r="D2303" s="146"/>
      <c r="E2303" s="139"/>
      <c r="F2303" s="139"/>
      <c r="G2303" s="139"/>
      <c r="H2303" s="139"/>
      <c r="I2303" s="139"/>
      <c r="J2303" s="139"/>
      <c r="K2303" s="139"/>
      <c r="L2303" s="243"/>
      <c r="M2303" s="243"/>
      <c r="N2303" s="139"/>
      <c r="O2303" s="139"/>
      <c r="P2303" s="139"/>
      <c r="Q2303" s="147"/>
      <c r="R2303" s="139"/>
      <c r="S2303" s="139"/>
      <c r="T2303" s="139"/>
      <c r="U2303" s="139"/>
      <c r="V2303" s="139"/>
      <c r="W2303" s="139"/>
      <c r="X2303" s="146"/>
      <c r="Y2303" s="148"/>
      <c r="Z2303" s="145"/>
      <c r="AA2303" s="139"/>
      <c r="AB2303" s="149"/>
      <c r="AC2303" s="119"/>
      <c r="AD2303" s="139"/>
      <c r="AE2303" s="139"/>
      <c r="AF2303" s="139"/>
      <c r="AG2303" s="139"/>
      <c r="AH2303" s="139"/>
      <c r="AI2303" s="139"/>
      <c r="AJ2303" s="139"/>
      <c r="AK2303" s="139"/>
      <c r="AL2303" s="139"/>
      <c r="AM2303" s="139"/>
      <c r="AN2303" s="139"/>
      <c r="AO2303" s="139"/>
      <c r="AP2303" s="139"/>
      <c r="AQ2303" s="174"/>
      <c r="AR2303" s="222"/>
    </row>
    <row r="2310" spans="2:44" s="277" customFormat="1" ht="18" customHeight="1" x14ac:dyDescent="0.25">
      <c r="B2310" s="145"/>
      <c r="C2310" s="139"/>
      <c r="D2310" s="146"/>
      <c r="E2310" s="139"/>
      <c r="F2310" s="139"/>
      <c r="G2310" s="139"/>
      <c r="H2310" s="139"/>
      <c r="I2310" s="139"/>
      <c r="J2310" s="139"/>
      <c r="K2310" s="139"/>
      <c r="L2310" s="243"/>
      <c r="M2310" s="243"/>
      <c r="N2310" s="139"/>
      <c r="O2310" s="139"/>
      <c r="P2310" s="139"/>
      <c r="Q2310" s="147"/>
      <c r="R2310" s="139"/>
      <c r="S2310" s="139"/>
      <c r="T2310" s="139"/>
      <c r="U2310" s="139"/>
      <c r="V2310" s="139"/>
      <c r="W2310" s="139"/>
      <c r="X2310" s="146"/>
      <c r="Y2310" s="148"/>
      <c r="Z2310" s="145"/>
      <c r="AA2310" s="139"/>
      <c r="AB2310" s="149"/>
      <c r="AC2310" s="119"/>
      <c r="AD2310" s="139"/>
      <c r="AE2310" s="139"/>
      <c r="AF2310" s="139"/>
      <c r="AG2310" s="139"/>
      <c r="AH2310" s="139"/>
      <c r="AI2310" s="139"/>
      <c r="AJ2310" s="139"/>
      <c r="AK2310" s="139"/>
      <c r="AL2310" s="139"/>
      <c r="AM2310" s="139"/>
      <c r="AN2310" s="139"/>
      <c r="AO2310" s="139"/>
      <c r="AP2310" s="139"/>
      <c r="AQ2310" s="174"/>
      <c r="AR2310" s="222"/>
    </row>
    <row r="2314" spans="2:44" s="144" customFormat="1" ht="18" customHeight="1" x14ac:dyDescent="0.25">
      <c r="B2314" s="145"/>
      <c r="C2314" s="139"/>
      <c r="D2314" s="146"/>
      <c r="E2314" s="139"/>
      <c r="F2314" s="139"/>
      <c r="G2314" s="139"/>
      <c r="H2314" s="139"/>
      <c r="I2314" s="139"/>
      <c r="J2314" s="139"/>
      <c r="K2314" s="139"/>
      <c r="L2314" s="243"/>
      <c r="M2314" s="243"/>
      <c r="N2314" s="139"/>
      <c r="O2314" s="139"/>
      <c r="P2314" s="139"/>
      <c r="Q2314" s="147"/>
      <c r="R2314" s="139"/>
      <c r="S2314" s="139"/>
      <c r="T2314" s="139"/>
      <c r="U2314" s="139"/>
      <c r="V2314" s="139"/>
      <c r="W2314" s="139"/>
      <c r="X2314" s="146"/>
      <c r="Y2314" s="148"/>
      <c r="Z2314" s="145"/>
      <c r="AA2314" s="139"/>
      <c r="AB2314" s="149"/>
      <c r="AC2314" s="119"/>
      <c r="AD2314" s="139"/>
      <c r="AE2314" s="139"/>
      <c r="AF2314" s="139"/>
      <c r="AG2314" s="139"/>
      <c r="AH2314" s="139"/>
      <c r="AI2314" s="139"/>
      <c r="AJ2314" s="139"/>
      <c r="AK2314" s="139"/>
      <c r="AL2314" s="139"/>
      <c r="AM2314" s="139"/>
      <c r="AN2314" s="139"/>
      <c r="AO2314" s="139"/>
      <c r="AP2314" s="139"/>
      <c r="AQ2314" s="174"/>
      <c r="AR2314" s="222"/>
    </row>
    <row r="2320" spans="2:44" s="144" customFormat="1" ht="18" customHeight="1" x14ac:dyDescent="0.25">
      <c r="B2320" s="145"/>
      <c r="C2320" s="139"/>
      <c r="D2320" s="146"/>
      <c r="E2320" s="139"/>
      <c r="F2320" s="139"/>
      <c r="G2320" s="139"/>
      <c r="H2320" s="139"/>
      <c r="I2320" s="139"/>
      <c r="J2320" s="139"/>
      <c r="K2320" s="139"/>
      <c r="L2320" s="243"/>
      <c r="M2320" s="243"/>
      <c r="N2320" s="139"/>
      <c r="O2320" s="139"/>
      <c r="P2320" s="139"/>
      <c r="Q2320" s="147"/>
      <c r="R2320" s="139"/>
      <c r="S2320" s="139"/>
      <c r="T2320" s="139"/>
      <c r="U2320" s="139"/>
      <c r="V2320" s="139"/>
      <c r="W2320" s="139"/>
      <c r="X2320" s="146"/>
      <c r="Y2320" s="148"/>
      <c r="Z2320" s="145"/>
      <c r="AA2320" s="139"/>
      <c r="AB2320" s="149"/>
      <c r="AC2320" s="119"/>
      <c r="AD2320" s="139"/>
      <c r="AE2320" s="139"/>
      <c r="AF2320" s="139"/>
      <c r="AG2320" s="139"/>
      <c r="AH2320" s="139"/>
      <c r="AI2320" s="139"/>
      <c r="AJ2320" s="139"/>
      <c r="AK2320" s="139"/>
      <c r="AL2320" s="139"/>
      <c r="AM2320" s="139"/>
      <c r="AN2320" s="139"/>
      <c r="AO2320" s="139"/>
      <c r="AP2320" s="139"/>
      <c r="AQ2320" s="174"/>
      <c r="AR2320" s="222"/>
    </row>
    <row r="2321" spans="2:44" s="277" customFormat="1" ht="18" customHeight="1" x14ac:dyDescent="0.25">
      <c r="B2321" s="145"/>
      <c r="C2321" s="139"/>
      <c r="D2321" s="146"/>
      <c r="E2321" s="139"/>
      <c r="F2321" s="139"/>
      <c r="G2321" s="139"/>
      <c r="H2321" s="139"/>
      <c r="I2321" s="139"/>
      <c r="J2321" s="139"/>
      <c r="K2321" s="139"/>
      <c r="L2321" s="243"/>
      <c r="M2321" s="243"/>
      <c r="N2321" s="139"/>
      <c r="O2321" s="139"/>
      <c r="P2321" s="139"/>
      <c r="Q2321" s="147"/>
      <c r="R2321" s="139"/>
      <c r="S2321" s="139"/>
      <c r="T2321" s="139"/>
      <c r="U2321" s="139"/>
      <c r="V2321" s="139"/>
      <c r="W2321" s="139"/>
      <c r="X2321" s="146"/>
      <c r="Y2321" s="148"/>
      <c r="Z2321" s="145"/>
      <c r="AA2321" s="139"/>
      <c r="AB2321" s="149"/>
      <c r="AC2321" s="119"/>
      <c r="AD2321" s="139"/>
      <c r="AE2321" s="139"/>
      <c r="AF2321" s="139"/>
      <c r="AG2321" s="139"/>
      <c r="AH2321" s="139"/>
      <c r="AI2321" s="139"/>
      <c r="AJ2321" s="139"/>
      <c r="AK2321" s="139"/>
      <c r="AL2321" s="139"/>
      <c r="AM2321" s="139"/>
      <c r="AN2321" s="139"/>
      <c r="AO2321" s="139"/>
      <c r="AP2321" s="139"/>
      <c r="AQ2321" s="174"/>
      <c r="AR2321" s="222"/>
    </row>
    <row r="2325" spans="2:44" s="144" customFormat="1" ht="18" customHeight="1" x14ac:dyDescent="0.25">
      <c r="B2325" s="145"/>
      <c r="C2325" s="139"/>
      <c r="D2325" s="146"/>
      <c r="E2325" s="139"/>
      <c r="F2325" s="139"/>
      <c r="G2325" s="139"/>
      <c r="H2325" s="139"/>
      <c r="I2325" s="139"/>
      <c r="J2325" s="139"/>
      <c r="K2325" s="139"/>
      <c r="L2325" s="243"/>
      <c r="M2325" s="243"/>
      <c r="N2325" s="139"/>
      <c r="O2325" s="139"/>
      <c r="P2325" s="139"/>
      <c r="Q2325" s="147"/>
      <c r="R2325" s="139"/>
      <c r="S2325" s="139"/>
      <c r="T2325" s="139"/>
      <c r="U2325" s="139"/>
      <c r="V2325" s="139"/>
      <c r="W2325" s="139"/>
      <c r="X2325" s="146"/>
      <c r="Y2325" s="148"/>
      <c r="Z2325" s="145"/>
      <c r="AA2325" s="139"/>
      <c r="AB2325" s="149"/>
      <c r="AC2325" s="119"/>
      <c r="AD2325" s="139"/>
      <c r="AE2325" s="139"/>
      <c r="AF2325" s="139"/>
      <c r="AG2325" s="139"/>
      <c r="AH2325" s="139"/>
      <c r="AI2325" s="139"/>
      <c r="AJ2325" s="139"/>
      <c r="AK2325" s="139"/>
      <c r="AL2325" s="139"/>
      <c r="AM2325" s="139"/>
      <c r="AN2325" s="139"/>
      <c r="AO2325" s="139"/>
      <c r="AP2325" s="139"/>
      <c r="AQ2325" s="174"/>
      <c r="AR2325" s="222"/>
    </row>
    <row r="2338" spans="2:44" s="277" customFormat="1" ht="18" customHeight="1" x14ac:dyDescent="0.25">
      <c r="B2338" s="145"/>
      <c r="C2338" s="139"/>
      <c r="D2338" s="146"/>
      <c r="E2338" s="139"/>
      <c r="F2338" s="139"/>
      <c r="G2338" s="139"/>
      <c r="H2338" s="139"/>
      <c r="I2338" s="139"/>
      <c r="J2338" s="139"/>
      <c r="K2338" s="139"/>
      <c r="L2338" s="243"/>
      <c r="M2338" s="243"/>
      <c r="N2338" s="139"/>
      <c r="O2338" s="139"/>
      <c r="P2338" s="139"/>
      <c r="Q2338" s="147"/>
      <c r="R2338" s="139"/>
      <c r="S2338" s="139"/>
      <c r="T2338" s="139"/>
      <c r="U2338" s="139"/>
      <c r="V2338" s="139"/>
      <c r="W2338" s="139"/>
      <c r="X2338" s="146"/>
      <c r="Y2338" s="148"/>
      <c r="Z2338" s="145"/>
      <c r="AA2338" s="139"/>
      <c r="AB2338" s="149"/>
      <c r="AC2338" s="119"/>
      <c r="AD2338" s="139"/>
      <c r="AE2338" s="139"/>
      <c r="AF2338" s="139"/>
      <c r="AG2338" s="139"/>
      <c r="AH2338" s="139"/>
      <c r="AI2338" s="139"/>
      <c r="AJ2338" s="139"/>
      <c r="AK2338" s="139"/>
      <c r="AL2338" s="139"/>
      <c r="AM2338" s="139"/>
      <c r="AN2338" s="139"/>
      <c r="AO2338" s="139"/>
      <c r="AP2338" s="139"/>
      <c r="AQ2338" s="174"/>
      <c r="AR2338" s="222"/>
    </row>
    <row r="2348" spans="2:44" s="144" customFormat="1" ht="18" customHeight="1" x14ac:dyDescent="0.25">
      <c r="B2348" s="145"/>
      <c r="C2348" s="139"/>
      <c r="D2348" s="146"/>
      <c r="E2348" s="139"/>
      <c r="F2348" s="139"/>
      <c r="G2348" s="139"/>
      <c r="H2348" s="139"/>
      <c r="I2348" s="139"/>
      <c r="J2348" s="139"/>
      <c r="K2348" s="139"/>
      <c r="L2348" s="243"/>
      <c r="M2348" s="243"/>
      <c r="N2348" s="139"/>
      <c r="O2348" s="139"/>
      <c r="P2348" s="139"/>
      <c r="Q2348" s="147"/>
      <c r="R2348" s="139"/>
      <c r="S2348" s="139"/>
      <c r="T2348" s="139"/>
      <c r="U2348" s="139"/>
      <c r="V2348" s="139"/>
      <c r="W2348" s="139"/>
      <c r="X2348" s="146"/>
      <c r="Y2348" s="148"/>
      <c r="Z2348" s="145"/>
      <c r="AA2348" s="139"/>
      <c r="AB2348" s="149"/>
      <c r="AC2348" s="119"/>
      <c r="AD2348" s="139"/>
      <c r="AE2348" s="139"/>
      <c r="AF2348" s="139"/>
      <c r="AG2348" s="139"/>
      <c r="AH2348" s="139"/>
      <c r="AI2348" s="139"/>
      <c r="AJ2348" s="139"/>
      <c r="AK2348" s="139"/>
      <c r="AL2348" s="139"/>
      <c r="AM2348" s="139"/>
      <c r="AN2348" s="139"/>
      <c r="AO2348" s="139"/>
      <c r="AP2348" s="139"/>
      <c r="AQ2348" s="174"/>
      <c r="AR2348" s="222"/>
    </row>
    <row r="2350" spans="2:44" s="144" customFormat="1" ht="18" customHeight="1" x14ac:dyDescent="0.25">
      <c r="B2350" s="145"/>
      <c r="C2350" s="139"/>
      <c r="D2350" s="146"/>
      <c r="E2350" s="139"/>
      <c r="F2350" s="139"/>
      <c r="G2350" s="139"/>
      <c r="H2350" s="139"/>
      <c r="I2350" s="139"/>
      <c r="J2350" s="139"/>
      <c r="K2350" s="139"/>
      <c r="L2350" s="243"/>
      <c r="M2350" s="243"/>
      <c r="N2350" s="139"/>
      <c r="O2350" s="139"/>
      <c r="P2350" s="139"/>
      <c r="Q2350" s="147"/>
      <c r="R2350" s="139"/>
      <c r="S2350" s="139"/>
      <c r="T2350" s="139"/>
      <c r="U2350" s="139"/>
      <c r="V2350" s="139"/>
      <c r="W2350" s="139"/>
      <c r="X2350" s="146"/>
      <c r="Y2350" s="148"/>
      <c r="Z2350" s="145"/>
      <c r="AA2350" s="139"/>
      <c r="AB2350" s="149"/>
      <c r="AC2350" s="119"/>
      <c r="AD2350" s="139"/>
      <c r="AE2350" s="139"/>
      <c r="AF2350" s="139"/>
      <c r="AG2350" s="139"/>
      <c r="AH2350" s="139"/>
      <c r="AI2350" s="139"/>
      <c r="AJ2350" s="139"/>
      <c r="AK2350" s="139"/>
      <c r="AL2350" s="139"/>
      <c r="AM2350" s="139"/>
      <c r="AN2350" s="139"/>
      <c r="AO2350" s="139"/>
      <c r="AP2350" s="139"/>
      <c r="AQ2350" s="174"/>
      <c r="AR2350" s="222"/>
    </row>
    <row r="2351" spans="2:44" s="144" customFormat="1" ht="18" customHeight="1" x14ac:dyDescent="0.25">
      <c r="B2351" s="145"/>
      <c r="C2351" s="139"/>
      <c r="D2351" s="146"/>
      <c r="E2351" s="139"/>
      <c r="F2351" s="139"/>
      <c r="G2351" s="139"/>
      <c r="H2351" s="139"/>
      <c r="I2351" s="139"/>
      <c r="J2351" s="139"/>
      <c r="K2351" s="139"/>
      <c r="L2351" s="243"/>
      <c r="M2351" s="243"/>
      <c r="N2351" s="139"/>
      <c r="O2351" s="139"/>
      <c r="P2351" s="139"/>
      <c r="Q2351" s="147"/>
      <c r="R2351" s="139"/>
      <c r="S2351" s="139"/>
      <c r="T2351" s="139"/>
      <c r="U2351" s="139"/>
      <c r="V2351" s="139"/>
      <c r="W2351" s="139"/>
      <c r="X2351" s="146"/>
      <c r="Y2351" s="148"/>
      <c r="Z2351" s="145"/>
      <c r="AA2351" s="139"/>
      <c r="AB2351" s="149"/>
      <c r="AC2351" s="119"/>
      <c r="AD2351" s="139"/>
      <c r="AE2351" s="139"/>
      <c r="AF2351" s="139"/>
      <c r="AG2351" s="139"/>
      <c r="AH2351" s="139"/>
      <c r="AI2351" s="139"/>
      <c r="AJ2351" s="139"/>
      <c r="AK2351" s="139"/>
      <c r="AL2351" s="139"/>
      <c r="AM2351" s="139"/>
      <c r="AN2351" s="139"/>
      <c r="AO2351" s="139"/>
      <c r="AP2351" s="139"/>
      <c r="AQ2351" s="174"/>
      <c r="AR2351" s="222"/>
    </row>
    <row r="2354" spans="2:44" s="144" customFormat="1" ht="18" customHeight="1" x14ac:dyDescent="0.25">
      <c r="B2354" s="145"/>
      <c r="C2354" s="139"/>
      <c r="D2354" s="146"/>
      <c r="E2354" s="139"/>
      <c r="F2354" s="139"/>
      <c r="G2354" s="139"/>
      <c r="H2354" s="139"/>
      <c r="I2354" s="139"/>
      <c r="J2354" s="139"/>
      <c r="K2354" s="139"/>
      <c r="L2354" s="243"/>
      <c r="M2354" s="243"/>
      <c r="N2354" s="139"/>
      <c r="O2354" s="139"/>
      <c r="P2354" s="139"/>
      <c r="Q2354" s="147"/>
      <c r="R2354" s="139"/>
      <c r="S2354" s="139"/>
      <c r="T2354" s="139"/>
      <c r="U2354" s="139"/>
      <c r="V2354" s="139"/>
      <c r="W2354" s="139"/>
      <c r="X2354" s="146"/>
      <c r="Y2354" s="148"/>
      <c r="Z2354" s="145"/>
      <c r="AA2354" s="139"/>
      <c r="AB2354" s="149"/>
      <c r="AC2354" s="119"/>
      <c r="AD2354" s="139"/>
      <c r="AE2354" s="139"/>
      <c r="AF2354" s="139"/>
      <c r="AG2354" s="139"/>
      <c r="AH2354" s="139"/>
      <c r="AI2354" s="139"/>
      <c r="AJ2354" s="139"/>
      <c r="AK2354" s="139"/>
      <c r="AL2354" s="139"/>
      <c r="AM2354" s="139"/>
      <c r="AN2354" s="139"/>
      <c r="AO2354" s="139"/>
      <c r="AP2354" s="139"/>
      <c r="AQ2354" s="174"/>
      <c r="AR2354" s="222"/>
    </row>
    <row r="2356" spans="2:44" s="144" customFormat="1" ht="18" customHeight="1" x14ac:dyDescent="0.25">
      <c r="B2356" s="145"/>
      <c r="C2356" s="139"/>
      <c r="D2356" s="146"/>
      <c r="E2356" s="139"/>
      <c r="F2356" s="139"/>
      <c r="G2356" s="139"/>
      <c r="H2356" s="139"/>
      <c r="I2356" s="139"/>
      <c r="J2356" s="139"/>
      <c r="K2356" s="139"/>
      <c r="L2356" s="243"/>
      <c r="M2356" s="243"/>
      <c r="N2356" s="139"/>
      <c r="O2356" s="139"/>
      <c r="P2356" s="139"/>
      <c r="Q2356" s="147"/>
      <c r="R2356" s="139"/>
      <c r="S2356" s="139"/>
      <c r="T2356" s="139"/>
      <c r="U2356" s="139"/>
      <c r="V2356" s="139"/>
      <c r="W2356" s="139"/>
      <c r="X2356" s="146"/>
      <c r="Y2356" s="148"/>
      <c r="Z2356" s="145"/>
      <c r="AA2356" s="139"/>
      <c r="AB2356" s="149"/>
      <c r="AC2356" s="119"/>
      <c r="AD2356" s="139"/>
      <c r="AE2356" s="139"/>
      <c r="AF2356" s="139"/>
      <c r="AG2356" s="139"/>
      <c r="AH2356" s="139"/>
      <c r="AI2356" s="139"/>
      <c r="AJ2356" s="139"/>
      <c r="AK2356" s="139"/>
      <c r="AL2356" s="139"/>
      <c r="AM2356" s="139"/>
      <c r="AN2356" s="139"/>
      <c r="AO2356" s="139"/>
      <c r="AP2356" s="139"/>
      <c r="AQ2356" s="174"/>
      <c r="AR2356" s="222"/>
    </row>
    <row r="2358" spans="2:44" s="144" customFormat="1" ht="18" customHeight="1" x14ac:dyDescent="0.25">
      <c r="B2358" s="145"/>
      <c r="C2358" s="139"/>
      <c r="D2358" s="146"/>
      <c r="E2358" s="139"/>
      <c r="F2358" s="139"/>
      <c r="G2358" s="139"/>
      <c r="H2358" s="139"/>
      <c r="I2358" s="139"/>
      <c r="J2358" s="139"/>
      <c r="K2358" s="139"/>
      <c r="L2358" s="243"/>
      <c r="M2358" s="243"/>
      <c r="N2358" s="139"/>
      <c r="O2358" s="139"/>
      <c r="P2358" s="139"/>
      <c r="Q2358" s="147"/>
      <c r="R2358" s="139"/>
      <c r="S2358" s="139"/>
      <c r="T2358" s="139"/>
      <c r="U2358" s="139"/>
      <c r="V2358" s="139"/>
      <c r="W2358" s="139"/>
      <c r="X2358" s="146"/>
      <c r="Y2358" s="148"/>
      <c r="Z2358" s="145"/>
      <c r="AA2358" s="139"/>
      <c r="AB2358" s="149"/>
      <c r="AC2358" s="119"/>
      <c r="AD2358" s="139"/>
      <c r="AE2358" s="139"/>
      <c r="AF2358" s="139"/>
      <c r="AG2358" s="139"/>
      <c r="AH2358" s="139"/>
      <c r="AI2358" s="139"/>
      <c r="AJ2358" s="139"/>
      <c r="AK2358" s="139"/>
      <c r="AL2358" s="139"/>
      <c r="AM2358" s="139"/>
      <c r="AN2358" s="139"/>
      <c r="AO2358" s="139"/>
      <c r="AP2358" s="139"/>
      <c r="AQ2358" s="174"/>
      <c r="AR2358" s="222"/>
    </row>
    <row r="2364" spans="2:44" s="277" customFormat="1" ht="18" customHeight="1" x14ac:dyDescent="0.25">
      <c r="B2364" s="145"/>
      <c r="C2364" s="139"/>
      <c r="D2364" s="146"/>
      <c r="E2364" s="139"/>
      <c r="F2364" s="139"/>
      <c r="G2364" s="139"/>
      <c r="H2364" s="139"/>
      <c r="I2364" s="139"/>
      <c r="J2364" s="139"/>
      <c r="K2364" s="139"/>
      <c r="L2364" s="243"/>
      <c r="M2364" s="243"/>
      <c r="N2364" s="139"/>
      <c r="O2364" s="139"/>
      <c r="P2364" s="139"/>
      <c r="Q2364" s="147"/>
      <c r="R2364" s="139"/>
      <c r="S2364" s="139"/>
      <c r="T2364" s="139"/>
      <c r="U2364" s="139"/>
      <c r="V2364" s="139"/>
      <c r="W2364" s="139"/>
      <c r="X2364" s="146"/>
      <c r="Y2364" s="148"/>
      <c r="Z2364" s="145"/>
      <c r="AA2364" s="139"/>
      <c r="AB2364" s="149"/>
      <c r="AC2364" s="119"/>
      <c r="AD2364" s="139"/>
      <c r="AE2364" s="139"/>
      <c r="AF2364" s="139"/>
      <c r="AG2364" s="139"/>
      <c r="AH2364" s="139"/>
      <c r="AI2364" s="139"/>
      <c r="AJ2364" s="139"/>
      <c r="AK2364" s="139"/>
      <c r="AL2364" s="139"/>
      <c r="AM2364" s="139"/>
      <c r="AN2364" s="139"/>
      <c r="AO2364" s="139"/>
      <c r="AP2364" s="139"/>
      <c r="AQ2364" s="174"/>
      <c r="AR2364" s="222"/>
    </row>
    <row r="2373" spans="2:44" s="277" customFormat="1" ht="18" customHeight="1" x14ac:dyDescent="0.25">
      <c r="B2373" s="145"/>
      <c r="C2373" s="139"/>
      <c r="D2373" s="146"/>
      <c r="E2373" s="139"/>
      <c r="F2373" s="139"/>
      <c r="G2373" s="139"/>
      <c r="H2373" s="139"/>
      <c r="I2373" s="139"/>
      <c r="J2373" s="139"/>
      <c r="K2373" s="139"/>
      <c r="L2373" s="243"/>
      <c r="M2373" s="243"/>
      <c r="N2373" s="139"/>
      <c r="O2373" s="139"/>
      <c r="P2373" s="139"/>
      <c r="Q2373" s="147"/>
      <c r="R2373" s="139"/>
      <c r="S2373" s="139"/>
      <c r="T2373" s="139"/>
      <c r="U2373" s="139"/>
      <c r="V2373" s="139"/>
      <c r="W2373" s="139"/>
      <c r="X2373" s="146"/>
      <c r="Y2373" s="148"/>
      <c r="Z2373" s="145"/>
      <c r="AA2373" s="139"/>
      <c r="AB2373" s="149"/>
      <c r="AC2373" s="119"/>
      <c r="AD2373" s="139"/>
      <c r="AE2373" s="139"/>
      <c r="AF2373" s="139"/>
      <c r="AG2373" s="139"/>
      <c r="AH2373" s="139"/>
      <c r="AI2373" s="139"/>
      <c r="AJ2373" s="139"/>
      <c r="AK2373" s="139"/>
      <c r="AL2373" s="139"/>
      <c r="AM2373" s="139"/>
      <c r="AN2373" s="139"/>
      <c r="AO2373" s="139"/>
      <c r="AP2373" s="139"/>
      <c r="AQ2373" s="174"/>
      <c r="AR2373" s="222"/>
    </row>
    <row r="2374" spans="2:44" s="277" customFormat="1" ht="18" customHeight="1" x14ac:dyDescent="0.25">
      <c r="B2374" s="145"/>
      <c r="C2374" s="139"/>
      <c r="D2374" s="146"/>
      <c r="E2374" s="139"/>
      <c r="F2374" s="139"/>
      <c r="G2374" s="139"/>
      <c r="H2374" s="139"/>
      <c r="I2374" s="139"/>
      <c r="J2374" s="139"/>
      <c r="K2374" s="139"/>
      <c r="L2374" s="243"/>
      <c r="M2374" s="243"/>
      <c r="N2374" s="139"/>
      <c r="O2374" s="139"/>
      <c r="P2374" s="139"/>
      <c r="Q2374" s="147"/>
      <c r="R2374" s="139"/>
      <c r="S2374" s="139"/>
      <c r="T2374" s="139"/>
      <c r="U2374" s="139"/>
      <c r="V2374" s="139"/>
      <c r="W2374" s="139"/>
      <c r="X2374" s="146"/>
      <c r="Y2374" s="148"/>
      <c r="Z2374" s="145"/>
      <c r="AA2374" s="139"/>
      <c r="AB2374" s="149"/>
      <c r="AC2374" s="119"/>
      <c r="AD2374" s="139"/>
      <c r="AE2374" s="139"/>
      <c r="AF2374" s="139"/>
      <c r="AG2374" s="139"/>
      <c r="AH2374" s="139"/>
      <c r="AI2374" s="139"/>
      <c r="AJ2374" s="139"/>
      <c r="AK2374" s="139"/>
      <c r="AL2374" s="139"/>
      <c r="AM2374" s="139"/>
      <c r="AN2374" s="139"/>
      <c r="AO2374" s="139"/>
      <c r="AP2374" s="139"/>
      <c r="AQ2374" s="174"/>
      <c r="AR2374" s="222"/>
    </row>
    <row r="2377" spans="2:44" s="277" customFormat="1" ht="18" customHeight="1" x14ac:dyDescent="0.25">
      <c r="B2377" s="145"/>
      <c r="C2377" s="139"/>
      <c r="D2377" s="146"/>
      <c r="E2377" s="139"/>
      <c r="F2377" s="139"/>
      <c r="G2377" s="139"/>
      <c r="H2377" s="139"/>
      <c r="I2377" s="139"/>
      <c r="J2377" s="139"/>
      <c r="K2377" s="139"/>
      <c r="L2377" s="243"/>
      <c r="M2377" s="243"/>
      <c r="N2377" s="139"/>
      <c r="O2377" s="139"/>
      <c r="P2377" s="139"/>
      <c r="Q2377" s="147"/>
      <c r="R2377" s="139"/>
      <c r="S2377" s="139"/>
      <c r="T2377" s="139"/>
      <c r="U2377" s="139"/>
      <c r="V2377" s="139"/>
      <c r="W2377" s="139"/>
      <c r="X2377" s="146"/>
      <c r="Y2377" s="148"/>
      <c r="Z2377" s="145"/>
      <c r="AA2377" s="139"/>
      <c r="AB2377" s="149"/>
      <c r="AC2377" s="119"/>
      <c r="AD2377" s="139"/>
      <c r="AE2377" s="139"/>
      <c r="AF2377" s="139"/>
      <c r="AG2377" s="139"/>
      <c r="AH2377" s="139"/>
      <c r="AI2377" s="139"/>
      <c r="AJ2377" s="139"/>
      <c r="AK2377" s="139"/>
      <c r="AL2377" s="139"/>
      <c r="AM2377" s="139"/>
      <c r="AN2377" s="139"/>
      <c r="AO2377" s="139"/>
      <c r="AP2377" s="139"/>
      <c r="AQ2377" s="174"/>
      <c r="AR2377" s="222"/>
    </row>
    <row r="2378" spans="2:44" s="144" customFormat="1" ht="18" customHeight="1" x14ac:dyDescent="0.25">
      <c r="B2378" s="145"/>
      <c r="C2378" s="139"/>
      <c r="D2378" s="146"/>
      <c r="E2378" s="139"/>
      <c r="F2378" s="139"/>
      <c r="G2378" s="139"/>
      <c r="H2378" s="139"/>
      <c r="I2378" s="139"/>
      <c r="J2378" s="139"/>
      <c r="K2378" s="139"/>
      <c r="L2378" s="243"/>
      <c r="M2378" s="243"/>
      <c r="N2378" s="139"/>
      <c r="O2378" s="139"/>
      <c r="P2378" s="139"/>
      <c r="Q2378" s="147"/>
      <c r="R2378" s="139"/>
      <c r="S2378" s="139"/>
      <c r="T2378" s="139"/>
      <c r="U2378" s="139"/>
      <c r="V2378" s="139"/>
      <c r="W2378" s="139"/>
      <c r="X2378" s="146"/>
      <c r="Y2378" s="148"/>
      <c r="Z2378" s="145"/>
      <c r="AA2378" s="139"/>
      <c r="AB2378" s="149"/>
      <c r="AC2378" s="119"/>
      <c r="AD2378" s="139"/>
      <c r="AE2378" s="139"/>
      <c r="AF2378" s="139"/>
      <c r="AG2378" s="139"/>
      <c r="AH2378" s="139"/>
      <c r="AI2378" s="139"/>
      <c r="AJ2378" s="139"/>
      <c r="AK2378" s="139"/>
      <c r="AL2378" s="139"/>
      <c r="AM2378" s="139"/>
      <c r="AN2378" s="139"/>
      <c r="AO2378" s="139"/>
      <c r="AP2378" s="139"/>
      <c r="AQ2378" s="174"/>
      <c r="AR2378" s="222"/>
    </row>
    <row r="2379" spans="2:44" s="144" customFormat="1" ht="18" customHeight="1" x14ac:dyDescent="0.25">
      <c r="B2379" s="145"/>
      <c r="C2379" s="139"/>
      <c r="D2379" s="146"/>
      <c r="E2379" s="139"/>
      <c r="F2379" s="139"/>
      <c r="G2379" s="139"/>
      <c r="H2379" s="139"/>
      <c r="I2379" s="139"/>
      <c r="J2379" s="139"/>
      <c r="K2379" s="139"/>
      <c r="L2379" s="243"/>
      <c r="M2379" s="243"/>
      <c r="N2379" s="139"/>
      <c r="O2379" s="139"/>
      <c r="P2379" s="139"/>
      <c r="Q2379" s="147"/>
      <c r="R2379" s="139"/>
      <c r="S2379" s="139"/>
      <c r="T2379" s="139"/>
      <c r="U2379" s="139"/>
      <c r="V2379" s="139"/>
      <c r="W2379" s="139"/>
      <c r="X2379" s="146"/>
      <c r="Y2379" s="148"/>
      <c r="Z2379" s="145"/>
      <c r="AA2379" s="139"/>
      <c r="AB2379" s="149"/>
      <c r="AC2379" s="119"/>
      <c r="AD2379" s="139"/>
      <c r="AE2379" s="139"/>
      <c r="AF2379" s="139"/>
      <c r="AG2379" s="139"/>
      <c r="AH2379" s="139"/>
      <c r="AI2379" s="139"/>
      <c r="AJ2379" s="139"/>
      <c r="AK2379" s="139"/>
      <c r="AL2379" s="139"/>
      <c r="AM2379" s="139"/>
      <c r="AN2379" s="139"/>
      <c r="AO2379" s="139"/>
      <c r="AP2379" s="139"/>
      <c r="AQ2379" s="174"/>
      <c r="AR2379" s="222"/>
    </row>
    <row r="2380" spans="2:44" s="144" customFormat="1" ht="18" customHeight="1" x14ac:dyDescent="0.25">
      <c r="B2380" s="145"/>
      <c r="C2380" s="139"/>
      <c r="D2380" s="146"/>
      <c r="E2380" s="139"/>
      <c r="F2380" s="139"/>
      <c r="G2380" s="139"/>
      <c r="H2380" s="139"/>
      <c r="I2380" s="139"/>
      <c r="J2380" s="139"/>
      <c r="K2380" s="139"/>
      <c r="L2380" s="243"/>
      <c r="M2380" s="243"/>
      <c r="N2380" s="139"/>
      <c r="O2380" s="139"/>
      <c r="P2380" s="139"/>
      <c r="Q2380" s="147"/>
      <c r="R2380" s="139"/>
      <c r="S2380" s="139"/>
      <c r="T2380" s="139"/>
      <c r="U2380" s="139"/>
      <c r="V2380" s="139"/>
      <c r="W2380" s="139"/>
      <c r="X2380" s="146"/>
      <c r="Y2380" s="148"/>
      <c r="Z2380" s="145"/>
      <c r="AA2380" s="139"/>
      <c r="AB2380" s="149"/>
      <c r="AC2380" s="119"/>
      <c r="AD2380" s="139"/>
      <c r="AE2380" s="139"/>
      <c r="AF2380" s="139"/>
      <c r="AG2380" s="139"/>
      <c r="AH2380" s="139"/>
      <c r="AI2380" s="139"/>
      <c r="AJ2380" s="139"/>
      <c r="AK2380" s="139"/>
      <c r="AL2380" s="139"/>
      <c r="AM2380" s="139"/>
      <c r="AN2380" s="139"/>
      <c r="AO2380" s="139"/>
      <c r="AP2380" s="139"/>
      <c r="AQ2380" s="174"/>
      <c r="AR2380" s="222"/>
    </row>
    <row r="2381" spans="2:44" s="144" customFormat="1" ht="18" customHeight="1" x14ac:dyDescent="0.25">
      <c r="B2381" s="145"/>
      <c r="C2381" s="139"/>
      <c r="D2381" s="146"/>
      <c r="E2381" s="139"/>
      <c r="F2381" s="139"/>
      <c r="G2381" s="139"/>
      <c r="H2381" s="139"/>
      <c r="I2381" s="139"/>
      <c r="J2381" s="139"/>
      <c r="K2381" s="139"/>
      <c r="L2381" s="243"/>
      <c r="M2381" s="243"/>
      <c r="N2381" s="139"/>
      <c r="O2381" s="139"/>
      <c r="P2381" s="139"/>
      <c r="Q2381" s="147"/>
      <c r="R2381" s="139"/>
      <c r="S2381" s="139"/>
      <c r="T2381" s="139"/>
      <c r="U2381" s="139"/>
      <c r="V2381" s="139"/>
      <c r="W2381" s="139"/>
      <c r="X2381" s="146"/>
      <c r="Y2381" s="148"/>
      <c r="Z2381" s="145"/>
      <c r="AA2381" s="139"/>
      <c r="AB2381" s="149"/>
      <c r="AC2381" s="119"/>
      <c r="AD2381" s="139"/>
      <c r="AE2381" s="139"/>
      <c r="AF2381" s="139"/>
      <c r="AG2381" s="139"/>
      <c r="AH2381" s="139"/>
      <c r="AI2381" s="139"/>
      <c r="AJ2381" s="139"/>
      <c r="AK2381" s="139"/>
      <c r="AL2381" s="139"/>
      <c r="AM2381" s="139"/>
      <c r="AN2381" s="139"/>
      <c r="AO2381" s="139"/>
      <c r="AP2381" s="139"/>
      <c r="AQ2381" s="174"/>
      <c r="AR2381" s="222"/>
    </row>
    <row r="2382" spans="2:44" s="144" customFormat="1" ht="18" customHeight="1" x14ac:dyDescent="0.25">
      <c r="B2382" s="145"/>
      <c r="C2382" s="139"/>
      <c r="D2382" s="146"/>
      <c r="E2382" s="139"/>
      <c r="F2382" s="139"/>
      <c r="G2382" s="139"/>
      <c r="H2382" s="139"/>
      <c r="I2382" s="139"/>
      <c r="J2382" s="139"/>
      <c r="K2382" s="139"/>
      <c r="L2382" s="243"/>
      <c r="M2382" s="243"/>
      <c r="N2382" s="139"/>
      <c r="O2382" s="139"/>
      <c r="P2382" s="139"/>
      <c r="Q2382" s="147"/>
      <c r="R2382" s="139"/>
      <c r="S2382" s="139"/>
      <c r="T2382" s="139"/>
      <c r="U2382" s="139"/>
      <c r="V2382" s="139"/>
      <c r="W2382" s="139"/>
      <c r="X2382" s="146"/>
      <c r="Y2382" s="148"/>
      <c r="Z2382" s="145"/>
      <c r="AA2382" s="139"/>
      <c r="AB2382" s="149"/>
      <c r="AC2382" s="119"/>
      <c r="AD2382" s="139"/>
      <c r="AE2382" s="139"/>
      <c r="AF2382" s="139"/>
      <c r="AG2382" s="139"/>
      <c r="AH2382" s="139"/>
      <c r="AI2382" s="139"/>
      <c r="AJ2382" s="139"/>
      <c r="AK2382" s="139"/>
      <c r="AL2382" s="139"/>
      <c r="AM2382" s="139"/>
      <c r="AN2382" s="139"/>
      <c r="AO2382" s="139"/>
      <c r="AP2382" s="139"/>
      <c r="AQ2382" s="174"/>
      <c r="AR2382" s="222"/>
    </row>
    <row r="2383" spans="2:44" s="144" customFormat="1" ht="18" customHeight="1" x14ac:dyDescent="0.25">
      <c r="B2383" s="145"/>
      <c r="C2383" s="139"/>
      <c r="D2383" s="146"/>
      <c r="E2383" s="139"/>
      <c r="F2383" s="139"/>
      <c r="G2383" s="139"/>
      <c r="H2383" s="139"/>
      <c r="I2383" s="139"/>
      <c r="J2383" s="139"/>
      <c r="K2383" s="139"/>
      <c r="L2383" s="243"/>
      <c r="M2383" s="243"/>
      <c r="N2383" s="139"/>
      <c r="O2383" s="139"/>
      <c r="P2383" s="139"/>
      <c r="Q2383" s="147"/>
      <c r="R2383" s="139"/>
      <c r="S2383" s="139"/>
      <c r="T2383" s="139"/>
      <c r="U2383" s="139"/>
      <c r="V2383" s="139"/>
      <c r="W2383" s="139"/>
      <c r="X2383" s="146"/>
      <c r="Y2383" s="148"/>
      <c r="Z2383" s="145"/>
      <c r="AA2383" s="139"/>
      <c r="AB2383" s="149"/>
      <c r="AC2383" s="119"/>
      <c r="AD2383" s="139"/>
      <c r="AE2383" s="139"/>
      <c r="AF2383" s="139"/>
      <c r="AG2383" s="139"/>
      <c r="AH2383" s="139"/>
      <c r="AI2383" s="139"/>
      <c r="AJ2383" s="139"/>
      <c r="AK2383" s="139"/>
      <c r="AL2383" s="139"/>
      <c r="AM2383" s="139"/>
      <c r="AN2383" s="139"/>
      <c r="AO2383" s="139"/>
      <c r="AP2383" s="139"/>
      <c r="AQ2383" s="174"/>
      <c r="AR2383" s="222"/>
    </row>
    <row r="2384" spans="2:44" s="144" customFormat="1" ht="18" customHeight="1" x14ac:dyDescent="0.25">
      <c r="B2384" s="145"/>
      <c r="C2384" s="139"/>
      <c r="D2384" s="146"/>
      <c r="E2384" s="139"/>
      <c r="F2384" s="139"/>
      <c r="G2384" s="139"/>
      <c r="H2384" s="139"/>
      <c r="I2384" s="139"/>
      <c r="J2384" s="139"/>
      <c r="K2384" s="139"/>
      <c r="L2384" s="243"/>
      <c r="M2384" s="243"/>
      <c r="N2384" s="139"/>
      <c r="O2384" s="139"/>
      <c r="P2384" s="139"/>
      <c r="Q2384" s="147"/>
      <c r="R2384" s="139"/>
      <c r="S2384" s="139"/>
      <c r="T2384" s="139"/>
      <c r="U2384" s="139"/>
      <c r="V2384" s="139"/>
      <c r="W2384" s="139"/>
      <c r="X2384" s="146"/>
      <c r="Y2384" s="148"/>
      <c r="Z2384" s="145"/>
      <c r="AA2384" s="139"/>
      <c r="AB2384" s="149"/>
      <c r="AC2384" s="119"/>
      <c r="AD2384" s="139"/>
      <c r="AE2384" s="139"/>
      <c r="AF2384" s="139"/>
      <c r="AG2384" s="139"/>
      <c r="AH2384" s="139"/>
      <c r="AI2384" s="139"/>
      <c r="AJ2384" s="139"/>
      <c r="AK2384" s="139"/>
      <c r="AL2384" s="139"/>
      <c r="AM2384" s="139"/>
      <c r="AN2384" s="139"/>
      <c r="AO2384" s="139"/>
      <c r="AP2384" s="139"/>
      <c r="AQ2384" s="174"/>
      <c r="AR2384" s="222"/>
    </row>
    <row r="2387" spans="2:44" s="144" customFormat="1" ht="18" customHeight="1" x14ac:dyDescent="0.25">
      <c r="B2387" s="145"/>
      <c r="C2387" s="139"/>
      <c r="D2387" s="146"/>
      <c r="E2387" s="139"/>
      <c r="F2387" s="139"/>
      <c r="G2387" s="139"/>
      <c r="H2387" s="139"/>
      <c r="I2387" s="139"/>
      <c r="J2387" s="139"/>
      <c r="K2387" s="139"/>
      <c r="L2387" s="243"/>
      <c r="M2387" s="243"/>
      <c r="N2387" s="139"/>
      <c r="O2387" s="139"/>
      <c r="P2387" s="139"/>
      <c r="Q2387" s="147"/>
      <c r="R2387" s="139"/>
      <c r="S2387" s="139"/>
      <c r="T2387" s="139"/>
      <c r="U2387" s="139"/>
      <c r="V2387" s="139"/>
      <c r="W2387" s="139"/>
      <c r="X2387" s="146"/>
      <c r="Y2387" s="148"/>
      <c r="Z2387" s="145"/>
      <c r="AA2387" s="139"/>
      <c r="AB2387" s="149"/>
      <c r="AC2387" s="119"/>
      <c r="AD2387" s="139"/>
      <c r="AE2387" s="139"/>
      <c r="AF2387" s="139"/>
      <c r="AG2387" s="139"/>
      <c r="AH2387" s="139"/>
      <c r="AI2387" s="139"/>
      <c r="AJ2387" s="139"/>
      <c r="AK2387" s="139"/>
      <c r="AL2387" s="139"/>
      <c r="AM2387" s="139"/>
      <c r="AN2387" s="139"/>
      <c r="AO2387" s="139"/>
      <c r="AP2387" s="139"/>
      <c r="AQ2387" s="174"/>
      <c r="AR2387" s="222"/>
    </row>
    <row r="2394" spans="2:44" s="144" customFormat="1" ht="18" customHeight="1" x14ac:dyDescent="0.25">
      <c r="B2394" s="145"/>
      <c r="C2394" s="139"/>
      <c r="D2394" s="146"/>
      <c r="E2394" s="139"/>
      <c r="F2394" s="139"/>
      <c r="G2394" s="139"/>
      <c r="H2394" s="139"/>
      <c r="I2394" s="139"/>
      <c r="J2394" s="139"/>
      <c r="K2394" s="139"/>
      <c r="L2394" s="243"/>
      <c r="M2394" s="243"/>
      <c r="N2394" s="139"/>
      <c r="O2394" s="139"/>
      <c r="P2394" s="139"/>
      <c r="Q2394" s="147"/>
      <c r="R2394" s="139"/>
      <c r="S2394" s="139"/>
      <c r="T2394" s="139"/>
      <c r="U2394" s="139"/>
      <c r="V2394" s="139"/>
      <c r="W2394" s="139"/>
      <c r="X2394" s="146"/>
      <c r="Y2394" s="148"/>
      <c r="Z2394" s="145"/>
      <c r="AA2394" s="139"/>
      <c r="AB2394" s="149"/>
      <c r="AC2394" s="119"/>
      <c r="AD2394" s="139"/>
      <c r="AE2394" s="139"/>
      <c r="AF2394" s="139"/>
      <c r="AG2394" s="139"/>
      <c r="AH2394" s="139"/>
      <c r="AI2394" s="139"/>
      <c r="AJ2394" s="139"/>
      <c r="AK2394" s="139"/>
      <c r="AL2394" s="139"/>
      <c r="AM2394" s="139"/>
      <c r="AN2394" s="139"/>
      <c r="AO2394" s="139"/>
      <c r="AP2394" s="139"/>
      <c r="AQ2394" s="174"/>
      <c r="AR2394" s="222"/>
    </row>
    <row r="2395" spans="2:44" s="277" customFormat="1" ht="18" customHeight="1" x14ac:dyDescent="0.25">
      <c r="B2395" s="145"/>
      <c r="C2395" s="139"/>
      <c r="D2395" s="146"/>
      <c r="E2395" s="139"/>
      <c r="F2395" s="139"/>
      <c r="G2395" s="139"/>
      <c r="H2395" s="139"/>
      <c r="I2395" s="139"/>
      <c r="J2395" s="139"/>
      <c r="K2395" s="139"/>
      <c r="L2395" s="243"/>
      <c r="M2395" s="243"/>
      <c r="N2395" s="139"/>
      <c r="O2395" s="139"/>
      <c r="P2395" s="139"/>
      <c r="Q2395" s="147"/>
      <c r="R2395" s="139"/>
      <c r="S2395" s="139"/>
      <c r="T2395" s="139"/>
      <c r="U2395" s="139"/>
      <c r="V2395" s="139"/>
      <c r="W2395" s="139"/>
      <c r="X2395" s="146"/>
      <c r="Y2395" s="148"/>
      <c r="Z2395" s="145"/>
      <c r="AA2395" s="139"/>
      <c r="AB2395" s="149"/>
      <c r="AC2395" s="119"/>
      <c r="AD2395" s="139"/>
      <c r="AE2395" s="139"/>
      <c r="AF2395" s="139"/>
      <c r="AG2395" s="139"/>
      <c r="AH2395" s="139"/>
      <c r="AI2395" s="139"/>
      <c r="AJ2395" s="139"/>
      <c r="AK2395" s="139"/>
      <c r="AL2395" s="139"/>
      <c r="AM2395" s="139"/>
      <c r="AN2395" s="139"/>
      <c r="AO2395" s="139"/>
      <c r="AP2395" s="139"/>
      <c r="AQ2395" s="174"/>
      <c r="AR2395" s="222"/>
    </row>
    <row r="2396" spans="2:44" s="144" customFormat="1" ht="18" customHeight="1" x14ac:dyDescent="0.25">
      <c r="B2396" s="145"/>
      <c r="C2396" s="139"/>
      <c r="D2396" s="146"/>
      <c r="E2396" s="139"/>
      <c r="F2396" s="139"/>
      <c r="G2396" s="139"/>
      <c r="H2396" s="139"/>
      <c r="I2396" s="139"/>
      <c r="J2396" s="139"/>
      <c r="K2396" s="139"/>
      <c r="L2396" s="243"/>
      <c r="M2396" s="243"/>
      <c r="N2396" s="139"/>
      <c r="O2396" s="139"/>
      <c r="P2396" s="139"/>
      <c r="Q2396" s="147"/>
      <c r="R2396" s="139"/>
      <c r="S2396" s="139"/>
      <c r="T2396" s="139"/>
      <c r="U2396" s="139"/>
      <c r="V2396" s="139"/>
      <c r="W2396" s="139"/>
      <c r="X2396" s="146"/>
      <c r="Y2396" s="148"/>
      <c r="Z2396" s="145"/>
      <c r="AA2396" s="139"/>
      <c r="AB2396" s="149"/>
      <c r="AC2396" s="119"/>
      <c r="AD2396" s="139"/>
      <c r="AE2396" s="139"/>
      <c r="AF2396" s="139"/>
      <c r="AG2396" s="139"/>
      <c r="AH2396" s="139"/>
      <c r="AI2396" s="139"/>
      <c r="AJ2396" s="139"/>
      <c r="AK2396" s="139"/>
      <c r="AL2396" s="139"/>
      <c r="AM2396" s="139"/>
      <c r="AN2396" s="139"/>
      <c r="AO2396" s="139"/>
      <c r="AP2396" s="139"/>
      <c r="AQ2396" s="174"/>
      <c r="AR2396" s="222"/>
    </row>
    <row r="2397" spans="2:44" s="144" customFormat="1" ht="18" customHeight="1" x14ac:dyDescent="0.25">
      <c r="B2397" s="145"/>
      <c r="C2397" s="139"/>
      <c r="D2397" s="146"/>
      <c r="E2397" s="139"/>
      <c r="F2397" s="139"/>
      <c r="G2397" s="139"/>
      <c r="H2397" s="139"/>
      <c r="I2397" s="139"/>
      <c r="J2397" s="139"/>
      <c r="K2397" s="139"/>
      <c r="L2397" s="243"/>
      <c r="M2397" s="243"/>
      <c r="N2397" s="139"/>
      <c r="O2397" s="139"/>
      <c r="P2397" s="139"/>
      <c r="Q2397" s="147"/>
      <c r="R2397" s="139"/>
      <c r="S2397" s="139"/>
      <c r="T2397" s="139"/>
      <c r="U2397" s="139"/>
      <c r="V2397" s="139"/>
      <c r="W2397" s="139"/>
      <c r="X2397" s="146"/>
      <c r="Y2397" s="148"/>
      <c r="Z2397" s="145"/>
      <c r="AA2397" s="139"/>
      <c r="AB2397" s="149"/>
      <c r="AC2397" s="119"/>
      <c r="AD2397" s="139"/>
      <c r="AE2397" s="139"/>
      <c r="AF2397" s="139"/>
      <c r="AG2397" s="139"/>
      <c r="AH2397" s="139"/>
      <c r="AI2397" s="139"/>
      <c r="AJ2397" s="139"/>
      <c r="AK2397" s="139"/>
      <c r="AL2397" s="139"/>
      <c r="AM2397" s="139"/>
      <c r="AN2397" s="139"/>
      <c r="AO2397" s="139"/>
      <c r="AP2397" s="139"/>
      <c r="AQ2397" s="174"/>
      <c r="AR2397" s="222"/>
    </row>
    <row r="2399" spans="2:44" s="144" customFormat="1" ht="18" customHeight="1" x14ac:dyDescent="0.25">
      <c r="B2399" s="145"/>
      <c r="C2399" s="139"/>
      <c r="D2399" s="146"/>
      <c r="E2399" s="139"/>
      <c r="F2399" s="139"/>
      <c r="G2399" s="139"/>
      <c r="H2399" s="139"/>
      <c r="I2399" s="139"/>
      <c r="J2399" s="139"/>
      <c r="K2399" s="139"/>
      <c r="L2399" s="243"/>
      <c r="M2399" s="243"/>
      <c r="N2399" s="139"/>
      <c r="O2399" s="139"/>
      <c r="P2399" s="139"/>
      <c r="Q2399" s="147"/>
      <c r="R2399" s="139"/>
      <c r="S2399" s="139"/>
      <c r="T2399" s="139"/>
      <c r="U2399" s="139"/>
      <c r="V2399" s="139"/>
      <c r="W2399" s="139"/>
      <c r="X2399" s="146"/>
      <c r="Y2399" s="148"/>
      <c r="Z2399" s="145"/>
      <c r="AA2399" s="139"/>
      <c r="AB2399" s="149"/>
      <c r="AC2399" s="119"/>
      <c r="AD2399" s="139"/>
      <c r="AE2399" s="139"/>
      <c r="AF2399" s="139"/>
      <c r="AG2399" s="139"/>
      <c r="AH2399" s="139"/>
      <c r="AI2399" s="139"/>
      <c r="AJ2399" s="139"/>
      <c r="AK2399" s="139"/>
      <c r="AL2399" s="139"/>
      <c r="AM2399" s="139"/>
      <c r="AN2399" s="139"/>
      <c r="AO2399" s="139"/>
      <c r="AP2399" s="139"/>
      <c r="AQ2399" s="174"/>
      <c r="AR2399" s="222"/>
    </row>
    <row r="2400" spans="2:44" s="144" customFormat="1" ht="18" customHeight="1" x14ac:dyDescent="0.25">
      <c r="B2400" s="145"/>
      <c r="C2400" s="139"/>
      <c r="D2400" s="146"/>
      <c r="E2400" s="139"/>
      <c r="F2400" s="139"/>
      <c r="G2400" s="139"/>
      <c r="H2400" s="139"/>
      <c r="I2400" s="139"/>
      <c r="J2400" s="139"/>
      <c r="K2400" s="139"/>
      <c r="L2400" s="243"/>
      <c r="M2400" s="243"/>
      <c r="N2400" s="139"/>
      <c r="O2400" s="139"/>
      <c r="P2400" s="139"/>
      <c r="Q2400" s="147"/>
      <c r="R2400" s="139"/>
      <c r="S2400" s="139"/>
      <c r="T2400" s="139"/>
      <c r="U2400" s="139"/>
      <c r="V2400" s="139"/>
      <c r="W2400" s="139"/>
      <c r="X2400" s="146"/>
      <c r="Y2400" s="148"/>
      <c r="Z2400" s="145"/>
      <c r="AA2400" s="139"/>
      <c r="AB2400" s="149"/>
      <c r="AC2400" s="119"/>
      <c r="AD2400" s="139"/>
      <c r="AE2400" s="139"/>
      <c r="AF2400" s="139"/>
      <c r="AG2400" s="139"/>
      <c r="AH2400" s="139"/>
      <c r="AI2400" s="139"/>
      <c r="AJ2400" s="139"/>
      <c r="AK2400" s="139"/>
      <c r="AL2400" s="139"/>
      <c r="AM2400" s="139"/>
      <c r="AN2400" s="139"/>
      <c r="AO2400" s="139"/>
      <c r="AP2400" s="139"/>
      <c r="AQ2400" s="174"/>
      <c r="AR2400" s="222"/>
    </row>
    <row r="2401" spans="2:44" s="144" customFormat="1" ht="18" customHeight="1" x14ac:dyDescent="0.25">
      <c r="B2401" s="145"/>
      <c r="C2401" s="139"/>
      <c r="D2401" s="146"/>
      <c r="E2401" s="139"/>
      <c r="F2401" s="139"/>
      <c r="G2401" s="139"/>
      <c r="H2401" s="139"/>
      <c r="I2401" s="139"/>
      <c r="J2401" s="139"/>
      <c r="K2401" s="139"/>
      <c r="L2401" s="243"/>
      <c r="M2401" s="243"/>
      <c r="N2401" s="139"/>
      <c r="O2401" s="139"/>
      <c r="P2401" s="139"/>
      <c r="Q2401" s="147"/>
      <c r="R2401" s="139"/>
      <c r="S2401" s="139"/>
      <c r="T2401" s="139"/>
      <c r="U2401" s="139"/>
      <c r="V2401" s="139"/>
      <c r="W2401" s="139"/>
      <c r="X2401" s="146"/>
      <c r="Y2401" s="148"/>
      <c r="Z2401" s="145"/>
      <c r="AA2401" s="139"/>
      <c r="AB2401" s="149"/>
      <c r="AC2401" s="119"/>
      <c r="AD2401" s="139"/>
      <c r="AE2401" s="139"/>
      <c r="AF2401" s="139"/>
      <c r="AG2401" s="139"/>
      <c r="AH2401" s="139"/>
      <c r="AI2401" s="139"/>
      <c r="AJ2401" s="139"/>
      <c r="AK2401" s="139"/>
      <c r="AL2401" s="139"/>
      <c r="AM2401" s="139"/>
      <c r="AN2401" s="139"/>
      <c r="AO2401" s="139"/>
      <c r="AP2401" s="139"/>
      <c r="AQ2401" s="174"/>
      <c r="AR2401" s="222"/>
    </row>
    <row r="2402" spans="2:44" s="144" customFormat="1" ht="18" customHeight="1" x14ac:dyDescent="0.25">
      <c r="B2402" s="145"/>
      <c r="C2402" s="139"/>
      <c r="D2402" s="146"/>
      <c r="E2402" s="139"/>
      <c r="F2402" s="139"/>
      <c r="G2402" s="139"/>
      <c r="H2402" s="139"/>
      <c r="I2402" s="139"/>
      <c r="J2402" s="139"/>
      <c r="K2402" s="139"/>
      <c r="L2402" s="243"/>
      <c r="M2402" s="243"/>
      <c r="N2402" s="139"/>
      <c r="O2402" s="139"/>
      <c r="P2402" s="139"/>
      <c r="Q2402" s="147"/>
      <c r="R2402" s="139"/>
      <c r="S2402" s="139"/>
      <c r="T2402" s="139"/>
      <c r="U2402" s="139"/>
      <c r="V2402" s="139"/>
      <c r="W2402" s="139"/>
      <c r="X2402" s="146"/>
      <c r="Y2402" s="148"/>
      <c r="Z2402" s="145"/>
      <c r="AA2402" s="139"/>
      <c r="AB2402" s="149"/>
      <c r="AC2402" s="119"/>
      <c r="AD2402" s="139"/>
      <c r="AE2402" s="139"/>
      <c r="AF2402" s="139"/>
      <c r="AG2402" s="139"/>
      <c r="AH2402" s="139"/>
      <c r="AI2402" s="139"/>
      <c r="AJ2402" s="139"/>
      <c r="AK2402" s="139"/>
      <c r="AL2402" s="139"/>
      <c r="AM2402" s="139"/>
      <c r="AN2402" s="139"/>
      <c r="AO2402" s="139"/>
      <c r="AP2402" s="139"/>
      <c r="AQ2402" s="174"/>
      <c r="AR2402" s="222"/>
    </row>
    <row r="2403" spans="2:44" s="144" customFormat="1" ht="18" customHeight="1" x14ac:dyDescent="0.25">
      <c r="B2403" s="145"/>
      <c r="C2403" s="139"/>
      <c r="D2403" s="146"/>
      <c r="E2403" s="139"/>
      <c r="F2403" s="139"/>
      <c r="G2403" s="139"/>
      <c r="H2403" s="139"/>
      <c r="I2403" s="139"/>
      <c r="J2403" s="139"/>
      <c r="K2403" s="139"/>
      <c r="L2403" s="243"/>
      <c r="M2403" s="243"/>
      <c r="N2403" s="139"/>
      <c r="O2403" s="139"/>
      <c r="P2403" s="139"/>
      <c r="Q2403" s="147"/>
      <c r="R2403" s="139"/>
      <c r="S2403" s="139"/>
      <c r="T2403" s="139"/>
      <c r="U2403" s="139"/>
      <c r="V2403" s="139"/>
      <c r="W2403" s="139"/>
      <c r="X2403" s="146"/>
      <c r="Y2403" s="148"/>
      <c r="Z2403" s="145"/>
      <c r="AA2403" s="139"/>
      <c r="AB2403" s="149"/>
      <c r="AC2403" s="119"/>
      <c r="AD2403" s="139"/>
      <c r="AE2403" s="139"/>
      <c r="AF2403" s="139"/>
      <c r="AG2403" s="139"/>
      <c r="AH2403" s="139"/>
      <c r="AI2403" s="139"/>
      <c r="AJ2403" s="139"/>
      <c r="AK2403" s="139"/>
      <c r="AL2403" s="139"/>
      <c r="AM2403" s="139"/>
      <c r="AN2403" s="139"/>
      <c r="AO2403" s="139"/>
      <c r="AP2403" s="139"/>
      <c r="AQ2403" s="174"/>
      <c r="AR2403" s="222"/>
    </row>
    <row r="2404" spans="2:44" s="144" customFormat="1" ht="18" customHeight="1" x14ac:dyDescent="0.25">
      <c r="B2404" s="145"/>
      <c r="C2404" s="139"/>
      <c r="D2404" s="146"/>
      <c r="E2404" s="139"/>
      <c r="F2404" s="139"/>
      <c r="G2404" s="139"/>
      <c r="H2404" s="139"/>
      <c r="I2404" s="139"/>
      <c r="J2404" s="139"/>
      <c r="K2404" s="139"/>
      <c r="L2404" s="243"/>
      <c r="M2404" s="243"/>
      <c r="N2404" s="139"/>
      <c r="O2404" s="139"/>
      <c r="P2404" s="139"/>
      <c r="Q2404" s="147"/>
      <c r="R2404" s="139"/>
      <c r="S2404" s="139"/>
      <c r="T2404" s="139"/>
      <c r="U2404" s="139"/>
      <c r="V2404" s="139"/>
      <c r="W2404" s="139"/>
      <c r="X2404" s="146"/>
      <c r="Y2404" s="148"/>
      <c r="Z2404" s="145"/>
      <c r="AA2404" s="139"/>
      <c r="AB2404" s="149"/>
      <c r="AC2404" s="119"/>
      <c r="AD2404" s="139"/>
      <c r="AE2404" s="139"/>
      <c r="AF2404" s="139"/>
      <c r="AG2404" s="139"/>
      <c r="AH2404" s="139"/>
      <c r="AI2404" s="139"/>
      <c r="AJ2404" s="139"/>
      <c r="AK2404" s="139"/>
      <c r="AL2404" s="139"/>
      <c r="AM2404" s="139"/>
      <c r="AN2404" s="139"/>
      <c r="AO2404" s="139"/>
      <c r="AP2404" s="139"/>
      <c r="AQ2404" s="174"/>
      <c r="AR2404" s="222"/>
    </row>
    <row r="2405" spans="2:44" s="144" customFormat="1" ht="18" customHeight="1" x14ac:dyDescent="0.25">
      <c r="B2405" s="145"/>
      <c r="C2405" s="139"/>
      <c r="D2405" s="146"/>
      <c r="E2405" s="139"/>
      <c r="F2405" s="139"/>
      <c r="G2405" s="139"/>
      <c r="H2405" s="139"/>
      <c r="I2405" s="139"/>
      <c r="J2405" s="139"/>
      <c r="K2405" s="139"/>
      <c r="L2405" s="243"/>
      <c r="M2405" s="243"/>
      <c r="N2405" s="139"/>
      <c r="O2405" s="139"/>
      <c r="P2405" s="139"/>
      <c r="Q2405" s="147"/>
      <c r="R2405" s="139"/>
      <c r="S2405" s="139"/>
      <c r="T2405" s="139"/>
      <c r="U2405" s="139"/>
      <c r="V2405" s="139"/>
      <c r="W2405" s="139"/>
      <c r="X2405" s="146"/>
      <c r="Y2405" s="148"/>
      <c r="Z2405" s="145"/>
      <c r="AA2405" s="139"/>
      <c r="AB2405" s="149"/>
      <c r="AC2405" s="119"/>
      <c r="AD2405" s="139"/>
      <c r="AE2405" s="139"/>
      <c r="AF2405" s="139"/>
      <c r="AG2405" s="139"/>
      <c r="AH2405" s="139"/>
      <c r="AI2405" s="139"/>
      <c r="AJ2405" s="139"/>
      <c r="AK2405" s="139"/>
      <c r="AL2405" s="139"/>
      <c r="AM2405" s="139"/>
      <c r="AN2405" s="139"/>
      <c r="AO2405" s="139"/>
      <c r="AP2405" s="139"/>
      <c r="AQ2405" s="174"/>
      <c r="AR2405" s="222"/>
    </row>
    <row r="2407" spans="2:44" s="144" customFormat="1" ht="18" customHeight="1" x14ac:dyDescent="0.25">
      <c r="B2407" s="145"/>
      <c r="C2407" s="139"/>
      <c r="D2407" s="146"/>
      <c r="E2407" s="139"/>
      <c r="F2407" s="139"/>
      <c r="G2407" s="139"/>
      <c r="H2407" s="139"/>
      <c r="I2407" s="139"/>
      <c r="J2407" s="139"/>
      <c r="K2407" s="139"/>
      <c r="L2407" s="243"/>
      <c r="M2407" s="243"/>
      <c r="N2407" s="139"/>
      <c r="O2407" s="139"/>
      <c r="P2407" s="139"/>
      <c r="Q2407" s="147"/>
      <c r="R2407" s="139"/>
      <c r="S2407" s="139"/>
      <c r="T2407" s="139"/>
      <c r="U2407" s="139"/>
      <c r="V2407" s="139"/>
      <c r="W2407" s="139"/>
      <c r="X2407" s="146"/>
      <c r="Y2407" s="148"/>
      <c r="Z2407" s="145"/>
      <c r="AA2407" s="139"/>
      <c r="AB2407" s="149"/>
      <c r="AC2407" s="119"/>
      <c r="AD2407" s="139"/>
      <c r="AE2407" s="139"/>
      <c r="AF2407" s="139"/>
      <c r="AG2407" s="139"/>
      <c r="AH2407" s="139"/>
      <c r="AI2407" s="139"/>
      <c r="AJ2407" s="139"/>
      <c r="AK2407" s="139"/>
      <c r="AL2407" s="139"/>
      <c r="AM2407" s="139"/>
      <c r="AN2407" s="139"/>
      <c r="AO2407" s="139"/>
      <c r="AP2407" s="139"/>
      <c r="AQ2407" s="174"/>
      <c r="AR2407" s="222"/>
    </row>
    <row r="2409" spans="2:44" s="144" customFormat="1" ht="18" customHeight="1" x14ac:dyDescent="0.25">
      <c r="B2409" s="145"/>
      <c r="C2409" s="139"/>
      <c r="D2409" s="146"/>
      <c r="E2409" s="139"/>
      <c r="F2409" s="139"/>
      <c r="G2409" s="139"/>
      <c r="H2409" s="139"/>
      <c r="I2409" s="139"/>
      <c r="J2409" s="139"/>
      <c r="K2409" s="139"/>
      <c r="L2409" s="243"/>
      <c r="M2409" s="243"/>
      <c r="N2409" s="139"/>
      <c r="O2409" s="139"/>
      <c r="P2409" s="139"/>
      <c r="Q2409" s="147"/>
      <c r="R2409" s="139"/>
      <c r="S2409" s="139"/>
      <c r="T2409" s="139"/>
      <c r="U2409" s="139"/>
      <c r="V2409" s="139"/>
      <c r="W2409" s="139"/>
      <c r="X2409" s="146"/>
      <c r="Y2409" s="148"/>
      <c r="Z2409" s="145"/>
      <c r="AA2409" s="139"/>
      <c r="AB2409" s="149"/>
      <c r="AC2409" s="119"/>
      <c r="AD2409" s="139"/>
      <c r="AE2409" s="139"/>
      <c r="AF2409" s="139"/>
      <c r="AG2409" s="139"/>
      <c r="AH2409" s="139"/>
      <c r="AI2409" s="139"/>
      <c r="AJ2409" s="139"/>
      <c r="AK2409" s="139"/>
      <c r="AL2409" s="139"/>
      <c r="AM2409" s="139"/>
      <c r="AN2409" s="139"/>
      <c r="AO2409" s="139"/>
      <c r="AP2409" s="139"/>
      <c r="AQ2409" s="174"/>
      <c r="AR2409" s="222"/>
    </row>
    <row r="2413" spans="2:44" s="144" customFormat="1" ht="18" customHeight="1" x14ac:dyDescent="0.25">
      <c r="B2413" s="145"/>
      <c r="C2413" s="139"/>
      <c r="D2413" s="146"/>
      <c r="E2413" s="139"/>
      <c r="F2413" s="139"/>
      <c r="G2413" s="139"/>
      <c r="H2413" s="139"/>
      <c r="I2413" s="139"/>
      <c r="J2413" s="139"/>
      <c r="K2413" s="139"/>
      <c r="L2413" s="243"/>
      <c r="M2413" s="243"/>
      <c r="N2413" s="139"/>
      <c r="O2413" s="139"/>
      <c r="P2413" s="139"/>
      <c r="Q2413" s="147"/>
      <c r="R2413" s="139"/>
      <c r="S2413" s="139"/>
      <c r="T2413" s="139"/>
      <c r="U2413" s="139"/>
      <c r="V2413" s="139"/>
      <c r="W2413" s="139"/>
      <c r="X2413" s="146"/>
      <c r="Y2413" s="148"/>
      <c r="Z2413" s="145"/>
      <c r="AA2413" s="139"/>
      <c r="AB2413" s="149"/>
      <c r="AC2413" s="119"/>
      <c r="AD2413" s="139"/>
      <c r="AE2413" s="139"/>
      <c r="AF2413" s="139"/>
      <c r="AG2413" s="139"/>
      <c r="AH2413" s="139"/>
      <c r="AI2413" s="139"/>
      <c r="AJ2413" s="139"/>
      <c r="AK2413" s="139"/>
      <c r="AL2413" s="139"/>
      <c r="AM2413" s="139"/>
      <c r="AN2413" s="139"/>
      <c r="AO2413" s="139"/>
      <c r="AP2413" s="139"/>
      <c r="AQ2413" s="174"/>
      <c r="AR2413" s="222"/>
    </row>
    <row r="2433" spans="2:44" s="144" customFormat="1" ht="18" customHeight="1" x14ac:dyDescent="0.25">
      <c r="B2433" s="145"/>
      <c r="C2433" s="139"/>
      <c r="D2433" s="146"/>
      <c r="E2433" s="139"/>
      <c r="F2433" s="139"/>
      <c r="G2433" s="139"/>
      <c r="H2433" s="139"/>
      <c r="I2433" s="139"/>
      <c r="J2433" s="139"/>
      <c r="K2433" s="139"/>
      <c r="L2433" s="243"/>
      <c r="M2433" s="243"/>
      <c r="N2433" s="139"/>
      <c r="O2433" s="139"/>
      <c r="P2433" s="139"/>
      <c r="Q2433" s="147"/>
      <c r="R2433" s="139"/>
      <c r="S2433" s="139"/>
      <c r="T2433" s="139"/>
      <c r="U2433" s="139"/>
      <c r="V2433" s="139"/>
      <c r="W2433" s="139"/>
      <c r="X2433" s="146"/>
      <c r="Y2433" s="148"/>
      <c r="Z2433" s="145"/>
      <c r="AA2433" s="139"/>
      <c r="AB2433" s="149"/>
      <c r="AC2433" s="119"/>
      <c r="AD2433" s="139"/>
      <c r="AE2433" s="139"/>
      <c r="AF2433" s="139"/>
      <c r="AG2433" s="139"/>
      <c r="AH2433" s="139"/>
      <c r="AI2433" s="139"/>
      <c r="AJ2433" s="139"/>
      <c r="AK2433" s="139"/>
      <c r="AL2433" s="139"/>
      <c r="AM2433" s="139"/>
      <c r="AN2433" s="139"/>
      <c r="AO2433" s="139"/>
      <c r="AP2433" s="139"/>
      <c r="AQ2433" s="174"/>
      <c r="AR2433" s="222"/>
    </row>
    <row r="2454" spans="2:44" s="277" customFormat="1" ht="18" customHeight="1" x14ac:dyDescent="0.25">
      <c r="B2454" s="145"/>
      <c r="C2454" s="139"/>
      <c r="D2454" s="146"/>
      <c r="E2454" s="139"/>
      <c r="F2454" s="139"/>
      <c r="G2454" s="139"/>
      <c r="H2454" s="139"/>
      <c r="I2454" s="139"/>
      <c r="J2454" s="139"/>
      <c r="K2454" s="139"/>
      <c r="L2454" s="243"/>
      <c r="M2454" s="243"/>
      <c r="N2454" s="139"/>
      <c r="O2454" s="139"/>
      <c r="P2454" s="139"/>
      <c r="Q2454" s="147"/>
      <c r="R2454" s="139"/>
      <c r="S2454" s="139"/>
      <c r="T2454" s="139"/>
      <c r="U2454" s="139"/>
      <c r="V2454" s="139"/>
      <c r="W2454" s="139"/>
      <c r="X2454" s="146"/>
      <c r="Y2454" s="148"/>
      <c r="Z2454" s="145"/>
      <c r="AA2454" s="139"/>
      <c r="AB2454" s="149"/>
      <c r="AC2454" s="119"/>
      <c r="AD2454" s="139"/>
      <c r="AE2454" s="139"/>
      <c r="AF2454" s="139"/>
      <c r="AG2454" s="139"/>
      <c r="AH2454" s="139"/>
      <c r="AI2454" s="139"/>
      <c r="AJ2454" s="139"/>
      <c r="AK2454" s="139"/>
      <c r="AL2454" s="139"/>
      <c r="AM2454" s="139"/>
      <c r="AN2454" s="139"/>
      <c r="AO2454" s="139"/>
      <c r="AP2454" s="139"/>
      <c r="AQ2454" s="174"/>
      <c r="AR2454" s="222"/>
    </row>
    <row r="2457" spans="2:44" s="277" customFormat="1" ht="18" customHeight="1" x14ac:dyDescent="0.25">
      <c r="B2457" s="145"/>
      <c r="C2457" s="139"/>
      <c r="D2457" s="146"/>
      <c r="E2457" s="139"/>
      <c r="F2457" s="139"/>
      <c r="G2457" s="139"/>
      <c r="H2457" s="139"/>
      <c r="I2457" s="139"/>
      <c r="J2457" s="139"/>
      <c r="K2457" s="139"/>
      <c r="L2457" s="243"/>
      <c r="M2457" s="243"/>
      <c r="N2457" s="139"/>
      <c r="O2457" s="139"/>
      <c r="P2457" s="139"/>
      <c r="Q2457" s="147"/>
      <c r="R2457" s="139"/>
      <c r="S2457" s="139"/>
      <c r="T2457" s="139"/>
      <c r="U2457" s="139"/>
      <c r="V2457" s="139"/>
      <c r="W2457" s="139"/>
      <c r="X2457" s="146"/>
      <c r="Y2457" s="148"/>
      <c r="Z2457" s="145"/>
      <c r="AA2457" s="139"/>
      <c r="AB2457" s="149"/>
      <c r="AC2457" s="119"/>
      <c r="AD2457" s="139"/>
      <c r="AE2457" s="139"/>
      <c r="AF2457" s="139"/>
      <c r="AG2457" s="139"/>
      <c r="AH2457" s="139"/>
      <c r="AI2457" s="139"/>
      <c r="AJ2457" s="139"/>
      <c r="AK2457" s="139"/>
      <c r="AL2457" s="139"/>
      <c r="AM2457" s="139"/>
      <c r="AN2457" s="139"/>
      <c r="AO2457" s="139"/>
      <c r="AP2457" s="139"/>
      <c r="AQ2457" s="174"/>
      <c r="AR2457" s="222"/>
    </row>
    <row r="2458" spans="2:44" s="144" customFormat="1" ht="18" customHeight="1" x14ac:dyDescent="0.25">
      <c r="B2458" s="145"/>
      <c r="C2458" s="139"/>
      <c r="D2458" s="146"/>
      <c r="E2458" s="139"/>
      <c r="F2458" s="139"/>
      <c r="G2458" s="139"/>
      <c r="H2458" s="139"/>
      <c r="I2458" s="139"/>
      <c r="J2458" s="139"/>
      <c r="K2458" s="139"/>
      <c r="L2458" s="243"/>
      <c r="M2458" s="243"/>
      <c r="N2458" s="139"/>
      <c r="O2458" s="139"/>
      <c r="P2458" s="139"/>
      <c r="Q2458" s="147"/>
      <c r="R2458" s="139"/>
      <c r="S2458" s="139"/>
      <c r="T2458" s="139"/>
      <c r="U2458" s="139"/>
      <c r="V2458" s="139"/>
      <c r="W2458" s="139"/>
      <c r="X2458" s="146"/>
      <c r="Y2458" s="148"/>
      <c r="Z2458" s="145"/>
      <c r="AA2458" s="139"/>
      <c r="AB2458" s="149"/>
      <c r="AC2458" s="119"/>
      <c r="AD2458" s="139"/>
      <c r="AE2458" s="139"/>
      <c r="AF2458" s="139"/>
      <c r="AG2458" s="139"/>
      <c r="AH2458" s="139"/>
      <c r="AI2458" s="139"/>
      <c r="AJ2458" s="139"/>
      <c r="AK2458" s="139"/>
      <c r="AL2458" s="139"/>
      <c r="AM2458" s="139"/>
      <c r="AN2458" s="139"/>
      <c r="AO2458" s="139"/>
      <c r="AP2458" s="139"/>
      <c r="AQ2458" s="174"/>
      <c r="AR2458" s="222"/>
    </row>
    <row r="2460" spans="2:44" s="144" customFormat="1" ht="18" customHeight="1" x14ac:dyDescent="0.25">
      <c r="B2460" s="145"/>
      <c r="C2460" s="139"/>
      <c r="D2460" s="146"/>
      <c r="E2460" s="139"/>
      <c r="F2460" s="139"/>
      <c r="G2460" s="139"/>
      <c r="H2460" s="139"/>
      <c r="I2460" s="139"/>
      <c r="J2460" s="139"/>
      <c r="K2460" s="139"/>
      <c r="L2460" s="243"/>
      <c r="M2460" s="243"/>
      <c r="N2460" s="139"/>
      <c r="O2460" s="139"/>
      <c r="P2460" s="139"/>
      <c r="Q2460" s="147"/>
      <c r="R2460" s="139"/>
      <c r="S2460" s="139"/>
      <c r="T2460" s="139"/>
      <c r="U2460" s="139"/>
      <c r="V2460" s="139"/>
      <c r="W2460" s="139"/>
      <c r="X2460" s="146"/>
      <c r="Y2460" s="148"/>
      <c r="Z2460" s="145"/>
      <c r="AA2460" s="139"/>
      <c r="AB2460" s="149"/>
      <c r="AC2460" s="119"/>
      <c r="AD2460" s="139"/>
      <c r="AE2460" s="139"/>
      <c r="AF2460" s="139"/>
      <c r="AG2460" s="139"/>
      <c r="AH2460" s="139"/>
      <c r="AI2460" s="139"/>
      <c r="AJ2460" s="139"/>
      <c r="AK2460" s="139"/>
      <c r="AL2460" s="139"/>
      <c r="AM2460" s="139"/>
      <c r="AN2460" s="139"/>
      <c r="AO2460" s="139"/>
      <c r="AP2460" s="139"/>
      <c r="AQ2460" s="174"/>
      <c r="AR2460" s="222"/>
    </row>
    <row r="2469" spans="2:44" s="277" customFormat="1" ht="18" customHeight="1" x14ac:dyDescent="0.25">
      <c r="B2469" s="145"/>
      <c r="C2469" s="139"/>
      <c r="D2469" s="146"/>
      <c r="E2469" s="139"/>
      <c r="F2469" s="139"/>
      <c r="G2469" s="139"/>
      <c r="H2469" s="139"/>
      <c r="I2469" s="139"/>
      <c r="J2469" s="139"/>
      <c r="K2469" s="139"/>
      <c r="L2469" s="243"/>
      <c r="M2469" s="243"/>
      <c r="N2469" s="139"/>
      <c r="O2469" s="139"/>
      <c r="P2469" s="139"/>
      <c r="Q2469" s="147"/>
      <c r="R2469" s="139"/>
      <c r="S2469" s="139"/>
      <c r="T2469" s="139"/>
      <c r="U2469" s="139"/>
      <c r="V2469" s="139"/>
      <c r="W2469" s="139"/>
      <c r="X2469" s="146"/>
      <c r="Y2469" s="148"/>
      <c r="Z2469" s="145"/>
      <c r="AA2469" s="139"/>
      <c r="AB2469" s="149"/>
      <c r="AC2469" s="119"/>
      <c r="AD2469" s="139"/>
      <c r="AE2469" s="139"/>
      <c r="AF2469" s="139"/>
      <c r="AG2469" s="139"/>
      <c r="AH2469" s="139"/>
      <c r="AI2469" s="139"/>
      <c r="AJ2469" s="139"/>
      <c r="AK2469" s="139"/>
      <c r="AL2469" s="139"/>
      <c r="AM2469" s="139"/>
      <c r="AN2469" s="139"/>
      <c r="AO2469" s="139"/>
      <c r="AP2469" s="139"/>
      <c r="AQ2469" s="174"/>
      <c r="AR2469" s="222"/>
    </row>
    <row r="2483" spans="2:44" s="144" customFormat="1" ht="18" customHeight="1" x14ac:dyDescent="0.25">
      <c r="B2483" s="145"/>
      <c r="C2483" s="139"/>
      <c r="D2483" s="146"/>
      <c r="E2483" s="139"/>
      <c r="F2483" s="139"/>
      <c r="G2483" s="139"/>
      <c r="H2483" s="139"/>
      <c r="I2483" s="139"/>
      <c r="J2483" s="139"/>
      <c r="K2483" s="139"/>
      <c r="L2483" s="243"/>
      <c r="M2483" s="243"/>
      <c r="N2483" s="139"/>
      <c r="O2483" s="139"/>
      <c r="P2483" s="139"/>
      <c r="Q2483" s="147"/>
      <c r="R2483" s="139"/>
      <c r="S2483" s="139"/>
      <c r="T2483" s="139"/>
      <c r="U2483" s="139"/>
      <c r="V2483" s="139"/>
      <c r="W2483" s="139"/>
      <c r="X2483" s="146"/>
      <c r="Y2483" s="148"/>
      <c r="Z2483" s="145"/>
      <c r="AA2483" s="139"/>
      <c r="AB2483" s="149"/>
      <c r="AC2483" s="119"/>
      <c r="AD2483" s="139"/>
      <c r="AE2483" s="139"/>
      <c r="AF2483" s="139"/>
      <c r="AG2483" s="139"/>
      <c r="AH2483" s="139"/>
      <c r="AI2483" s="139"/>
      <c r="AJ2483" s="139"/>
      <c r="AK2483" s="139"/>
      <c r="AL2483" s="139"/>
      <c r="AM2483" s="139"/>
      <c r="AN2483" s="139"/>
      <c r="AO2483" s="139"/>
      <c r="AP2483" s="139"/>
      <c r="AQ2483" s="174"/>
      <c r="AR2483" s="222"/>
    </row>
    <row r="2484" spans="2:44" s="277" customFormat="1" ht="18" customHeight="1" x14ac:dyDescent="0.25">
      <c r="B2484" s="145"/>
      <c r="C2484" s="139"/>
      <c r="D2484" s="146"/>
      <c r="E2484" s="139"/>
      <c r="F2484" s="139"/>
      <c r="G2484" s="139"/>
      <c r="H2484" s="139"/>
      <c r="I2484" s="139"/>
      <c r="J2484" s="139"/>
      <c r="K2484" s="139"/>
      <c r="L2484" s="243"/>
      <c r="M2484" s="243"/>
      <c r="N2484" s="139"/>
      <c r="O2484" s="139"/>
      <c r="P2484" s="139"/>
      <c r="Q2484" s="147"/>
      <c r="R2484" s="139"/>
      <c r="S2484" s="139"/>
      <c r="T2484" s="139"/>
      <c r="U2484" s="139"/>
      <c r="V2484" s="139"/>
      <c r="W2484" s="139"/>
      <c r="X2484" s="146"/>
      <c r="Y2484" s="148"/>
      <c r="Z2484" s="145"/>
      <c r="AA2484" s="139"/>
      <c r="AB2484" s="149"/>
      <c r="AC2484" s="119"/>
      <c r="AD2484" s="139"/>
      <c r="AE2484" s="139"/>
      <c r="AF2484" s="139"/>
      <c r="AG2484" s="139"/>
      <c r="AH2484" s="139"/>
      <c r="AI2484" s="139"/>
      <c r="AJ2484" s="139"/>
      <c r="AK2484" s="139"/>
      <c r="AL2484" s="139"/>
      <c r="AM2484" s="139"/>
      <c r="AN2484" s="139"/>
      <c r="AO2484" s="139"/>
      <c r="AP2484" s="139"/>
      <c r="AQ2484" s="174"/>
      <c r="AR2484" s="222"/>
    </row>
    <row r="2485" spans="2:44" s="144" customFormat="1" ht="18" customHeight="1" x14ac:dyDescent="0.25">
      <c r="B2485" s="145"/>
      <c r="C2485" s="139"/>
      <c r="D2485" s="146"/>
      <c r="E2485" s="139"/>
      <c r="F2485" s="139"/>
      <c r="G2485" s="139"/>
      <c r="H2485" s="139"/>
      <c r="I2485" s="139"/>
      <c r="J2485" s="139"/>
      <c r="K2485" s="139"/>
      <c r="L2485" s="243"/>
      <c r="M2485" s="243"/>
      <c r="N2485" s="139"/>
      <c r="O2485" s="139"/>
      <c r="P2485" s="139"/>
      <c r="Q2485" s="147"/>
      <c r="R2485" s="139"/>
      <c r="S2485" s="139"/>
      <c r="T2485" s="139"/>
      <c r="U2485" s="139"/>
      <c r="V2485" s="139"/>
      <c r="W2485" s="139"/>
      <c r="X2485" s="146"/>
      <c r="Y2485" s="148"/>
      <c r="Z2485" s="145"/>
      <c r="AA2485" s="139"/>
      <c r="AB2485" s="149"/>
      <c r="AC2485" s="119"/>
      <c r="AD2485" s="139"/>
      <c r="AE2485" s="139"/>
      <c r="AF2485" s="139"/>
      <c r="AG2485" s="139"/>
      <c r="AH2485" s="139"/>
      <c r="AI2485" s="139"/>
      <c r="AJ2485" s="139"/>
      <c r="AK2485" s="139"/>
      <c r="AL2485" s="139"/>
      <c r="AM2485" s="139"/>
      <c r="AN2485" s="139"/>
      <c r="AO2485" s="139"/>
      <c r="AP2485" s="139"/>
      <c r="AQ2485" s="174"/>
      <c r="AR2485" s="222"/>
    </row>
    <row r="2486" spans="2:44" s="144" customFormat="1" ht="18" customHeight="1" x14ac:dyDescent="0.25">
      <c r="B2486" s="145"/>
      <c r="C2486" s="139"/>
      <c r="D2486" s="146"/>
      <c r="E2486" s="139"/>
      <c r="F2486" s="139"/>
      <c r="G2486" s="139"/>
      <c r="H2486" s="139"/>
      <c r="I2486" s="139"/>
      <c r="J2486" s="139"/>
      <c r="K2486" s="139"/>
      <c r="L2486" s="243"/>
      <c r="M2486" s="243"/>
      <c r="N2486" s="139"/>
      <c r="O2486" s="139"/>
      <c r="P2486" s="139"/>
      <c r="Q2486" s="147"/>
      <c r="R2486" s="139"/>
      <c r="S2486" s="139"/>
      <c r="T2486" s="139"/>
      <c r="U2486" s="139"/>
      <c r="V2486" s="139"/>
      <c r="W2486" s="139"/>
      <c r="X2486" s="146"/>
      <c r="Y2486" s="148"/>
      <c r="Z2486" s="145"/>
      <c r="AA2486" s="139"/>
      <c r="AB2486" s="149"/>
      <c r="AC2486" s="119"/>
      <c r="AD2486" s="139"/>
      <c r="AE2486" s="139"/>
      <c r="AF2486" s="139"/>
      <c r="AG2486" s="139"/>
      <c r="AH2486" s="139"/>
      <c r="AI2486" s="139"/>
      <c r="AJ2486" s="139"/>
      <c r="AK2486" s="139"/>
      <c r="AL2486" s="139"/>
      <c r="AM2486" s="139"/>
      <c r="AN2486" s="139"/>
      <c r="AO2486" s="139"/>
      <c r="AP2486" s="139"/>
      <c r="AQ2486" s="174"/>
      <c r="AR2486" s="222"/>
    </row>
    <row r="2487" spans="2:44" s="144" customFormat="1" ht="18" customHeight="1" x14ac:dyDescent="0.25">
      <c r="B2487" s="145"/>
      <c r="C2487" s="139"/>
      <c r="D2487" s="146"/>
      <c r="E2487" s="139"/>
      <c r="F2487" s="139"/>
      <c r="G2487" s="139"/>
      <c r="H2487" s="139"/>
      <c r="I2487" s="139"/>
      <c r="J2487" s="139"/>
      <c r="K2487" s="139"/>
      <c r="L2487" s="243"/>
      <c r="M2487" s="243"/>
      <c r="N2487" s="139"/>
      <c r="O2487" s="139"/>
      <c r="P2487" s="139"/>
      <c r="Q2487" s="147"/>
      <c r="R2487" s="139"/>
      <c r="S2487" s="139"/>
      <c r="T2487" s="139"/>
      <c r="U2487" s="139"/>
      <c r="V2487" s="139"/>
      <c r="W2487" s="139"/>
      <c r="X2487" s="146"/>
      <c r="Y2487" s="148"/>
      <c r="Z2487" s="145"/>
      <c r="AA2487" s="139"/>
      <c r="AB2487" s="149"/>
      <c r="AC2487" s="119"/>
      <c r="AD2487" s="139"/>
      <c r="AE2487" s="139"/>
      <c r="AF2487" s="139"/>
      <c r="AG2487" s="139"/>
      <c r="AH2487" s="139"/>
      <c r="AI2487" s="139"/>
      <c r="AJ2487" s="139"/>
      <c r="AK2487" s="139"/>
      <c r="AL2487" s="139"/>
      <c r="AM2487" s="139"/>
      <c r="AN2487" s="139"/>
      <c r="AO2487" s="139"/>
      <c r="AP2487" s="139"/>
      <c r="AQ2487" s="174"/>
      <c r="AR2487" s="222"/>
    </row>
    <row r="2488" spans="2:44" s="144" customFormat="1" ht="18" customHeight="1" x14ac:dyDescent="0.25">
      <c r="B2488" s="145"/>
      <c r="C2488" s="139"/>
      <c r="D2488" s="146"/>
      <c r="E2488" s="139"/>
      <c r="F2488" s="139"/>
      <c r="G2488" s="139"/>
      <c r="H2488" s="139"/>
      <c r="I2488" s="139"/>
      <c r="J2488" s="139"/>
      <c r="K2488" s="139"/>
      <c r="L2488" s="243"/>
      <c r="M2488" s="243"/>
      <c r="N2488" s="139"/>
      <c r="O2488" s="139"/>
      <c r="P2488" s="139"/>
      <c r="Q2488" s="147"/>
      <c r="R2488" s="139"/>
      <c r="S2488" s="139"/>
      <c r="T2488" s="139"/>
      <c r="U2488" s="139"/>
      <c r="V2488" s="139"/>
      <c r="W2488" s="139"/>
      <c r="X2488" s="146"/>
      <c r="Y2488" s="148"/>
      <c r="Z2488" s="145"/>
      <c r="AA2488" s="139"/>
      <c r="AB2488" s="149"/>
      <c r="AC2488" s="119"/>
      <c r="AD2488" s="139"/>
      <c r="AE2488" s="139"/>
      <c r="AF2488" s="139"/>
      <c r="AG2488" s="139"/>
      <c r="AH2488" s="139"/>
      <c r="AI2488" s="139"/>
      <c r="AJ2488" s="139"/>
      <c r="AK2488" s="139"/>
      <c r="AL2488" s="139"/>
      <c r="AM2488" s="139"/>
      <c r="AN2488" s="139"/>
      <c r="AO2488" s="139"/>
      <c r="AP2488" s="139"/>
      <c r="AQ2488" s="174"/>
      <c r="AR2488" s="222"/>
    </row>
    <row r="2489" spans="2:44" s="144" customFormat="1" ht="18" customHeight="1" x14ac:dyDescent="0.25">
      <c r="B2489" s="145"/>
      <c r="C2489" s="139"/>
      <c r="D2489" s="146"/>
      <c r="E2489" s="139"/>
      <c r="F2489" s="139"/>
      <c r="G2489" s="139"/>
      <c r="H2489" s="139"/>
      <c r="I2489" s="139"/>
      <c r="J2489" s="139"/>
      <c r="K2489" s="139"/>
      <c r="L2489" s="243"/>
      <c r="M2489" s="243"/>
      <c r="N2489" s="139"/>
      <c r="O2489" s="139"/>
      <c r="P2489" s="139"/>
      <c r="Q2489" s="147"/>
      <c r="R2489" s="139"/>
      <c r="S2489" s="139"/>
      <c r="T2489" s="139"/>
      <c r="U2489" s="139"/>
      <c r="V2489" s="139"/>
      <c r="W2489" s="139"/>
      <c r="X2489" s="146"/>
      <c r="Y2489" s="148"/>
      <c r="Z2489" s="145"/>
      <c r="AA2489" s="139"/>
      <c r="AB2489" s="149"/>
      <c r="AC2489" s="119"/>
      <c r="AD2489" s="139"/>
      <c r="AE2489" s="139"/>
      <c r="AF2489" s="139"/>
      <c r="AG2489" s="139"/>
      <c r="AH2489" s="139"/>
      <c r="AI2489" s="139"/>
      <c r="AJ2489" s="139"/>
      <c r="AK2489" s="139"/>
      <c r="AL2489" s="139"/>
      <c r="AM2489" s="139"/>
      <c r="AN2489" s="139"/>
      <c r="AO2489" s="139"/>
      <c r="AP2489" s="139"/>
      <c r="AQ2489" s="174"/>
      <c r="AR2489" s="222"/>
    </row>
    <row r="2490" spans="2:44" s="144" customFormat="1" ht="18" customHeight="1" x14ac:dyDescent="0.25">
      <c r="B2490" s="145"/>
      <c r="C2490" s="139"/>
      <c r="D2490" s="146"/>
      <c r="E2490" s="139"/>
      <c r="F2490" s="139"/>
      <c r="G2490" s="139"/>
      <c r="H2490" s="139"/>
      <c r="I2490" s="139"/>
      <c r="J2490" s="139"/>
      <c r="K2490" s="139"/>
      <c r="L2490" s="243"/>
      <c r="M2490" s="243"/>
      <c r="N2490" s="139"/>
      <c r="O2490" s="139"/>
      <c r="P2490" s="139"/>
      <c r="Q2490" s="147"/>
      <c r="R2490" s="139"/>
      <c r="S2490" s="139"/>
      <c r="T2490" s="139"/>
      <c r="U2490" s="139"/>
      <c r="V2490" s="139"/>
      <c r="W2490" s="139"/>
      <c r="X2490" s="146"/>
      <c r="Y2490" s="148"/>
      <c r="Z2490" s="145"/>
      <c r="AA2490" s="139"/>
      <c r="AB2490" s="149"/>
      <c r="AC2490" s="119"/>
      <c r="AD2490" s="139"/>
      <c r="AE2490" s="139"/>
      <c r="AF2490" s="139"/>
      <c r="AG2490" s="139"/>
      <c r="AH2490" s="139"/>
      <c r="AI2490" s="139"/>
      <c r="AJ2490" s="139"/>
      <c r="AK2490" s="139"/>
      <c r="AL2490" s="139"/>
      <c r="AM2490" s="139"/>
      <c r="AN2490" s="139"/>
      <c r="AO2490" s="139"/>
      <c r="AP2490" s="139"/>
      <c r="AQ2490" s="174"/>
      <c r="AR2490" s="222"/>
    </row>
    <row r="2491" spans="2:44" s="144" customFormat="1" ht="18" customHeight="1" x14ac:dyDescent="0.25">
      <c r="B2491" s="145"/>
      <c r="C2491" s="139"/>
      <c r="D2491" s="146"/>
      <c r="E2491" s="139"/>
      <c r="F2491" s="139"/>
      <c r="G2491" s="139"/>
      <c r="H2491" s="139"/>
      <c r="I2491" s="139"/>
      <c r="J2491" s="139"/>
      <c r="K2491" s="139"/>
      <c r="L2491" s="243"/>
      <c r="M2491" s="243"/>
      <c r="N2491" s="139"/>
      <c r="O2491" s="139"/>
      <c r="P2491" s="139"/>
      <c r="Q2491" s="147"/>
      <c r="R2491" s="139"/>
      <c r="S2491" s="139"/>
      <c r="T2491" s="139"/>
      <c r="U2491" s="139"/>
      <c r="V2491" s="139"/>
      <c r="W2491" s="139"/>
      <c r="X2491" s="146"/>
      <c r="Y2491" s="148"/>
      <c r="Z2491" s="145"/>
      <c r="AA2491" s="139"/>
      <c r="AB2491" s="149"/>
      <c r="AC2491" s="119"/>
      <c r="AD2491" s="139"/>
      <c r="AE2491" s="139"/>
      <c r="AF2491" s="139"/>
      <c r="AG2491" s="139"/>
      <c r="AH2491" s="139"/>
      <c r="AI2491" s="139"/>
      <c r="AJ2491" s="139"/>
      <c r="AK2491" s="139"/>
      <c r="AL2491" s="139"/>
      <c r="AM2491" s="139"/>
      <c r="AN2491" s="139"/>
      <c r="AO2491" s="139"/>
      <c r="AP2491" s="139"/>
      <c r="AQ2491" s="174"/>
      <c r="AR2491" s="222"/>
    </row>
    <row r="2492" spans="2:44" s="144" customFormat="1" ht="18" customHeight="1" x14ac:dyDescent="0.25">
      <c r="B2492" s="145"/>
      <c r="C2492" s="139"/>
      <c r="D2492" s="146"/>
      <c r="E2492" s="139"/>
      <c r="F2492" s="139"/>
      <c r="G2492" s="139"/>
      <c r="H2492" s="139"/>
      <c r="I2492" s="139"/>
      <c r="J2492" s="139"/>
      <c r="K2492" s="139"/>
      <c r="L2492" s="243"/>
      <c r="M2492" s="243"/>
      <c r="N2492" s="139"/>
      <c r="O2492" s="139"/>
      <c r="P2492" s="139"/>
      <c r="Q2492" s="147"/>
      <c r="R2492" s="139"/>
      <c r="S2492" s="139"/>
      <c r="T2492" s="139"/>
      <c r="U2492" s="139"/>
      <c r="V2492" s="139"/>
      <c r="W2492" s="139"/>
      <c r="X2492" s="146"/>
      <c r="Y2492" s="148"/>
      <c r="Z2492" s="145"/>
      <c r="AA2492" s="139"/>
      <c r="AB2492" s="149"/>
      <c r="AC2492" s="119"/>
      <c r="AD2492" s="139"/>
      <c r="AE2492" s="139"/>
      <c r="AF2492" s="139"/>
      <c r="AG2492" s="139"/>
      <c r="AH2492" s="139"/>
      <c r="AI2492" s="139"/>
      <c r="AJ2492" s="139"/>
      <c r="AK2492" s="139"/>
      <c r="AL2492" s="139"/>
      <c r="AM2492" s="139"/>
      <c r="AN2492" s="139"/>
      <c r="AO2492" s="139"/>
      <c r="AP2492" s="139"/>
      <c r="AQ2492" s="174"/>
      <c r="AR2492" s="222"/>
    </row>
    <row r="2493" spans="2:44" s="144" customFormat="1" ht="18" customHeight="1" x14ac:dyDescent="0.25">
      <c r="B2493" s="145"/>
      <c r="C2493" s="139"/>
      <c r="D2493" s="146"/>
      <c r="E2493" s="139"/>
      <c r="F2493" s="139"/>
      <c r="G2493" s="139"/>
      <c r="H2493" s="139"/>
      <c r="I2493" s="139"/>
      <c r="J2493" s="139"/>
      <c r="K2493" s="139"/>
      <c r="L2493" s="243"/>
      <c r="M2493" s="243"/>
      <c r="N2493" s="139"/>
      <c r="O2493" s="139"/>
      <c r="P2493" s="139"/>
      <c r="Q2493" s="147"/>
      <c r="R2493" s="139"/>
      <c r="S2493" s="139"/>
      <c r="T2493" s="139"/>
      <c r="U2493" s="139"/>
      <c r="V2493" s="139"/>
      <c r="W2493" s="139"/>
      <c r="X2493" s="146"/>
      <c r="Y2493" s="148"/>
      <c r="Z2493" s="145"/>
      <c r="AA2493" s="139"/>
      <c r="AB2493" s="149"/>
      <c r="AC2493" s="119"/>
      <c r="AD2493" s="139"/>
      <c r="AE2493" s="139"/>
      <c r="AF2493" s="139"/>
      <c r="AG2493" s="139"/>
      <c r="AH2493" s="139"/>
      <c r="AI2493" s="139"/>
      <c r="AJ2493" s="139"/>
      <c r="AK2493" s="139"/>
      <c r="AL2493" s="139"/>
      <c r="AM2493" s="139"/>
      <c r="AN2493" s="139"/>
      <c r="AO2493" s="139"/>
      <c r="AP2493" s="139"/>
      <c r="AQ2493" s="174"/>
      <c r="AR2493" s="222"/>
    </row>
    <row r="2494" spans="2:44" s="144" customFormat="1" ht="18" customHeight="1" x14ac:dyDescent="0.25">
      <c r="B2494" s="145"/>
      <c r="C2494" s="139"/>
      <c r="D2494" s="146"/>
      <c r="E2494" s="139"/>
      <c r="F2494" s="139"/>
      <c r="G2494" s="139"/>
      <c r="H2494" s="139"/>
      <c r="I2494" s="139"/>
      <c r="J2494" s="139"/>
      <c r="K2494" s="139"/>
      <c r="L2494" s="243"/>
      <c r="M2494" s="243"/>
      <c r="N2494" s="139"/>
      <c r="O2494" s="139"/>
      <c r="P2494" s="139"/>
      <c r="Q2494" s="147"/>
      <c r="R2494" s="139"/>
      <c r="S2494" s="139"/>
      <c r="T2494" s="139"/>
      <c r="U2494" s="139"/>
      <c r="V2494" s="139"/>
      <c r="W2494" s="139"/>
      <c r="X2494" s="146"/>
      <c r="Y2494" s="148"/>
      <c r="Z2494" s="145"/>
      <c r="AA2494" s="139"/>
      <c r="AB2494" s="149"/>
      <c r="AC2494" s="119"/>
      <c r="AD2494" s="139"/>
      <c r="AE2494" s="139"/>
      <c r="AF2494" s="139"/>
      <c r="AG2494" s="139"/>
      <c r="AH2494" s="139"/>
      <c r="AI2494" s="139"/>
      <c r="AJ2494" s="139"/>
      <c r="AK2494" s="139"/>
      <c r="AL2494" s="139"/>
      <c r="AM2494" s="139"/>
      <c r="AN2494" s="139"/>
      <c r="AO2494" s="139"/>
      <c r="AP2494" s="139"/>
      <c r="AQ2494" s="174"/>
      <c r="AR2494" s="222"/>
    </row>
    <row r="2495" spans="2:44" s="144" customFormat="1" ht="18" customHeight="1" x14ac:dyDescent="0.25">
      <c r="B2495" s="145"/>
      <c r="C2495" s="139"/>
      <c r="D2495" s="146"/>
      <c r="E2495" s="139"/>
      <c r="F2495" s="139"/>
      <c r="G2495" s="139"/>
      <c r="H2495" s="139"/>
      <c r="I2495" s="139"/>
      <c r="J2495" s="139"/>
      <c r="K2495" s="139"/>
      <c r="L2495" s="243"/>
      <c r="M2495" s="243"/>
      <c r="N2495" s="139"/>
      <c r="O2495" s="139"/>
      <c r="P2495" s="139"/>
      <c r="Q2495" s="147"/>
      <c r="R2495" s="139"/>
      <c r="S2495" s="139"/>
      <c r="T2495" s="139"/>
      <c r="U2495" s="139"/>
      <c r="V2495" s="139"/>
      <c r="W2495" s="139"/>
      <c r="X2495" s="146"/>
      <c r="Y2495" s="148"/>
      <c r="Z2495" s="145"/>
      <c r="AA2495" s="139"/>
      <c r="AB2495" s="149"/>
      <c r="AC2495" s="119"/>
      <c r="AD2495" s="139"/>
      <c r="AE2495" s="139"/>
      <c r="AF2495" s="139"/>
      <c r="AG2495" s="139"/>
      <c r="AH2495" s="139"/>
      <c r="AI2495" s="139"/>
      <c r="AJ2495" s="139"/>
      <c r="AK2495" s="139"/>
      <c r="AL2495" s="139"/>
      <c r="AM2495" s="139"/>
      <c r="AN2495" s="139"/>
      <c r="AO2495" s="139"/>
      <c r="AP2495" s="139"/>
      <c r="AQ2495" s="174"/>
      <c r="AR2495" s="222"/>
    </row>
    <row r="2496" spans="2:44" s="144" customFormat="1" ht="18" customHeight="1" x14ac:dyDescent="0.25">
      <c r="B2496" s="145"/>
      <c r="C2496" s="139"/>
      <c r="D2496" s="146"/>
      <c r="E2496" s="139"/>
      <c r="F2496" s="139"/>
      <c r="G2496" s="139"/>
      <c r="H2496" s="139"/>
      <c r="I2496" s="139"/>
      <c r="J2496" s="139"/>
      <c r="K2496" s="139"/>
      <c r="L2496" s="243"/>
      <c r="M2496" s="243"/>
      <c r="N2496" s="139"/>
      <c r="O2496" s="139"/>
      <c r="P2496" s="139"/>
      <c r="Q2496" s="147"/>
      <c r="R2496" s="139"/>
      <c r="S2496" s="139"/>
      <c r="T2496" s="139"/>
      <c r="U2496" s="139"/>
      <c r="V2496" s="139"/>
      <c r="W2496" s="139"/>
      <c r="X2496" s="146"/>
      <c r="Y2496" s="148"/>
      <c r="Z2496" s="145"/>
      <c r="AA2496" s="139"/>
      <c r="AB2496" s="149"/>
      <c r="AC2496" s="119"/>
      <c r="AD2496" s="139"/>
      <c r="AE2496" s="139"/>
      <c r="AF2496" s="139"/>
      <c r="AG2496" s="139"/>
      <c r="AH2496" s="139"/>
      <c r="AI2496" s="139"/>
      <c r="AJ2496" s="139"/>
      <c r="AK2496" s="139"/>
      <c r="AL2496" s="139"/>
      <c r="AM2496" s="139"/>
      <c r="AN2496" s="139"/>
      <c r="AO2496" s="139"/>
      <c r="AP2496" s="139"/>
      <c r="AQ2496" s="174"/>
      <c r="AR2496" s="222"/>
    </row>
    <row r="2497" spans="2:44" s="144" customFormat="1" ht="18" customHeight="1" x14ac:dyDescent="0.25">
      <c r="B2497" s="145"/>
      <c r="C2497" s="139"/>
      <c r="D2497" s="146"/>
      <c r="E2497" s="139"/>
      <c r="F2497" s="139"/>
      <c r="G2497" s="139"/>
      <c r="H2497" s="139"/>
      <c r="I2497" s="139"/>
      <c r="J2497" s="139"/>
      <c r="K2497" s="139"/>
      <c r="L2497" s="243"/>
      <c r="M2497" s="243"/>
      <c r="N2497" s="139"/>
      <c r="O2497" s="139"/>
      <c r="P2497" s="139"/>
      <c r="Q2497" s="147"/>
      <c r="R2497" s="139"/>
      <c r="S2497" s="139"/>
      <c r="T2497" s="139"/>
      <c r="U2497" s="139"/>
      <c r="V2497" s="139"/>
      <c r="W2497" s="139"/>
      <c r="X2497" s="146"/>
      <c r="Y2497" s="148"/>
      <c r="Z2497" s="145"/>
      <c r="AA2497" s="139"/>
      <c r="AB2497" s="149"/>
      <c r="AC2497" s="119"/>
      <c r="AD2497" s="139"/>
      <c r="AE2497" s="139"/>
      <c r="AF2497" s="139"/>
      <c r="AG2497" s="139"/>
      <c r="AH2497" s="139"/>
      <c r="AI2497" s="139"/>
      <c r="AJ2497" s="139"/>
      <c r="AK2497" s="139"/>
      <c r="AL2497" s="139"/>
      <c r="AM2497" s="139"/>
      <c r="AN2497" s="139"/>
      <c r="AO2497" s="139"/>
      <c r="AP2497" s="139"/>
      <c r="AQ2497" s="174"/>
      <c r="AR2497" s="222"/>
    </row>
    <row r="2498" spans="2:44" s="144" customFormat="1" ht="18" customHeight="1" x14ac:dyDescent="0.25">
      <c r="B2498" s="145"/>
      <c r="C2498" s="139"/>
      <c r="D2498" s="146"/>
      <c r="E2498" s="139"/>
      <c r="F2498" s="139"/>
      <c r="G2498" s="139"/>
      <c r="H2498" s="139"/>
      <c r="I2498" s="139"/>
      <c r="J2498" s="139"/>
      <c r="K2498" s="139"/>
      <c r="L2498" s="243"/>
      <c r="M2498" s="243"/>
      <c r="N2498" s="139"/>
      <c r="O2498" s="139"/>
      <c r="P2498" s="139"/>
      <c r="Q2498" s="147"/>
      <c r="R2498" s="139"/>
      <c r="S2498" s="139"/>
      <c r="T2498" s="139"/>
      <c r="U2498" s="139"/>
      <c r="V2498" s="139"/>
      <c r="W2498" s="139"/>
      <c r="X2498" s="146"/>
      <c r="Y2498" s="148"/>
      <c r="Z2498" s="145"/>
      <c r="AA2498" s="139"/>
      <c r="AB2498" s="149"/>
      <c r="AC2498" s="119"/>
      <c r="AD2498" s="139"/>
      <c r="AE2498" s="139"/>
      <c r="AF2498" s="139"/>
      <c r="AG2498" s="139"/>
      <c r="AH2498" s="139"/>
      <c r="AI2498" s="139"/>
      <c r="AJ2498" s="139"/>
      <c r="AK2498" s="139"/>
      <c r="AL2498" s="139"/>
      <c r="AM2498" s="139"/>
      <c r="AN2498" s="139"/>
      <c r="AO2498" s="139"/>
      <c r="AP2498" s="139"/>
      <c r="AQ2498" s="174"/>
      <c r="AR2498" s="222"/>
    </row>
    <row r="2499" spans="2:44" s="144" customFormat="1" ht="18" customHeight="1" x14ac:dyDescent="0.25">
      <c r="B2499" s="145"/>
      <c r="C2499" s="139"/>
      <c r="D2499" s="146"/>
      <c r="E2499" s="139"/>
      <c r="F2499" s="139"/>
      <c r="G2499" s="139"/>
      <c r="H2499" s="139"/>
      <c r="I2499" s="139"/>
      <c r="J2499" s="139"/>
      <c r="K2499" s="139"/>
      <c r="L2499" s="243"/>
      <c r="M2499" s="243"/>
      <c r="N2499" s="139"/>
      <c r="O2499" s="139"/>
      <c r="P2499" s="139"/>
      <c r="Q2499" s="147"/>
      <c r="R2499" s="139"/>
      <c r="S2499" s="139"/>
      <c r="T2499" s="139"/>
      <c r="U2499" s="139"/>
      <c r="V2499" s="139"/>
      <c r="W2499" s="139"/>
      <c r="X2499" s="146"/>
      <c r="Y2499" s="148"/>
      <c r="Z2499" s="145"/>
      <c r="AA2499" s="139"/>
      <c r="AB2499" s="149"/>
      <c r="AC2499" s="119"/>
      <c r="AD2499" s="139"/>
      <c r="AE2499" s="139"/>
      <c r="AF2499" s="139"/>
      <c r="AG2499" s="139"/>
      <c r="AH2499" s="139"/>
      <c r="AI2499" s="139"/>
      <c r="AJ2499" s="139"/>
      <c r="AK2499" s="139"/>
      <c r="AL2499" s="139"/>
      <c r="AM2499" s="139"/>
      <c r="AN2499" s="139"/>
      <c r="AO2499" s="139"/>
      <c r="AP2499" s="139"/>
      <c r="AQ2499" s="174"/>
      <c r="AR2499" s="222"/>
    </row>
    <row r="2500" spans="2:44" s="144" customFormat="1" ht="18" customHeight="1" x14ac:dyDescent="0.25">
      <c r="B2500" s="145"/>
      <c r="C2500" s="139"/>
      <c r="D2500" s="146"/>
      <c r="E2500" s="139"/>
      <c r="F2500" s="139"/>
      <c r="G2500" s="139"/>
      <c r="H2500" s="139"/>
      <c r="I2500" s="139"/>
      <c r="J2500" s="139"/>
      <c r="K2500" s="139"/>
      <c r="L2500" s="243"/>
      <c r="M2500" s="243"/>
      <c r="N2500" s="139"/>
      <c r="O2500" s="139"/>
      <c r="P2500" s="139"/>
      <c r="Q2500" s="147"/>
      <c r="R2500" s="139"/>
      <c r="S2500" s="139"/>
      <c r="T2500" s="139"/>
      <c r="U2500" s="139"/>
      <c r="V2500" s="139"/>
      <c r="W2500" s="139"/>
      <c r="X2500" s="146"/>
      <c r="Y2500" s="148"/>
      <c r="Z2500" s="145"/>
      <c r="AA2500" s="139"/>
      <c r="AB2500" s="149"/>
      <c r="AC2500" s="119"/>
      <c r="AD2500" s="139"/>
      <c r="AE2500" s="139"/>
      <c r="AF2500" s="139"/>
      <c r="AG2500" s="139"/>
      <c r="AH2500" s="139"/>
      <c r="AI2500" s="139"/>
      <c r="AJ2500" s="139"/>
      <c r="AK2500" s="139"/>
      <c r="AL2500" s="139"/>
      <c r="AM2500" s="139"/>
      <c r="AN2500" s="139"/>
      <c r="AO2500" s="139"/>
      <c r="AP2500" s="139"/>
      <c r="AQ2500" s="174"/>
      <c r="AR2500" s="222"/>
    </row>
    <row r="2501" spans="2:44" s="144" customFormat="1" ht="18" customHeight="1" x14ac:dyDescent="0.25">
      <c r="B2501" s="145"/>
      <c r="C2501" s="139"/>
      <c r="D2501" s="146"/>
      <c r="E2501" s="139"/>
      <c r="F2501" s="139"/>
      <c r="G2501" s="139"/>
      <c r="H2501" s="139"/>
      <c r="I2501" s="139"/>
      <c r="J2501" s="139"/>
      <c r="K2501" s="139"/>
      <c r="L2501" s="243"/>
      <c r="M2501" s="243"/>
      <c r="N2501" s="139"/>
      <c r="O2501" s="139"/>
      <c r="P2501" s="139"/>
      <c r="Q2501" s="147"/>
      <c r="R2501" s="139"/>
      <c r="S2501" s="139"/>
      <c r="T2501" s="139"/>
      <c r="U2501" s="139"/>
      <c r="V2501" s="139"/>
      <c r="W2501" s="139"/>
      <c r="X2501" s="146"/>
      <c r="Y2501" s="148"/>
      <c r="Z2501" s="145"/>
      <c r="AA2501" s="139"/>
      <c r="AB2501" s="149"/>
      <c r="AC2501" s="119"/>
      <c r="AD2501" s="139"/>
      <c r="AE2501" s="139"/>
      <c r="AF2501" s="139"/>
      <c r="AG2501" s="139"/>
      <c r="AH2501" s="139"/>
      <c r="AI2501" s="139"/>
      <c r="AJ2501" s="139"/>
      <c r="AK2501" s="139"/>
      <c r="AL2501" s="139"/>
      <c r="AM2501" s="139"/>
      <c r="AN2501" s="139"/>
      <c r="AO2501" s="139"/>
      <c r="AP2501" s="139"/>
      <c r="AQ2501" s="174"/>
      <c r="AR2501" s="222"/>
    </row>
    <row r="2502" spans="2:44" s="144" customFormat="1" ht="18" customHeight="1" x14ac:dyDescent="0.25">
      <c r="B2502" s="145"/>
      <c r="C2502" s="139"/>
      <c r="D2502" s="146"/>
      <c r="E2502" s="139"/>
      <c r="F2502" s="139"/>
      <c r="G2502" s="139"/>
      <c r="H2502" s="139"/>
      <c r="I2502" s="139"/>
      <c r="J2502" s="139"/>
      <c r="K2502" s="139"/>
      <c r="L2502" s="243"/>
      <c r="M2502" s="243"/>
      <c r="N2502" s="139"/>
      <c r="O2502" s="139"/>
      <c r="P2502" s="139"/>
      <c r="Q2502" s="147"/>
      <c r="R2502" s="139"/>
      <c r="S2502" s="139"/>
      <c r="T2502" s="139"/>
      <c r="U2502" s="139"/>
      <c r="V2502" s="139"/>
      <c r="W2502" s="139"/>
      <c r="X2502" s="146"/>
      <c r="Y2502" s="148"/>
      <c r="Z2502" s="145"/>
      <c r="AA2502" s="139"/>
      <c r="AB2502" s="149"/>
      <c r="AC2502" s="119"/>
      <c r="AD2502" s="139"/>
      <c r="AE2502" s="139"/>
      <c r="AF2502" s="139"/>
      <c r="AG2502" s="139"/>
      <c r="AH2502" s="139"/>
      <c r="AI2502" s="139"/>
      <c r="AJ2502" s="139"/>
      <c r="AK2502" s="139"/>
      <c r="AL2502" s="139"/>
      <c r="AM2502" s="139"/>
      <c r="AN2502" s="139"/>
      <c r="AO2502" s="139"/>
      <c r="AP2502" s="139"/>
      <c r="AQ2502" s="174"/>
      <c r="AR2502" s="222"/>
    </row>
    <row r="2503" spans="2:44" s="144" customFormat="1" ht="18" customHeight="1" x14ac:dyDescent="0.25">
      <c r="B2503" s="145"/>
      <c r="C2503" s="139"/>
      <c r="D2503" s="146"/>
      <c r="E2503" s="139"/>
      <c r="F2503" s="139"/>
      <c r="G2503" s="139"/>
      <c r="H2503" s="139"/>
      <c r="I2503" s="139"/>
      <c r="J2503" s="139"/>
      <c r="K2503" s="139"/>
      <c r="L2503" s="243"/>
      <c r="M2503" s="243"/>
      <c r="N2503" s="139"/>
      <c r="O2503" s="139"/>
      <c r="P2503" s="139"/>
      <c r="Q2503" s="147"/>
      <c r="R2503" s="139"/>
      <c r="S2503" s="139"/>
      <c r="T2503" s="139"/>
      <c r="U2503" s="139"/>
      <c r="V2503" s="139"/>
      <c r="W2503" s="139"/>
      <c r="X2503" s="146"/>
      <c r="Y2503" s="148"/>
      <c r="Z2503" s="145"/>
      <c r="AA2503" s="139"/>
      <c r="AB2503" s="149"/>
      <c r="AC2503" s="119"/>
      <c r="AD2503" s="139"/>
      <c r="AE2503" s="139"/>
      <c r="AF2503" s="139"/>
      <c r="AG2503" s="139"/>
      <c r="AH2503" s="139"/>
      <c r="AI2503" s="139"/>
      <c r="AJ2503" s="139"/>
      <c r="AK2503" s="139"/>
      <c r="AL2503" s="139"/>
      <c r="AM2503" s="139"/>
      <c r="AN2503" s="139"/>
      <c r="AO2503" s="139"/>
      <c r="AP2503" s="139"/>
      <c r="AQ2503" s="174"/>
      <c r="AR2503" s="222"/>
    </row>
    <row r="2504" spans="2:44" s="144" customFormat="1" ht="18" customHeight="1" x14ac:dyDescent="0.25">
      <c r="B2504" s="145"/>
      <c r="C2504" s="139"/>
      <c r="D2504" s="146"/>
      <c r="E2504" s="139"/>
      <c r="F2504" s="139"/>
      <c r="G2504" s="139"/>
      <c r="H2504" s="139"/>
      <c r="I2504" s="139"/>
      <c r="J2504" s="139"/>
      <c r="K2504" s="139"/>
      <c r="L2504" s="243"/>
      <c r="M2504" s="243"/>
      <c r="N2504" s="139"/>
      <c r="O2504" s="139"/>
      <c r="P2504" s="139"/>
      <c r="Q2504" s="147"/>
      <c r="R2504" s="139"/>
      <c r="S2504" s="139"/>
      <c r="T2504" s="139"/>
      <c r="U2504" s="139"/>
      <c r="V2504" s="139"/>
      <c r="W2504" s="139"/>
      <c r="X2504" s="146"/>
      <c r="Y2504" s="148"/>
      <c r="Z2504" s="145"/>
      <c r="AA2504" s="139"/>
      <c r="AB2504" s="149"/>
      <c r="AC2504" s="119"/>
      <c r="AD2504" s="139"/>
      <c r="AE2504" s="139"/>
      <c r="AF2504" s="139"/>
      <c r="AG2504" s="139"/>
      <c r="AH2504" s="139"/>
      <c r="AI2504" s="139"/>
      <c r="AJ2504" s="139"/>
      <c r="AK2504" s="139"/>
      <c r="AL2504" s="139"/>
      <c r="AM2504" s="139"/>
      <c r="AN2504" s="139"/>
      <c r="AO2504" s="139"/>
      <c r="AP2504" s="139"/>
      <c r="AQ2504" s="174"/>
      <c r="AR2504" s="222"/>
    </row>
    <row r="2505" spans="2:44" s="144" customFormat="1" ht="18" customHeight="1" x14ac:dyDescent="0.25">
      <c r="B2505" s="145"/>
      <c r="C2505" s="139"/>
      <c r="D2505" s="146"/>
      <c r="E2505" s="139"/>
      <c r="F2505" s="139"/>
      <c r="G2505" s="139"/>
      <c r="H2505" s="139"/>
      <c r="I2505" s="139"/>
      <c r="J2505" s="139"/>
      <c r="K2505" s="139"/>
      <c r="L2505" s="243"/>
      <c r="M2505" s="243"/>
      <c r="N2505" s="139"/>
      <c r="O2505" s="139"/>
      <c r="P2505" s="139"/>
      <c r="Q2505" s="147"/>
      <c r="R2505" s="139"/>
      <c r="S2505" s="139"/>
      <c r="T2505" s="139"/>
      <c r="U2505" s="139"/>
      <c r="V2505" s="139"/>
      <c r="W2505" s="139"/>
      <c r="X2505" s="146"/>
      <c r="Y2505" s="148"/>
      <c r="Z2505" s="145"/>
      <c r="AA2505" s="139"/>
      <c r="AB2505" s="149"/>
      <c r="AC2505" s="119"/>
      <c r="AD2505" s="139"/>
      <c r="AE2505" s="139"/>
      <c r="AF2505" s="139"/>
      <c r="AG2505" s="139"/>
      <c r="AH2505" s="139"/>
      <c r="AI2505" s="139"/>
      <c r="AJ2505" s="139"/>
      <c r="AK2505" s="139"/>
      <c r="AL2505" s="139"/>
      <c r="AM2505" s="139"/>
      <c r="AN2505" s="139"/>
      <c r="AO2505" s="139"/>
      <c r="AP2505" s="139"/>
      <c r="AQ2505" s="174"/>
      <c r="AR2505" s="222"/>
    </row>
    <row r="2506" spans="2:44" s="144" customFormat="1" ht="18" customHeight="1" x14ac:dyDescent="0.25">
      <c r="B2506" s="145"/>
      <c r="C2506" s="139"/>
      <c r="D2506" s="146"/>
      <c r="E2506" s="139"/>
      <c r="F2506" s="139"/>
      <c r="G2506" s="139"/>
      <c r="H2506" s="139"/>
      <c r="I2506" s="139"/>
      <c r="J2506" s="139"/>
      <c r="K2506" s="139"/>
      <c r="L2506" s="243"/>
      <c r="M2506" s="243"/>
      <c r="N2506" s="139"/>
      <c r="O2506" s="139"/>
      <c r="P2506" s="139"/>
      <c r="Q2506" s="147"/>
      <c r="R2506" s="139"/>
      <c r="S2506" s="139"/>
      <c r="T2506" s="139"/>
      <c r="U2506" s="139"/>
      <c r="V2506" s="139"/>
      <c r="W2506" s="139"/>
      <c r="X2506" s="146"/>
      <c r="Y2506" s="148"/>
      <c r="Z2506" s="145"/>
      <c r="AA2506" s="139"/>
      <c r="AB2506" s="149"/>
      <c r="AC2506" s="119"/>
      <c r="AD2506" s="139"/>
      <c r="AE2506" s="139"/>
      <c r="AF2506" s="139"/>
      <c r="AG2506" s="139"/>
      <c r="AH2506" s="139"/>
      <c r="AI2506" s="139"/>
      <c r="AJ2506" s="139"/>
      <c r="AK2506" s="139"/>
      <c r="AL2506" s="139"/>
      <c r="AM2506" s="139"/>
      <c r="AN2506" s="139"/>
      <c r="AO2506" s="139"/>
      <c r="AP2506" s="139"/>
      <c r="AQ2506" s="174"/>
      <c r="AR2506" s="222"/>
    </row>
    <row r="2507" spans="2:44" s="144" customFormat="1" ht="18" customHeight="1" x14ac:dyDescent="0.25">
      <c r="B2507" s="145"/>
      <c r="C2507" s="139"/>
      <c r="D2507" s="146"/>
      <c r="E2507" s="139"/>
      <c r="F2507" s="139"/>
      <c r="G2507" s="139"/>
      <c r="H2507" s="139"/>
      <c r="I2507" s="139"/>
      <c r="J2507" s="139"/>
      <c r="K2507" s="139"/>
      <c r="L2507" s="243"/>
      <c r="M2507" s="243"/>
      <c r="N2507" s="139"/>
      <c r="O2507" s="139"/>
      <c r="P2507" s="139"/>
      <c r="Q2507" s="147"/>
      <c r="R2507" s="139"/>
      <c r="S2507" s="139"/>
      <c r="T2507" s="139"/>
      <c r="U2507" s="139"/>
      <c r="V2507" s="139"/>
      <c r="W2507" s="139"/>
      <c r="X2507" s="146"/>
      <c r="Y2507" s="148"/>
      <c r="Z2507" s="145"/>
      <c r="AA2507" s="139"/>
      <c r="AB2507" s="149"/>
      <c r="AC2507" s="119"/>
      <c r="AD2507" s="139"/>
      <c r="AE2507" s="139"/>
      <c r="AF2507" s="139"/>
      <c r="AG2507" s="139"/>
      <c r="AH2507" s="139"/>
      <c r="AI2507" s="139"/>
      <c r="AJ2507" s="139"/>
      <c r="AK2507" s="139"/>
      <c r="AL2507" s="139"/>
      <c r="AM2507" s="139"/>
      <c r="AN2507" s="139"/>
      <c r="AO2507" s="139"/>
      <c r="AP2507" s="139"/>
      <c r="AQ2507" s="174"/>
      <c r="AR2507" s="222"/>
    </row>
    <row r="2508" spans="2:44" s="144" customFormat="1" ht="18" customHeight="1" x14ac:dyDescent="0.25">
      <c r="B2508" s="145"/>
      <c r="C2508" s="139"/>
      <c r="D2508" s="146"/>
      <c r="E2508" s="139"/>
      <c r="F2508" s="139"/>
      <c r="G2508" s="139"/>
      <c r="H2508" s="139"/>
      <c r="I2508" s="139"/>
      <c r="J2508" s="139"/>
      <c r="K2508" s="139"/>
      <c r="L2508" s="243"/>
      <c r="M2508" s="243"/>
      <c r="N2508" s="139"/>
      <c r="O2508" s="139"/>
      <c r="P2508" s="139"/>
      <c r="Q2508" s="147"/>
      <c r="R2508" s="139"/>
      <c r="S2508" s="139"/>
      <c r="T2508" s="139"/>
      <c r="U2508" s="139"/>
      <c r="V2508" s="139"/>
      <c r="W2508" s="139"/>
      <c r="X2508" s="146"/>
      <c r="Y2508" s="148"/>
      <c r="Z2508" s="145"/>
      <c r="AA2508" s="139"/>
      <c r="AB2508" s="149"/>
      <c r="AC2508" s="119"/>
      <c r="AD2508" s="139"/>
      <c r="AE2508" s="139"/>
      <c r="AF2508" s="139"/>
      <c r="AG2508" s="139"/>
      <c r="AH2508" s="139"/>
      <c r="AI2508" s="139"/>
      <c r="AJ2508" s="139"/>
      <c r="AK2508" s="139"/>
      <c r="AL2508" s="139"/>
      <c r="AM2508" s="139"/>
      <c r="AN2508" s="139"/>
      <c r="AO2508" s="139"/>
      <c r="AP2508" s="139"/>
      <c r="AQ2508" s="174"/>
      <c r="AR2508" s="222"/>
    </row>
    <row r="2509" spans="2:44" s="144" customFormat="1" ht="18" customHeight="1" x14ac:dyDescent="0.25">
      <c r="B2509" s="145"/>
      <c r="C2509" s="139"/>
      <c r="D2509" s="146"/>
      <c r="E2509" s="139"/>
      <c r="F2509" s="139"/>
      <c r="G2509" s="139"/>
      <c r="H2509" s="139"/>
      <c r="I2509" s="139"/>
      <c r="J2509" s="139"/>
      <c r="K2509" s="139"/>
      <c r="L2509" s="243"/>
      <c r="M2509" s="243"/>
      <c r="N2509" s="139"/>
      <c r="O2509" s="139"/>
      <c r="P2509" s="139"/>
      <c r="Q2509" s="147"/>
      <c r="R2509" s="139"/>
      <c r="S2509" s="139"/>
      <c r="T2509" s="139"/>
      <c r="U2509" s="139"/>
      <c r="V2509" s="139"/>
      <c r="W2509" s="139"/>
      <c r="X2509" s="146"/>
      <c r="Y2509" s="148"/>
      <c r="Z2509" s="145"/>
      <c r="AA2509" s="139"/>
      <c r="AB2509" s="149"/>
      <c r="AC2509" s="119"/>
      <c r="AD2509" s="139"/>
      <c r="AE2509" s="139"/>
      <c r="AF2509" s="139"/>
      <c r="AG2509" s="139"/>
      <c r="AH2509" s="139"/>
      <c r="AI2509" s="139"/>
      <c r="AJ2509" s="139"/>
      <c r="AK2509" s="139"/>
      <c r="AL2509" s="139"/>
      <c r="AM2509" s="139"/>
      <c r="AN2509" s="139"/>
      <c r="AO2509" s="139"/>
      <c r="AP2509" s="139"/>
      <c r="AQ2509" s="174"/>
      <c r="AR2509" s="222"/>
    </row>
    <row r="2510" spans="2:44" s="144" customFormat="1" ht="18" customHeight="1" x14ac:dyDescent="0.25">
      <c r="B2510" s="145"/>
      <c r="C2510" s="139"/>
      <c r="D2510" s="146"/>
      <c r="E2510" s="139"/>
      <c r="F2510" s="139"/>
      <c r="G2510" s="139"/>
      <c r="H2510" s="139"/>
      <c r="I2510" s="139"/>
      <c r="J2510" s="139"/>
      <c r="K2510" s="139"/>
      <c r="L2510" s="243"/>
      <c r="M2510" s="243"/>
      <c r="N2510" s="139"/>
      <c r="O2510" s="139"/>
      <c r="P2510" s="139"/>
      <c r="Q2510" s="147"/>
      <c r="R2510" s="139"/>
      <c r="S2510" s="139"/>
      <c r="T2510" s="139"/>
      <c r="U2510" s="139"/>
      <c r="V2510" s="139"/>
      <c r="W2510" s="139"/>
      <c r="X2510" s="146"/>
      <c r="Y2510" s="148"/>
      <c r="Z2510" s="145"/>
      <c r="AA2510" s="139"/>
      <c r="AB2510" s="149"/>
      <c r="AC2510" s="119"/>
      <c r="AD2510" s="139"/>
      <c r="AE2510" s="139"/>
      <c r="AF2510" s="139"/>
      <c r="AG2510" s="139"/>
      <c r="AH2510" s="139"/>
      <c r="AI2510" s="139"/>
      <c r="AJ2510" s="139"/>
      <c r="AK2510" s="139"/>
      <c r="AL2510" s="139"/>
      <c r="AM2510" s="139"/>
      <c r="AN2510" s="139"/>
      <c r="AO2510" s="139"/>
      <c r="AP2510" s="139"/>
      <c r="AQ2510" s="174"/>
      <c r="AR2510" s="222"/>
    </row>
    <row r="2511" spans="2:44" s="144" customFormat="1" ht="18" customHeight="1" x14ac:dyDescent="0.25">
      <c r="B2511" s="145"/>
      <c r="C2511" s="139"/>
      <c r="D2511" s="146"/>
      <c r="E2511" s="139"/>
      <c r="F2511" s="139"/>
      <c r="G2511" s="139"/>
      <c r="H2511" s="139"/>
      <c r="I2511" s="139"/>
      <c r="J2511" s="139"/>
      <c r="K2511" s="139"/>
      <c r="L2511" s="243"/>
      <c r="M2511" s="243"/>
      <c r="N2511" s="139"/>
      <c r="O2511" s="139"/>
      <c r="P2511" s="139"/>
      <c r="Q2511" s="147"/>
      <c r="R2511" s="139"/>
      <c r="S2511" s="139"/>
      <c r="T2511" s="139"/>
      <c r="U2511" s="139"/>
      <c r="V2511" s="139"/>
      <c r="W2511" s="139"/>
      <c r="X2511" s="146"/>
      <c r="Y2511" s="148"/>
      <c r="Z2511" s="145"/>
      <c r="AA2511" s="139"/>
      <c r="AB2511" s="149"/>
      <c r="AC2511" s="119"/>
      <c r="AD2511" s="139"/>
      <c r="AE2511" s="139"/>
      <c r="AF2511" s="139"/>
      <c r="AG2511" s="139"/>
      <c r="AH2511" s="139"/>
      <c r="AI2511" s="139"/>
      <c r="AJ2511" s="139"/>
      <c r="AK2511" s="139"/>
      <c r="AL2511" s="139"/>
      <c r="AM2511" s="139"/>
      <c r="AN2511" s="139"/>
      <c r="AO2511" s="139"/>
      <c r="AP2511" s="139"/>
      <c r="AQ2511" s="174"/>
      <c r="AR2511" s="222"/>
    </row>
    <row r="2517" spans="2:44" s="144" customFormat="1" ht="18" customHeight="1" x14ac:dyDescent="0.25">
      <c r="B2517" s="145"/>
      <c r="C2517" s="139"/>
      <c r="D2517" s="146"/>
      <c r="E2517" s="139"/>
      <c r="F2517" s="139"/>
      <c r="G2517" s="139"/>
      <c r="H2517" s="139"/>
      <c r="I2517" s="139"/>
      <c r="J2517" s="139"/>
      <c r="K2517" s="139"/>
      <c r="L2517" s="243"/>
      <c r="M2517" s="243"/>
      <c r="N2517" s="139"/>
      <c r="O2517" s="139"/>
      <c r="P2517" s="139"/>
      <c r="Q2517" s="147"/>
      <c r="R2517" s="139"/>
      <c r="S2517" s="139"/>
      <c r="T2517" s="139"/>
      <c r="U2517" s="139"/>
      <c r="V2517" s="139"/>
      <c r="W2517" s="139"/>
      <c r="X2517" s="146"/>
      <c r="Y2517" s="148"/>
      <c r="Z2517" s="145"/>
      <c r="AA2517" s="139"/>
      <c r="AB2517" s="149"/>
      <c r="AC2517" s="119"/>
      <c r="AD2517" s="139"/>
      <c r="AE2517" s="139"/>
      <c r="AF2517" s="139"/>
      <c r="AG2517" s="139"/>
      <c r="AH2517" s="139"/>
      <c r="AI2517" s="139"/>
      <c r="AJ2517" s="139"/>
      <c r="AK2517" s="139"/>
      <c r="AL2517" s="139"/>
      <c r="AM2517" s="139"/>
      <c r="AN2517" s="139"/>
      <c r="AO2517" s="139"/>
      <c r="AP2517" s="139"/>
      <c r="AQ2517" s="174"/>
      <c r="AR2517" s="222"/>
    </row>
    <row r="2522" spans="2:44" s="277" customFormat="1" ht="18" customHeight="1" x14ac:dyDescent="0.25">
      <c r="B2522" s="145"/>
      <c r="C2522" s="139"/>
      <c r="D2522" s="146"/>
      <c r="E2522" s="139"/>
      <c r="F2522" s="139"/>
      <c r="G2522" s="139"/>
      <c r="H2522" s="139"/>
      <c r="I2522" s="139"/>
      <c r="J2522" s="139"/>
      <c r="K2522" s="139"/>
      <c r="L2522" s="243"/>
      <c r="M2522" s="243"/>
      <c r="N2522" s="139"/>
      <c r="O2522" s="139"/>
      <c r="P2522" s="139"/>
      <c r="Q2522" s="147"/>
      <c r="R2522" s="139"/>
      <c r="S2522" s="139"/>
      <c r="T2522" s="139"/>
      <c r="U2522" s="139"/>
      <c r="V2522" s="139"/>
      <c r="W2522" s="139"/>
      <c r="X2522" s="146"/>
      <c r="Y2522" s="148"/>
      <c r="Z2522" s="145"/>
      <c r="AA2522" s="139"/>
      <c r="AB2522" s="149"/>
      <c r="AC2522" s="119"/>
      <c r="AD2522" s="139"/>
      <c r="AE2522" s="139"/>
      <c r="AF2522" s="139"/>
      <c r="AG2522" s="139"/>
      <c r="AH2522" s="139"/>
      <c r="AI2522" s="139"/>
      <c r="AJ2522" s="139"/>
      <c r="AK2522" s="139"/>
      <c r="AL2522" s="139"/>
      <c r="AM2522" s="139"/>
      <c r="AN2522" s="139"/>
      <c r="AO2522" s="139"/>
      <c r="AP2522" s="139"/>
      <c r="AQ2522" s="174"/>
      <c r="AR2522" s="222"/>
    </row>
    <row r="2523" spans="2:44" s="277" customFormat="1" ht="18" customHeight="1" x14ac:dyDescent="0.25">
      <c r="B2523" s="145"/>
      <c r="C2523" s="139"/>
      <c r="D2523" s="146"/>
      <c r="E2523" s="139"/>
      <c r="F2523" s="139"/>
      <c r="G2523" s="139"/>
      <c r="H2523" s="139"/>
      <c r="I2523" s="139"/>
      <c r="J2523" s="139"/>
      <c r="K2523" s="139"/>
      <c r="L2523" s="243"/>
      <c r="M2523" s="243"/>
      <c r="N2523" s="139"/>
      <c r="O2523" s="139"/>
      <c r="P2523" s="139"/>
      <c r="Q2523" s="147"/>
      <c r="R2523" s="139"/>
      <c r="S2523" s="139"/>
      <c r="T2523" s="139"/>
      <c r="U2523" s="139"/>
      <c r="V2523" s="139"/>
      <c r="W2523" s="139"/>
      <c r="X2523" s="146"/>
      <c r="Y2523" s="148"/>
      <c r="Z2523" s="145"/>
      <c r="AA2523" s="139"/>
      <c r="AB2523" s="149"/>
      <c r="AC2523" s="119"/>
      <c r="AD2523" s="139"/>
      <c r="AE2523" s="139"/>
      <c r="AF2523" s="139"/>
      <c r="AG2523" s="139"/>
      <c r="AH2523" s="139"/>
      <c r="AI2523" s="139"/>
      <c r="AJ2523" s="139"/>
      <c r="AK2523" s="139"/>
      <c r="AL2523" s="139"/>
      <c r="AM2523" s="139"/>
      <c r="AN2523" s="139"/>
      <c r="AO2523" s="139"/>
      <c r="AP2523" s="139"/>
      <c r="AQ2523" s="174"/>
      <c r="AR2523" s="222"/>
    </row>
    <row r="2533" spans="2:44" s="144" customFormat="1" ht="18" customHeight="1" x14ac:dyDescent="0.25">
      <c r="B2533" s="145"/>
      <c r="C2533" s="139"/>
      <c r="D2533" s="146"/>
      <c r="E2533" s="139"/>
      <c r="F2533" s="139"/>
      <c r="G2533" s="139"/>
      <c r="H2533" s="139"/>
      <c r="I2533" s="139"/>
      <c r="J2533" s="139"/>
      <c r="K2533" s="139"/>
      <c r="L2533" s="243"/>
      <c r="M2533" s="243"/>
      <c r="N2533" s="139"/>
      <c r="O2533" s="139"/>
      <c r="P2533" s="139"/>
      <c r="Q2533" s="147"/>
      <c r="R2533" s="139"/>
      <c r="S2533" s="139"/>
      <c r="T2533" s="139"/>
      <c r="U2533" s="139"/>
      <c r="V2533" s="139"/>
      <c r="W2533" s="139"/>
      <c r="X2533" s="146"/>
      <c r="Y2533" s="148"/>
      <c r="Z2533" s="145"/>
      <c r="AA2533" s="139"/>
      <c r="AB2533" s="149"/>
      <c r="AC2533" s="119"/>
      <c r="AD2533" s="139"/>
      <c r="AE2533" s="139"/>
      <c r="AF2533" s="139"/>
      <c r="AG2533" s="139"/>
      <c r="AH2533" s="139"/>
      <c r="AI2533" s="139"/>
      <c r="AJ2533" s="139"/>
      <c r="AK2533" s="139"/>
      <c r="AL2533" s="139"/>
      <c r="AM2533" s="139"/>
      <c r="AN2533" s="139"/>
      <c r="AO2533" s="139"/>
      <c r="AP2533" s="139"/>
      <c r="AQ2533" s="174"/>
      <c r="AR2533" s="222"/>
    </row>
    <row r="2534" spans="2:44" s="144" customFormat="1" ht="18" customHeight="1" x14ac:dyDescent="0.25">
      <c r="B2534" s="145"/>
      <c r="C2534" s="139"/>
      <c r="D2534" s="146"/>
      <c r="E2534" s="139"/>
      <c r="F2534" s="139"/>
      <c r="G2534" s="139"/>
      <c r="H2534" s="139"/>
      <c r="I2534" s="139"/>
      <c r="J2534" s="139"/>
      <c r="K2534" s="139"/>
      <c r="L2534" s="243"/>
      <c r="M2534" s="243"/>
      <c r="N2534" s="139"/>
      <c r="O2534" s="139"/>
      <c r="P2534" s="139"/>
      <c r="Q2534" s="147"/>
      <c r="R2534" s="139"/>
      <c r="S2534" s="139"/>
      <c r="T2534" s="139"/>
      <c r="U2534" s="139"/>
      <c r="V2534" s="139"/>
      <c r="W2534" s="139"/>
      <c r="X2534" s="146"/>
      <c r="Y2534" s="148"/>
      <c r="Z2534" s="145"/>
      <c r="AA2534" s="139"/>
      <c r="AB2534" s="149"/>
      <c r="AC2534" s="119"/>
      <c r="AD2534" s="139"/>
      <c r="AE2534" s="139"/>
      <c r="AF2534" s="139"/>
      <c r="AG2534" s="139"/>
      <c r="AH2534" s="139"/>
      <c r="AI2534" s="139"/>
      <c r="AJ2534" s="139"/>
      <c r="AK2534" s="139"/>
      <c r="AL2534" s="139"/>
      <c r="AM2534" s="139"/>
      <c r="AN2534" s="139"/>
      <c r="AO2534" s="139"/>
      <c r="AP2534" s="139"/>
      <c r="AQ2534" s="174"/>
      <c r="AR2534" s="222"/>
    </row>
    <row r="2537" spans="2:44" s="144" customFormat="1" ht="18" customHeight="1" x14ac:dyDescent="0.25">
      <c r="B2537" s="145"/>
      <c r="C2537" s="139"/>
      <c r="D2537" s="146"/>
      <c r="E2537" s="139"/>
      <c r="F2537" s="139"/>
      <c r="G2537" s="139"/>
      <c r="H2537" s="139"/>
      <c r="I2537" s="139"/>
      <c r="J2537" s="139"/>
      <c r="K2537" s="139"/>
      <c r="L2537" s="243"/>
      <c r="M2537" s="243"/>
      <c r="N2537" s="139"/>
      <c r="O2537" s="139"/>
      <c r="P2537" s="139"/>
      <c r="Q2537" s="147"/>
      <c r="R2537" s="139"/>
      <c r="S2537" s="139"/>
      <c r="T2537" s="139"/>
      <c r="U2537" s="139"/>
      <c r="V2537" s="139"/>
      <c r="W2537" s="139"/>
      <c r="X2537" s="146"/>
      <c r="Y2537" s="148"/>
      <c r="Z2537" s="145"/>
      <c r="AA2537" s="139"/>
      <c r="AB2537" s="149"/>
      <c r="AC2537" s="119"/>
      <c r="AD2537" s="139"/>
      <c r="AE2537" s="139"/>
      <c r="AF2537" s="139"/>
      <c r="AG2537" s="139"/>
      <c r="AH2537" s="139"/>
      <c r="AI2537" s="139"/>
      <c r="AJ2537" s="139"/>
      <c r="AK2537" s="139"/>
      <c r="AL2537" s="139"/>
      <c r="AM2537" s="139"/>
      <c r="AN2537" s="139"/>
      <c r="AO2537" s="139"/>
      <c r="AP2537" s="139"/>
      <c r="AQ2537" s="174"/>
      <c r="AR2537" s="222"/>
    </row>
    <row r="2538" spans="2:44" s="144" customFormat="1" ht="18" customHeight="1" x14ac:dyDescent="0.25">
      <c r="B2538" s="145"/>
      <c r="C2538" s="139"/>
      <c r="D2538" s="146"/>
      <c r="E2538" s="139"/>
      <c r="F2538" s="139"/>
      <c r="G2538" s="139"/>
      <c r="H2538" s="139"/>
      <c r="I2538" s="139"/>
      <c r="J2538" s="139"/>
      <c r="K2538" s="139"/>
      <c r="L2538" s="243"/>
      <c r="M2538" s="243"/>
      <c r="N2538" s="139"/>
      <c r="O2538" s="139"/>
      <c r="P2538" s="139"/>
      <c r="Q2538" s="147"/>
      <c r="R2538" s="139"/>
      <c r="S2538" s="139"/>
      <c r="T2538" s="139"/>
      <c r="U2538" s="139"/>
      <c r="V2538" s="139"/>
      <c r="W2538" s="139"/>
      <c r="X2538" s="146"/>
      <c r="Y2538" s="148"/>
      <c r="Z2538" s="145"/>
      <c r="AA2538" s="139"/>
      <c r="AB2538" s="149"/>
      <c r="AC2538" s="119"/>
      <c r="AD2538" s="139"/>
      <c r="AE2538" s="139"/>
      <c r="AF2538" s="139"/>
      <c r="AG2538" s="139"/>
      <c r="AH2538" s="139"/>
      <c r="AI2538" s="139"/>
      <c r="AJ2538" s="139"/>
      <c r="AK2538" s="139"/>
      <c r="AL2538" s="139"/>
      <c r="AM2538" s="139"/>
      <c r="AN2538" s="139"/>
      <c r="AO2538" s="139"/>
      <c r="AP2538" s="139"/>
      <c r="AQ2538" s="174"/>
      <c r="AR2538" s="222"/>
    </row>
    <row r="2539" spans="2:44" s="144" customFormat="1" ht="18" customHeight="1" x14ac:dyDescent="0.25">
      <c r="B2539" s="145"/>
      <c r="C2539" s="139"/>
      <c r="D2539" s="146"/>
      <c r="E2539" s="139"/>
      <c r="F2539" s="139"/>
      <c r="G2539" s="139"/>
      <c r="H2539" s="139"/>
      <c r="I2539" s="139"/>
      <c r="J2539" s="139"/>
      <c r="K2539" s="139"/>
      <c r="L2539" s="243"/>
      <c r="M2539" s="243"/>
      <c r="N2539" s="139"/>
      <c r="O2539" s="139"/>
      <c r="P2539" s="139"/>
      <c r="Q2539" s="147"/>
      <c r="R2539" s="139"/>
      <c r="S2539" s="139"/>
      <c r="T2539" s="139"/>
      <c r="U2539" s="139"/>
      <c r="V2539" s="139"/>
      <c r="W2539" s="139"/>
      <c r="X2539" s="146"/>
      <c r="Y2539" s="148"/>
      <c r="Z2539" s="145"/>
      <c r="AA2539" s="139"/>
      <c r="AB2539" s="149"/>
      <c r="AC2539" s="119"/>
      <c r="AD2539" s="139"/>
      <c r="AE2539" s="139"/>
      <c r="AF2539" s="139"/>
      <c r="AG2539" s="139"/>
      <c r="AH2539" s="139"/>
      <c r="AI2539" s="139"/>
      <c r="AJ2539" s="139"/>
      <c r="AK2539" s="139"/>
      <c r="AL2539" s="139"/>
      <c r="AM2539" s="139"/>
      <c r="AN2539" s="139"/>
      <c r="AO2539" s="139"/>
      <c r="AP2539" s="139"/>
      <c r="AQ2539" s="174"/>
      <c r="AR2539" s="222"/>
    </row>
    <row r="2542" spans="2:44" s="144" customFormat="1" ht="18" customHeight="1" x14ac:dyDescent="0.25">
      <c r="B2542" s="145"/>
      <c r="C2542" s="139"/>
      <c r="D2542" s="146"/>
      <c r="E2542" s="139"/>
      <c r="F2542" s="139"/>
      <c r="G2542" s="139"/>
      <c r="H2542" s="139"/>
      <c r="I2542" s="139"/>
      <c r="J2542" s="139"/>
      <c r="K2542" s="139"/>
      <c r="L2542" s="243"/>
      <c r="M2542" s="243"/>
      <c r="N2542" s="139"/>
      <c r="O2542" s="139"/>
      <c r="P2542" s="139"/>
      <c r="Q2542" s="147"/>
      <c r="R2542" s="139"/>
      <c r="S2542" s="139"/>
      <c r="T2542" s="139"/>
      <c r="U2542" s="139"/>
      <c r="V2542" s="139"/>
      <c r="W2542" s="139"/>
      <c r="X2542" s="146"/>
      <c r="Y2542" s="148"/>
      <c r="Z2542" s="145"/>
      <c r="AA2542" s="139"/>
      <c r="AB2542" s="149"/>
      <c r="AC2542" s="119"/>
      <c r="AD2542" s="139"/>
      <c r="AE2542" s="139"/>
      <c r="AF2542" s="139"/>
      <c r="AG2542" s="139"/>
      <c r="AH2542" s="139"/>
      <c r="AI2542" s="139"/>
      <c r="AJ2542" s="139"/>
      <c r="AK2542" s="139"/>
      <c r="AL2542" s="139"/>
      <c r="AM2542" s="139"/>
      <c r="AN2542" s="139"/>
      <c r="AO2542" s="139"/>
      <c r="AP2542" s="139"/>
      <c r="AQ2542" s="174"/>
      <c r="AR2542" s="222"/>
    </row>
    <row r="2543" spans="2:44" s="144" customFormat="1" ht="18" customHeight="1" x14ac:dyDescent="0.25">
      <c r="B2543" s="145"/>
      <c r="C2543" s="139"/>
      <c r="D2543" s="146"/>
      <c r="E2543" s="139"/>
      <c r="F2543" s="139"/>
      <c r="G2543" s="139"/>
      <c r="H2543" s="139"/>
      <c r="I2543" s="139"/>
      <c r="J2543" s="139"/>
      <c r="K2543" s="139"/>
      <c r="L2543" s="243"/>
      <c r="M2543" s="243"/>
      <c r="N2543" s="139"/>
      <c r="O2543" s="139"/>
      <c r="P2543" s="139"/>
      <c r="Q2543" s="147"/>
      <c r="R2543" s="139"/>
      <c r="S2543" s="139"/>
      <c r="T2543" s="139"/>
      <c r="U2543" s="139"/>
      <c r="V2543" s="139"/>
      <c r="W2543" s="139"/>
      <c r="X2543" s="146"/>
      <c r="Y2543" s="148"/>
      <c r="Z2543" s="145"/>
      <c r="AA2543" s="139"/>
      <c r="AB2543" s="149"/>
      <c r="AC2543" s="119"/>
      <c r="AD2543" s="139"/>
      <c r="AE2543" s="139"/>
      <c r="AF2543" s="139"/>
      <c r="AG2543" s="139"/>
      <c r="AH2543" s="139"/>
      <c r="AI2543" s="139"/>
      <c r="AJ2543" s="139"/>
      <c r="AK2543" s="139"/>
      <c r="AL2543" s="139"/>
      <c r="AM2543" s="139"/>
      <c r="AN2543" s="139"/>
      <c r="AO2543" s="139"/>
      <c r="AP2543" s="139"/>
      <c r="AQ2543" s="174"/>
      <c r="AR2543" s="222"/>
    </row>
    <row r="2558" spans="2:44" s="144" customFormat="1" ht="18" customHeight="1" x14ac:dyDescent="0.25">
      <c r="B2558" s="145"/>
      <c r="C2558" s="139"/>
      <c r="D2558" s="146"/>
      <c r="E2558" s="139"/>
      <c r="F2558" s="139"/>
      <c r="G2558" s="139"/>
      <c r="H2558" s="139"/>
      <c r="I2558" s="139"/>
      <c r="J2558" s="139"/>
      <c r="K2558" s="139"/>
      <c r="L2558" s="243"/>
      <c r="M2558" s="243"/>
      <c r="N2558" s="139"/>
      <c r="O2558" s="139"/>
      <c r="P2558" s="139"/>
      <c r="Q2558" s="147"/>
      <c r="R2558" s="139"/>
      <c r="S2558" s="139"/>
      <c r="T2558" s="139"/>
      <c r="U2558" s="139"/>
      <c r="V2558" s="139"/>
      <c r="W2558" s="139"/>
      <c r="X2558" s="146"/>
      <c r="Y2558" s="148"/>
      <c r="Z2558" s="145"/>
      <c r="AA2558" s="139"/>
      <c r="AB2558" s="149"/>
      <c r="AC2558" s="119"/>
      <c r="AD2558" s="139"/>
      <c r="AE2558" s="139"/>
      <c r="AF2558" s="139"/>
      <c r="AG2558" s="139"/>
      <c r="AH2558" s="139"/>
      <c r="AI2558" s="139"/>
      <c r="AJ2558" s="139"/>
      <c r="AK2558" s="139"/>
      <c r="AL2558" s="139"/>
      <c r="AM2558" s="139"/>
      <c r="AN2558" s="139"/>
      <c r="AO2558" s="139"/>
      <c r="AP2558" s="139"/>
      <c r="AQ2558" s="174"/>
      <c r="AR2558" s="222"/>
    </row>
    <row r="2559" spans="2:44" s="144" customFormat="1" ht="18" customHeight="1" x14ac:dyDescent="0.25">
      <c r="B2559" s="145"/>
      <c r="C2559" s="139"/>
      <c r="D2559" s="146"/>
      <c r="E2559" s="139"/>
      <c r="F2559" s="139"/>
      <c r="G2559" s="139"/>
      <c r="H2559" s="139"/>
      <c r="I2559" s="139"/>
      <c r="J2559" s="139"/>
      <c r="K2559" s="139"/>
      <c r="L2559" s="243"/>
      <c r="M2559" s="243"/>
      <c r="N2559" s="139"/>
      <c r="O2559" s="139"/>
      <c r="P2559" s="139"/>
      <c r="Q2559" s="147"/>
      <c r="R2559" s="139"/>
      <c r="S2559" s="139"/>
      <c r="T2559" s="139"/>
      <c r="U2559" s="139"/>
      <c r="V2559" s="139"/>
      <c r="W2559" s="139"/>
      <c r="X2559" s="146"/>
      <c r="Y2559" s="148"/>
      <c r="Z2559" s="145"/>
      <c r="AA2559" s="139"/>
      <c r="AB2559" s="149"/>
      <c r="AC2559" s="119"/>
      <c r="AD2559" s="139"/>
      <c r="AE2559" s="139"/>
      <c r="AF2559" s="139"/>
      <c r="AG2559" s="139"/>
      <c r="AH2559" s="139"/>
      <c r="AI2559" s="139"/>
      <c r="AJ2559" s="139"/>
      <c r="AK2559" s="139"/>
      <c r="AL2559" s="139"/>
      <c r="AM2559" s="139"/>
      <c r="AN2559" s="139"/>
      <c r="AO2559" s="139"/>
      <c r="AP2559" s="139"/>
      <c r="AQ2559" s="174"/>
      <c r="AR2559" s="222"/>
    </row>
    <row r="2560" spans="2:44" s="144" customFormat="1" ht="18" customHeight="1" x14ac:dyDescent="0.25">
      <c r="B2560" s="145"/>
      <c r="C2560" s="139"/>
      <c r="D2560" s="146"/>
      <c r="E2560" s="139"/>
      <c r="F2560" s="139"/>
      <c r="G2560" s="139"/>
      <c r="H2560" s="139"/>
      <c r="I2560" s="139"/>
      <c r="J2560" s="139"/>
      <c r="K2560" s="139"/>
      <c r="L2560" s="243"/>
      <c r="M2560" s="243"/>
      <c r="N2560" s="139"/>
      <c r="O2560" s="139"/>
      <c r="P2560" s="139"/>
      <c r="Q2560" s="147"/>
      <c r="R2560" s="139"/>
      <c r="S2560" s="139"/>
      <c r="T2560" s="139"/>
      <c r="U2560" s="139"/>
      <c r="V2560" s="139"/>
      <c r="W2560" s="139"/>
      <c r="X2560" s="146"/>
      <c r="Y2560" s="148"/>
      <c r="Z2560" s="145"/>
      <c r="AA2560" s="139"/>
      <c r="AB2560" s="149"/>
      <c r="AC2560" s="119"/>
      <c r="AD2560" s="139"/>
      <c r="AE2560" s="139"/>
      <c r="AF2560" s="139"/>
      <c r="AG2560" s="139"/>
      <c r="AH2560" s="139"/>
      <c r="AI2560" s="139"/>
      <c r="AJ2560" s="139"/>
      <c r="AK2560" s="139"/>
      <c r="AL2560" s="139"/>
      <c r="AM2560" s="139"/>
      <c r="AN2560" s="139"/>
      <c r="AO2560" s="139"/>
      <c r="AP2560" s="139"/>
      <c r="AQ2560" s="174"/>
      <c r="AR2560" s="222"/>
    </row>
    <row r="2561" spans="2:44" s="144" customFormat="1" ht="18" customHeight="1" x14ac:dyDescent="0.25">
      <c r="B2561" s="145"/>
      <c r="C2561" s="139"/>
      <c r="D2561" s="146"/>
      <c r="E2561" s="139"/>
      <c r="F2561" s="139"/>
      <c r="G2561" s="139"/>
      <c r="H2561" s="139"/>
      <c r="I2561" s="139"/>
      <c r="J2561" s="139"/>
      <c r="K2561" s="139"/>
      <c r="L2561" s="243"/>
      <c r="M2561" s="243"/>
      <c r="N2561" s="139"/>
      <c r="O2561" s="139"/>
      <c r="P2561" s="139"/>
      <c r="Q2561" s="147"/>
      <c r="R2561" s="139"/>
      <c r="S2561" s="139"/>
      <c r="T2561" s="139"/>
      <c r="U2561" s="139"/>
      <c r="V2561" s="139"/>
      <c r="W2561" s="139"/>
      <c r="X2561" s="146"/>
      <c r="Y2561" s="148"/>
      <c r="Z2561" s="145"/>
      <c r="AA2561" s="139"/>
      <c r="AB2561" s="149"/>
      <c r="AC2561" s="119"/>
      <c r="AD2561" s="139"/>
      <c r="AE2561" s="139"/>
      <c r="AF2561" s="139"/>
      <c r="AG2561" s="139"/>
      <c r="AH2561" s="139"/>
      <c r="AI2561" s="139"/>
      <c r="AJ2561" s="139"/>
      <c r="AK2561" s="139"/>
      <c r="AL2561" s="139"/>
      <c r="AM2561" s="139"/>
      <c r="AN2561" s="139"/>
      <c r="AO2561" s="139"/>
      <c r="AP2561" s="139"/>
      <c r="AQ2561" s="174"/>
      <c r="AR2561" s="222"/>
    </row>
    <row r="2562" spans="2:44" s="144" customFormat="1" ht="18" customHeight="1" x14ac:dyDescent="0.25">
      <c r="B2562" s="145"/>
      <c r="C2562" s="139"/>
      <c r="D2562" s="146"/>
      <c r="E2562" s="139"/>
      <c r="F2562" s="139"/>
      <c r="G2562" s="139"/>
      <c r="H2562" s="139"/>
      <c r="I2562" s="139"/>
      <c r="J2562" s="139"/>
      <c r="K2562" s="139"/>
      <c r="L2562" s="243"/>
      <c r="M2562" s="243"/>
      <c r="N2562" s="139"/>
      <c r="O2562" s="139"/>
      <c r="P2562" s="139"/>
      <c r="Q2562" s="147"/>
      <c r="R2562" s="139"/>
      <c r="S2562" s="139"/>
      <c r="T2562" s="139"/>
      <c r="U2562" s="139"/>
      <c r="V2562" s="139"/>
      <c r="W2562" s="139"/>
      <c r="X2562" s="146"/>
      <c r="Y2562" s="148"/>
      <c r="Z2562" s="145"/>
      <c r="AA2562" s="139"/>
      <c r="AB2562" s="149"/>
      <c r="AC2562" s="119"/>
      <c r="AD2562" s="139"/>
      <c r="AE2562" s="139"/>
      <c r="AF2562" s="139"/>
      <c r="AG2562" s="139"/>
      <c r="AH2562" s="139"/>
      <c r="AI2562" s="139"/>
      <c r="AJ2562" s="139"/>
      <c r="AK2562" s="139"/>
      <c r="AL2562" s="139"/>
      <c r="AM2562" s="139"/>
      <c r="AN2562" s="139"/>
      <c r="AO2562" s="139"/>
      <c r="AP2562" s="139"/>
      <c r="AQ2562" s="174"/>
      <c r="AR2562" s="222"/>
    </row>
    <row r="2563" spans="2:44" s="144" customFormat="1" ht="18" customHeight="1" x14ac:dyDescent="0.25">
      <c r="B2563" s="145"/>
      <c r="C2563" s="139"/>
      <c r="D2563" s="146"/>
      <c r="E2563" s="139"/>
      <c r="F2563" s="139"/>
      <c r="G2563" s="139"/>
      <c r="H2563" s="139"/>
      <c r="I2563" s="139"/>
      <c r="J2563" s="139"/>
      <c r="K2563" s="139"/>
      <c r="L2563" s="243"/>
      <c r="M2563" s="243"/>
      <c r="N2563" s="139"/>
      <c r="O2563" s="139"/>
      <c r="P2563" s="139"/>
      <c r="Q2563" s="147"/>
      <c r="R2563" s="139"/>
      <c r="S2563" s="139"/>
      <c r="T2563" s="139"/>
      <c r="U2563" s="139"/>
      <c r="V2563" s="139"/>
      <c r="W2563" s="139"/>
      <c r="X2563" s="146"/>
      <c r="Y2563" s="148"/>
      <c r="Z2563" s="145"/>
      <c r="AA2563" s="139"/>
      <c r="AB2563" s="149"/>
      <c r="AC2563" s="119"/>
      <c r="AD2563" s="139"/>
      <c r="AE2563" s="139"/>
      <c r="AF2563" s="139"/>
      <c r="AG2563" s="139"/>
      <c r="AH2563" s="139"/>
      <c r="AI2563" s="139"/>
      <c r="AJ2563" s="139"/>
      <c r="AK2563" s="139"/>
      <c r="AL2563" s="139"/>
      <c r="AM2563" s="139"/>
      <c r="AN2563" s="139"/>
      <c r="AO2563" s="139"/>
      <c r="AP2563" s="139"/>
      <c r="AQ2563" s="174"/>
      <c r="AR2563" s="222"/>
    </row>
    <row r="2564" spans="2:44" s="144" customFormat="1" ht="18" customHeight="1" x14ac:dyDescent="0.25">
      <c r="B2564" s="145"/>
      <c r="C2564" s="139"/>
      <c r="D2564" s="146"/>
      <c r="E2564" s="139"/>
      <c r="F2564" s="139"/>
      <c r="G2564" s="139"/>
      <c r="H2564" s="139"/>
      <c r="I2564" s="139"/>
      <c r="J2564" s="139"/>
      <c r="K2564" s="139"/>
      <c r="L2564" s="243"/>
      <c r="M2564" s="243"/>
      <c r="N2564" s="139"/>
      <c r="O2564" s="139"/>
      <c r="P2564" s="139"/>
      <c r="Q2564" s="147"/>
      <c r="R2564" s="139"/>
      <c r="S2564" s="139"/>
      <c r="T2564" s="139"/>
      <c r="U2564" s="139"/>
      <c r="V2564" s="139"/>
      <c r="W2564" s="139"/>
      <c r="X2564" s="146"/>
      <c r="Y2564" s="148"/>
      <c r="Z2564" s="145"/>
      <c r="AA2564" s="139"/>
      <c r="AB2564" s="149"/>
      <c r="AC2564" s="119"/>
      <c r="AD2564" s="139"/>
      <c r="AE2564" s="139"/>
      <c r="AF2564" s="139"/>
      <c r="AG2564" s="139"/>
      <c r="AH2564" s="139"/>
      <c r="AI2564" s="139"/>
      <c r="AJ2564" s="139"/>
      <c r="AK2564" s="139"/>
      <c r="AL2564" s="139"/>
      <c r="AM2564" s="139"/>
      <c r="AN2564" s="139"/>
      <c r="AO2564" s="139"/>
      <c r="AP2564" s="139"/>
      <c r="AQ2564" s="174"/>
      <c r="AR2564" s="222"/>
    </row>
    <row r="2565" spans="2:44" s="144" customFormat="1" ht="18" customHeight="1" x14ac:dyDescent="0.25">
      <c r="B2565" s="145"/>
      <c r="C2565" s="139"/>
      <c r="D2565" s="146"/>
      <c r="E2565" s="139"/>
      <c r="F2565" s="139"/>
      <c r="G2565" s="139"/>
      <c r="H2565" s="139"/>
      <c r="I2565" s="139"/>
      <c r="J2565" s="139"/>
      <c r="K2565" s="139"/>
      <c r="L2565" s="243"/>
      <c r="M2565" s="243"/>
      <c r="N2565" s="139"/>
      <c r="O2565" s="139"/>
      <c r="P2565" s="139"/>
      <c r="Q2565" s="147"/>
      <c r="R2565" s="139"/>
      <c r="S2565" s="139"/>
      <c r="T2565" s="139"/>
      <c r="U2565" s="139"/>
      <c r="V2565" s="139"/>
      <c r="W2565" s="139"/>
      <c r="X2565" s="146"/>
      <c r="Y2565" s="148"/>
      <c r="Z2565" s="145"/>
      <c r="AA2565" s="139"/>
      <c r="AB2565" s="149"/>
      <c r="AC2565" s="119"/>
      <c r="AD2565" s="139"/>
      <c r="AE2565" s="139"/>
      <c r="AF2565" s="139"/>
      <c r="AG2565" s="139"/>
      <c r="AH2565" s="139"/>
      <c r="AI2565" s="139"/>
      <c r="AJ2565" s="139"/>
      <c r="AK2565" s="139"/>
      <c r="AL2565" s="139"/>
      <c r="AM2565" s="139"/>
      <c r="AN2565" s="139"/>
      <c r="AO2565" s="139"/>
      <c r="AP2565" s="139"/>
      <c r="AQ2565" s="174"/>
      <c r="AR2565" s="222"/>
    </row>
    <row r="2566" spans="2:44" s="144" customFormat="1" ht="18" customHeight="1" x14ac:dyDescent="0.25">
      <c r="B2566" s="145"/>
      <c r="C2566" s="139"/>
      <c r="D2566" s="146"/>
      <c r="E2566" s="139"/>
      <c r="F2566" s="139"/>
      <c r="G2566" s="139"/>
      <c r="H2566" s="139"/>
      <c r="I2566" s="139"/>
      <c r="J2566" s="139"/>
      <c r="K2566" s="139"/>
      <c r="L2566" s="243"/>
      <c r="M2566" s="243"/>
      <c r="N2566" s="139"/>
      <c r="O2566" s="139"/>
      <c r="P2566" s="139"/>
      <c r="Q2566" s="147"/>
      <c r="R2566" s="139"/>
      <c r="S2566" s="139"/>
      <c r="T2566" s="139"/>
      <c r="U2566" s="139"/>
      <c r="V2566" s="139"/>
      <c r="W2566" s="139"/>
      <c r="X2566" s="146"/>
      <c r="Y2566" s="148"/>
      <c r="Z2566" s="145"/>
      <c r="AA2566" s="139"/>
      <c r="AB2566" s="149"/>
      <c r="AC2566" s="119"/>
      <c r="AD2566" s="139"/>
      <c r="AE2566" s="139"/>
      <c r="AF2566" s="139"/>
      <c r="AG2566" s="139"/>
      <c r="AH2566" s="139"/>
      <c r="AI2566" s="139"/>
      <c r="AJ2566" s="139"/>
      <c r="AK2566" s="139"/>
      <c r="AL2566" s="139"/>
      <c r="AM2566" s="139"/>
      <c r="AN2566" s="139"/>
      <c r="AO2566" s="139"/>
      <c r="AP2566" s="139"/>
      <c r="AQ2566" s="174"/>
      <c r="AR2566" s="222"/>
    </row>
    <row r="2567" spans="2:44" s="144" customFormat="1" ht="18" customHeight="1" x14ac:dyDescent="0.25">
      <c r="B2567" s="145"/>
      <c r="C2567" s="139"/>
      <c r="D2567" s="146"/>
      <c r="E2567" s="139"/>
      <c r="F2567" s="139"/>
      <c r="G2567" s="139"/>
      <c r="H2567" s="139"/>
      <c r="I2567" s="139"/>
      <c r="J2567" s="139"/>
      <c r="K2567" s="139"/>
      <c r="L2567" s="243"/>
      <c r="M2567" s="243"/>
      <c r="N2567" s="139"/>
      <c r="O2567" s="139"/>
      <c r="P2567" s="139"/>
      <c r="Q2567" s="147"/>
      <c r="R2567" s="139"/>
      <c r="S2567" s="139"/>
      <c r="T2567" s="139"/>
      <c r="U2567" s="139"/>
      <c r="V2567" s="139"/>
      <c r="W2567" s="139"/>
      <c r="X2567" s="146"/>
      <c r="Y2567" s="148"/>
      <c r="Z2567" s="145"/>
      <c r="AA2567" s="139"/>
      <c r="AB2567" s="149"/>
      <c r="AC2567" s="119"/>
      <c r="AD2567" s="139"/>
      <c r="AE2567" s="139"/>
      <c r="AF2567" s="139"/>
      <c r="AG2567" s="139"/>
      <c r="AH2567" s="139"/>
      <c r="AI2567" s="139"/>
      <c r="AJ2567" s="139"/>
      <c r="AK2567" s="139"/>
      <c r="AL2567" s="139"/>
      <c r="AM2567" s="139"/>
      <c r="AN2567" s="139"/>
      <c r="AO2567" s="139"/>
      <c r="AP2567" s="139"/>
      <c r="AQ2567" s="174"/>
      <c r="AR2567" s="222"/>
    </row>
    <row r="2582" spans="2:44" s="144" customFormat="1" ht="18" customHeight="1" x14ac:dyDescent="0.25">
      <c r="B2582" s="145"/>
      <c r="C2582" s="139"/>
      <c r="D2582" s="146"/>
      <c r="E2582" s="139"/>
      <c r="F2582" s="139"/>
      <c r="G2582" s="139"/>
      <c r="H2582" s="139"/>
      <c r="I2582" s="139"/>
      <c r="J2582" s="139"/>
      <c r="K2582" s="139"/>
      <c r="L2582" s="243"/>
      <c r="M2582" s="243"/>
      <c r="N2582" s="139"/>
      <c r="O2582" s="139"/>
      <c r="P2582" s="139"/>
      <c r="Q2582" s="147"/>
      <c r="R2582" s="139"/>
      <c r="S2582" s="139"/>
      <c r="T2582" s="139"/>
      <c r="U2582" s="139"/>
      <c r="V2582" s="139"/>
      <c r="W2582" s="139"/>
      <c r="X2582" s="146"/>
      <c r="Y2582" s="148"/>
      <c r="Z2582" s="145"/>
      <c r="AA2582" s="139"/>
      <c r="AB2582" s="149"/>
      <c r="AC2582" s="119"/>
      <c r="AD2582" s="139"/>
      <c r="AE2582" s="139"/>
      <c r="AF2582" s="139"/>
      <c r="AG2582" s="139"/>
      <c r="AH2582" s="139"/>
      <c r="AI2582" s="139"/>
      <c r="AJ2582" s="139"/>
      <c r="AK2582" s="139"/>
      <c r="AL2582" s="139"/>
      <c r="AM2582" s="139"/>
      <c r="AN2582" s="139"/>
      <c r="AO2582" s="139"/>
      <c r="AP2582" s="139"/>
      <c r="AQ2582" s="174"/>
      <c r="AR2582" s="222"/>
    </row>
    <row r="2627" spans="2:44" s="144" customFormat="1" ht="18" customHeight="1" x14ac:dyDescent="0.25">
      <c r="B2627" s="145"/>
      <c r="C2627" s="139"/>
      <c r="D2627" s="146"/>
      <c r="E2627" s="139"/>
      <c r="F2627" s="139"/>
      <c r="G2627" s="139"/>
      <c r="H2627" s="139"/>
      <c r="I2627" s="139"/>
      <c r="J2627" s="139"/>
      <c r="K2627" s="139"/>
      <c r="L2627" s="243"/>
      <c r="M2627" s="243"/>
      <c r="N2627" s="139"/>
      <c r="O2627" s="139"/>
      <c r="P2627" s="139"/>
      <c r="Q2627" s="147"/>
      <c r="R2627" s="139"/>
      <c r="S2627" s="139"/>
      <c r="T2627" s="139"/>
      <c r="U2627" s="139"/>
      <c r="V2627" s="139"/>
      <c r="W2627" s="139"/>
      <c r="X2627" s="146"/>
      <c r="Y2627" s="148"/>
      <c r="Z2627" s="145"/>
      <c r="AA2627" s="139"/>
      <c r="AB2627" s="149"/>
      <c r="AC2627" s="119"/>
      <c r="AD2627" s="139"/>
      <c r="AE2627" s="139"/>
      <c r="AF2627" s="139"/>
      <c r="AG2627" s="139"/>
      <c r="AH2627" s="139"/>
      <c r="AI2627" s="139"/>
      <c r="AJ2627" s="139"/>
      <c r="AK2627" s="139"/>
      <c r="AL2627" s="139"/>
      <c r="AM2627" s="139"/>
      <c r="AN2627" s="139"/>
      <c r="AO2627" s="139"/>
      <c r="AP2627" s="139"/>
      <c r="AQ2627" s="174"/>
      <c r="AR2627" s="222"/>
    </row>
    <row r="2628" spans="2:44" s="144" customFormat="1" ht="18" customHeight="1" x14ac:dyDescent="0.25">
      <c r="B2628" s="145"/>
      <c r="C2628" s="139"/>
      <c r="D2628" s="146"/>
      <c r="E2628" s="139"/>
      <c r="F2628" s="139"/>
      <c r="G2628" s="139"/>
      <c r="H2628" s="139"/>
      <c r="I2628" s="139"/>
      <c r="J2628" s="139"/>
      <c r="K2628" s="139"/>
      <c r="L2628" s="243"/>
      <c r="M2628" s="243"/>
      <c r="N2628" s="139"/>
      <c r="O2628" s="139"/>
      <c r="P2628" s="139"/>
      <c r="Q2628" s="147"/>
      <c r="R2628" s="139"/>
      <c r="S2628" s="139"/>
      <c r="T2628" s="139"/>
      <c r="U2628" s="139"/>
      <c r="V2628" s="139"/>
      <c r="W2628" s="139"/>
      <c r="X2628" s="146"/>
      <c r="Y2628" s="148"/>
      <c r="Z2628" s="145"/>
      <c r="AA2628" s="139"/>
      <c r="AB2628" s="149"/>
      <c r="AC2628" s="119"/>
      <c r="AD2628" s="139"/>
      <c r="AE2628" s="139"/>
      <c r="AF2628" s="139"/>
      <c r="AG2628" s="139"/>
      <c r="AH2628" s="139"/>
      <c r="AI2628" s="139"/>
      <c r="AJ2628" s="139"/>
      <c r="AK2628" s="139"/>
      <c r="AL2628" s="139"/>
      <c r="AM2628" s="139"/>
      <c r="AN2628" s="139"/>
      <c r="AO2628" s="139"/>
      <c r="AP2628" s="139"/>
      <c r="AQ2628" s="174"/>
      <c r="AR2628" s="222"/>
    </row>
    <row r="2629" spans="2:44" s="144" customFormat="1" ht="18" customHeight="1" x14ac:dyDescent="0.25">
      <c r="B2629" s="145"/>
      <c r="C2629" s="139"/>
      <c r="D2629" s="146"/>
      <c r="E2629" s="139"/>
      <c r="F2629" s="139"/>
      <c r="G2629" s="139"/>
      <c r="H2629" s="139"/>
      <c r="I2629" s="139"/>
      <c r="J2629" s="139"/>
      <c r="K2629" s="139"/>
      <c r="L2629" s="243"/>
      <c r="M2629" s="243"/>
      <c r="N2629" s="139"/>
      <c r="O2629" s="139"/>
      <c r="P2629" s="139"/>
      <c r="Q2629" s="147"/>
      <c r="R2629" s="139"/>
      <c r="S2629" s="139"/>
      <c r="T2629" s="139"/>
      <c r="U2629" s="139"/>
      <c r="V2629" s="139"/>
      <c r="W2629" s="139"/>
      <c r="X2629" s="146"/>
      <c r="Y2629" s="148"/>
      <c r="Z2629" s="145"/>
      <c r="AA2629" s="139"/>
      <c r="AB2629" s="149"/>
      <c r="AC2629" s="119"/>
      <c r="AD2629" s="139"/>
      <c r="AE2629" s="139"/>
      <c r="AF2629" s="139"/>
      <c r="AG2629" s="139"/>
      <c r="AH2629" s="139"/>
      <c r="AI2629" s="139"/>
      <c r="AJ2629" s="139"/>
      <c r="AK2629" s="139"/>
      <c r="AL2629" s="139"/>
      <c r="AM2629" s="139"/>
      <c r="AN2629" s="139"/>
      <c r="AO2629" s="139"/>
      <c r="AP2629" s="139"/>
      <c r="AQ2629" s="174"/>
      <c r="AR2629" s="222"/>
    </row>
    <row r="2630" spans="2:44" s="144" customFormat="1" ht="18" customHeight="1" x14ac:dyDescent="0.25">
      <c r="B2630" s="145"/>
      <c r="C2630" s="139"/>
      <c r="D2630" s="146"/>
      <c r="E2630" s="139"/>
      <c r="F2630" s="139"/>
      <c r="G2630" s="139"/>
      <c r="H2630" s="139"/>
      <c r="I2630" s="139"/>
      <c r="J2630" s="139"/>
      <c r="K2630" s="139"/>
      <c r="L2630" s="243"/>
      <c r="M2630" s="243"/>
      <c r="N2630" s="139"/>
      <c r="O2630" s="139"/>
      <c r="P2630" s="139"/>
      <c r="Q2630" s="147"/>
      <c r="R2630" s="139"/>
      <c r="S2630" s="139"/>
      <c r="T2630" s="139"/>
      <c r="U2630" s="139"/>
      <c r="V2630" s="139"/>
      <c r="W2630" s="139"/>
      <c r="X2630" s="146"/>
      <c r="Y2630" s="148"/>
      <c r="Z2630" s="145"/>
      <c r="AA2630" s="139"/>
      <c r="AB2630" s="149"/>
      <c r="AC2630" s="119"/>
      <c r="AD2630" s="139"/>
      <c r="AE2630" s="139"/>
      <c r="AF2630" s="139"/>
      <c r="AG2630" s="139"/>
      <c r="AH2630" s="139"/>
      <c r="AI2630" s="139"/>
      <c r="AJ2630" s="139"/>
      <c r="AK2630" s="139"/>
      <c r="AL2630" s="139"/>
      <c r="AM2630" s="139"/>
      <c r="AN2630" s="139"/>
      <c r="AO2630" s="139"/>
      <c r="AP2630" s="139"/>
      <c r="AQ2630" s="174"/>
      <c r="AR2630" s="222"/>
    </row>
    <row r="2631" spans="2:44" s="144" customFormat="1" ht="18" customHeight="1" x14ac:dyDescent="0.25">
      <c r="B2631" s="145"/>
      <c r="C2631" s="139"/>
      <c r="D2631" s="146"/>
      <c r="E2631" s="139"/>
      <c r="F2631" s="139"/>
      <c r="G2631" s="139"/>
      <c r="H2631" s="139"/>
      <c r="I2631" s="139"/>
      <c r="J2631" s="139"/>
      <c r="K2631" s="139"/>
      <c r="L2631" s="243"/>
      <c r="M2631" s="243"/>
      <c r="N2631" s="139"/>
      <c r="O2631" s="139"/>
      <c r="P2631" s="139"/>
      <c r="Q2631" s="147"/>
      <c r="R2631" s="139"/>
      <c r="S2631" s="139"/>
      <c r="T2631" s="139"/>
      <c r="U2631" s="139"/>
      <c r="V2631" s="139"/>
      <c r="W2631" s="139"/>
      <c r="X2631" s="146"/>
      <c r="Y2631" s="148"/>
      <c r="Z2631" s="145"/>
      <c r="AA2631" s="139"/>
      <c r="AB2631" s="149"/>
      <c r="AC2631" s="119"/>
      <c r="AD2631" s="139"/>
      <c r="AE2631" s="139"/>
      <c r="AF2631" s="139"/>
      <c r="AG2631" s="139"/>
      <c r="AH2631" s="139"/>
      <c r="AI2631" s="139"/>
      <c r="AJ2631" s="139"/>
      <c r="AK2631" s="139"/>
      <c r="AL2631" s="139"/>
      <c r="AM2631" s="139"/>
      <c r="AN2631" s="139"/>
      <c r="AO2631" s="139"/>
      <c r="AP2631" s="139"/>
      <c r="AQ2631" s="174"/>
      <c r="AR2631" s="222"/>
    </row>
    <row r="2633" spans="2:44" s="144" customFormat="1" ht="18" customHeight="1" x14ac:dyDescent="0.25">
      <c r="B2633" s="145"/>
      <c r="C2633" s="139"/>
      <c r="D2633" s="146"/>
      <c r="E2633" s="139"/>
      <c r="F2633" s="139"/>
      <c r="G2633" s="139"/>
      <c r="H2633" s="139"/>
      <c r="I2633" s="139"/>
      <c r="J2633" s="139"/>
      <c r="K2633" s="139"/>
      <c r="L2633" s="243"/>
      <c r="M2633" s="243"/>
      <c r="N2633" s="139"/>
      <c r="O2633" s="139"/>
      <c r="P2633" s="139"/>
      <c r="Q2633" s="147"/>
      <c r="R2633" s="139"/>
      <c r="S2633" s="139"/>
      <c r="T2633" s="139"/>
      <c r="U2633" s="139"/>
      <c r="V2633" s="139"/>
      <c r="W2633" s="139"/>
      <c r="X2633" s="146"/>
      <c r="Y2633" s="148"/>
      <c r="Z2633" s="145"/>
      <c r="AA2633" s="139"/>
      <c r="AB2633" s="149"/>
      <c r="AC2633" s="119"/>
      <c r="AD2633" s="139"/>
      <c r="AE2633" s="139"/>
      <c r="AF2633" s="139"/>
      <c r="AG2633" s="139"/>
      <c r="AH2633" s="139"/>
      <c r="AI2633" s="139"/>
      <c r="AJ2633" s="139"/>
      <c r="AK2633" s="139"/>
      <c r="AL2633" s="139"/>
      <c r="AM2633" s="139"/>
      <c r="AN2633" s="139"/>
      <c r="AO2633" s="139"/>
      <c r="AP2633" s="139"/>
      <c r="AQ2633" s="174"/>
      <c r="AR2633" s="222"/>
    </row>
    <row r="2634" spans="2:44" s="144" customFormat="1" ht="18" customHeight="1" x14ac:dyDescent="0.25">
      <c r="B2634" s="145"/>
      <c r="C2634" s="139"/>
      <c r="D2634" s="146"/>
      <c r="E2634" s="139"/>
      <c r="F2634" s="139"/>
      <c r="G2634" s="139"/>
      <c r="H2634" s="139"/>
      <c r="I2634" s="139"/>
      <c r="J2634" s="139"/>
      <c r="K2634" s="139"/>
      <c r="L2634" s="243"/>
      <c r="M2634" s="243"/>
      <c r="N2634" s="139"/>
      <c r="O2634" s="139"/>
      <c r="P2634" s="139"/>
      <c r="Q2634" s="147"/>
      <c r="R2634" s="139"/>
      <c r="S2634" s="139"/>
      <c r="T2634" s="139"/>
      <c r="U2634" s="139"/>
      <c r="V2634" s="139"/>
      <c r="W2634" s="139"/>
      <c r="X2634" s="146"/>
      <c r="Y2634" s="148"/>
      <c r="Z2634" s="145"/>
      <c r="AA2634" s="139"/>
      <c r="AB2634" s="149"/>
      <c r="AC2634" s="119"/>
      <c r="AD2634" s="139"/>
      <c r="AE2634" s="139"/>
      <c r="AF2634" s="139"/>
      <c r="AG2634" s="139"/>
      <c r="AH2634" s="139"/>
      <c r="AI2634" s="139"/>
      <c r="AJ2634" s="139"/>
      <c r="AK2634" s="139"/>
      <c r="AL2634" s="139"/>
      <c r="AM2634" s="139"/>
      <c r="AN2634" s="139"/>
      <c r="AO2634" s="139"/>
      <c r="AP2634" s="139"/>
      <c r="AQ2634" s="174"/>
      <c r="AR2634" s="222"/>
    </row>
    <row r="2635" spans="2:44" s="277" customFormat="1" ht="18" customHeight="1" x14ac:dyDescent="0.25">
      <c r="B2635" s="145"/>
      <c r="C2635" s="139"/>
      <c r="D2635" s="146"/>
      <c r="E2635" s="139"/>
      <c r="F2635" s="139"/>
      <c r="G2635" s="139"/>
      <c r="H2635" s="139"/>
      <c r="I2635" s="139"/>
      <c r="J2635" s="139"/>
      <c r="K2635" s="139"/>
      <c r="L2635" s="243"/>
      <c r="M2635" s="243"/>
      <c r="N2635" s="139"/>
      <c r="O2635" s="139"/>
      <c r="P2635" s="139"/>
      <c r="Q2635" s="147"/>
      <c r="R2635" s="139"/>
      <c r="S2635" s="139"/>
      <c r="T2635" s="139"/>
      <c r="U2635" s="139"/>
      <c r="V2635" s="139"/>
      <c r="W2635" s="139"/>
      <c r="X2635" s="146"/>
      <c r="Y2635" s="148"/>
      <c r="Z2635" s="145"/>
      <c r="AA2635" s="139"/>
      <c r="AB2635" s="149"/>
      <c r="AC2635" s="119"/>
      <c r="AD2635" s="139"/>
      <c r="AE2635" s="139"/>
      <c r="AF2635" s="139"/>
      <c r="AG2635" s="139"/>
      <c r="AH2635" s="139"/>
      <c r="AI2635" s="139"/>
      <c r="AJ2635" s="139"/>
      <c r="AK2635" s="139"/>
      <c r="AL2635" s="139"/>
      <c r="AM2635" s="139"/>
      <c r="AN2635" s="139"/>
      <c r="AO2635" s="139"/>
      <c r="AP2635" s="139"/>
      <c r="AQ2635" s="174"/>
      <c r="AR2635" s="222"/>
    </row>
    <row r="2636" spans="2:44" s="277" customFormat="1" ht="18" customHeight="1" x14ac:dyDescent="0.25">
      <c r="B2636" s="145"/>
      <c r="C2636" s="139"/>
      <c r="D2636" s="146"/>
      <c r="E2636" s="139"/>
      <c r="F2636" s="139"/>
      <c r="G2636" s="139"/>
      <c r="H2636" s="139"/>
      <c r="I2636" s="139"/>
      <c r="J2636" s="139"/>
      <c r="K2636" s="139"/>
      <c r="L2636" s="243"/>
      <c r="M2636" s="243"/>
      <c r="N2636" s="139"/>
      <c r="O2636" s="139"/>
      <c r="P2636" s="139"/>
      <c r="Q2636" s="147"/>
      <c r="R2636" s="139"/>
      <c r="S2636" s="139"/>
      <c r="T2636" s="139"/>
      <c r="U2636" s="139"/>
      <c r="V2636" s="139"/>
      <c r="W2636" s="139"/>
      <c r="X2636" s="146"/>
      <c r="Y2636" s="148"/>
      <c r="Z2636" s="145"/>
      <c r="AA2636" s="139"/>
      <c r="AB2636" s="149"/>
      <c r="AC2636" s="119"/>
      <c r="AD2636" s="139"/>
      <c r="AE2636" s="139"/>
      <c r="AF2636" s="139"/>
      <c r="AG2636" s="139"/>
      <c r="AH2636" s="139"/>
      <c r="AI2636" s="139"/>
      <c r="AJ2636" s="139"/>
      <c r="AK2636" s="139"/>
      <c r="AL2636" s="139"/>
      <c r="AM2636" s="139"/>
      <c r="AN2636" s="139"/>
      <c r="AO2636" s="139"/>
      <c r="AP2636" s="139"/>
      <c r="AQ2636" s="174"/>
      <c r="AR2636" s="222"/>
    </row>
    <row r="2637" spans="2:44" s="277" customFormat="1" ht="18" customHeight="1" x14ac:dyDescent="0.25">
      <c r="B2637" s="145"/>
      <c r="C2637" s="139"/>
      <c r="D2637" s="146"/>
      <c r="E2637" s="139"/>
      <c r="F2637" s="139"/>
      <c r="G2637" s="139"/>
      <c r="H2637" s="139"/>
      <c r="I2637" s="139"/>
      <c r="J2637" s="139"/>
      <c r="K2637" s="139"/>
      <c r="L2637" s="243"/>
      <c r="M2637" s="243"/>
      <c r="N2637" s="139"/>
      <c r="O2637" s="139"/>
      <c r="P2637" s="139"/>
      <c r="Q2637" s="147"/>
      <c r="R2637" s="139"/>
      <c r="S2637" s="139"/>
      <c r="T2637" s="139"/>
      <c r="U2637" s="139"/>
      <c r="V2637" s="139"/>
      <c r="W2637" s="139"/>
      <c r="X2637" s="146"/>
      <c r="Y2637" s="148"/>
      <c r="Z2637" s="145"/>
      <c r="AA2637" s="139"/>
      <c r="AB2637" s="149"/>
      <c r="AC2637" s="119"/>
      <c r="AD2637" s="139"/>
      <c r="AE2637" s="139"/>
      <c r="AF2637" s="139"/>
      <c r="AG2637" s="139"/>
      <c r="AH2637" s="139"/>
      <c r="AI2637" s="139"/>
      <c r="AJ2637" s="139"/>
      <c r="AK2637" s="139"/>
      <c r="AL2637" s="139"/>
      <c r="AM2637" s="139"/>
      <c r="AN2637" s="139"/>
      <c r="AO2637" s="139"/>
      <c r="AP2637" s="139"/>
      <c r="AQ2637" s="174"/>
      <c r="AR2637" s="222"/>
    </row>
    <row r="2638" spans="2:44" s="277" customFormat="1" ht="18" customHeight="1" x14ac:dyDescent="0.25">
      <c r="B2638" s="145"/>
      <c r="C2638" s="139"/>
      <c r="D2638" s="146"/>
      <c r="E2638" s="139"/>
      <c r="F2638" s="139"/>
      <c r="G2638" s="139"/>
      <c r="H2638" s="139"/>
      <c r="I2638" s="139"/>
      <c r="J2638" s="139"/>
      <c r="K2638" s="139"/>
      <c r="L2638" s="243"/>
      <c r="M2638" s="243"/>
      <c r="N2638" s="139"/>
      <c r="O2638" s="139"/>
      <c r="P2638" s="139"/>
      <c r="Q2638" s="147"/>
      <c r="R2638" s="139"/>
      <c r="S2638" s="139"/>
      <c r="T2638" s="139"/>
      <c r="U2638" s="139"/>
      <c r="V2638" s="139"/>
      <c r="W2638" s="139"/>
      <c r="X2638" s="146"/>
      <c r="Y2638" s="148"/>
      <c r="Z2638" s="145"/>
      <c r="AA2638" s="139"/>
      <c r="AB2638" s="149"/>
      <c r="AC2638" s="119"/>
      <c r="AD2638" s="139"/>
      <c r="AE2638" s="139"/>
      <c r="AF2638" s="139"/>
      <c r="AG2638" s="139"/>
      <c r="AH2638" s="139"/>
      <c r="AI2638" s="139"/>
      <c r="AJ2638" s="139"/>
      <c r="AK2638" s="139"/>
      <c r="AL2638" s="139"/>
      <c r="AM2638" s="139"/>
      <c r="AN2638" s="139"/>
      <c r="AO2638" s="139"/>
      <c r="AP2638" s="139"/>
      <c r="AQ2638" s="174"/>
      <c r="AR2638" s="222"/>
    </row>
    <row r="2639" spans="2:44" s="277" customFormat="1" ht="18" customHeight="1" x14ac:dyDescent="0.25">
      <c r="B2639" s="145"/>
      <c r="C2639" s="139"/>
      <c r="D2639" s="146"/>
      <c r="E2639" s="139"/>
      <c r="F2639" s="139"/>
      <c r="G2639" s="139"/>
      <c r="H2639" s="139"/>
      <c r="I2639" s="139"/>
      <c r="J2639" s="139"/>
      <c r="K2639" s="139"/>
      <c r="L2639" s="243"/>
      <c r="M2639" s="243"/>
      <c r="N2639" s="139"/>
      <c r="O2639" s="139"/>
      <c r="P2639" s="139"/>
      <c r="Q2639" s="147"/>
      <c r="R2639" s="139"/>
      <c r="S2639" s="139"/>
      <c r="T2639" s="139"/>
      <c r="U2639" s="139"/>
      <c r="V2639" s="139"/>
      <c r="W2639" s="139"/>
      <c r="X2639" s="146"/>
      <c r="Y2639" s="148"/>
      <c r="Z2639" s="145"/>
      <c r="AA2639" s="139"/>
      <c r="AB2639" s="149"/>
      <c r="AC2639" s="119"/>
      <c r="AD2639" s="139"/>
      <c r="AE2639" s="139"/>
      <c r="AF2639" s="139"/>
      <c r="AG2639" s="139"/>
      <c r="AH2639" s="139"/>
      <c r="AI2639" s="139"/>
      <c r="AJ2639" s="139"/>
      <c r="AK2639" s="139"/>
      <c r="AL2639" s="139"/>
      <c r="AM2639" s="139"/>
      <c r="AN2639" s="139"/>
      <c r="AO2639" s="139"/>
      <c r="AP2639" s="139"/>
      <c r="AQ2639" s="174"/>
      <c r="AR2639" s="222"/>
    </row>
    <row r="2640" spans="2:44" s="277" customFormat="1" ht="18" customHeight="1" x14ac:dyDescent="0.25">
      <c r="B2640" s="145"/>
      <c r="C2640" s="139"/>
      <c r="D2640" s="146"/>
      <c r="E2640" s="139"/>
      <c r="F2640" s="139"/>
      <c r="G2640" s="139"/>
      <c r="H2640" s="139"/>
      <c r="I2640" s="139"/>
      <c r="J2640" s="139"/>
      <c r="K2640" s="139"/>
      <c r="L2640" s="243"/>
      <c r="M2640" s="243"/>
      <c r="N2640" s="139"/>
      <c r="O2640" s="139"/>
      <c r="P2640" s="139"/>
      <c r="Q2640" s="147"/>
      <c r="R2640" s="139"/>
      <c r="S2640" s="139"/>
      <c r="T2640" s="139"/>
      <c r="U2640" s="139"/>
      <c r="V2640" s="139"/>
      <c r="W2640" s="139"/>
      <c r="X2640" s="146"/>
      <c r="Y2640" s="148"/>
      <c r="Z2640" s="145"/>
      <c r="AA2640" s="139"/>
      <c r="AB2640" s="149"/>
      <c r="AC2640" s="119"/>
      <c r="AD2640" s="139"/>
      <c r="AE2640" s="139"/>
      <c r="AF2640" s="139"/>
      <c r="AG2640" s="139"/>
      <c r="AH2640" s="139"/>
      <c r="AI2640" s="139"/>
      <c r="AJ2640" s="139"/>
      <c r="AK2640" s="139"/>
      <c r="AL2640" s="139"/>
      <c r="AM2640" s="139"/>
      <c r="AN2640" s="139"/>
      <c r="AO2640" s="139"/>
      <c r="AP2640" s="139"/>
      <c r="AQ2640" s="174"/>
      <c r="AR2640" s="222"/>
    </row>
    <row r="2641" spans="2:44" s="144" customFormat="1" ht="18" customHeight="1" x14ac:dyDescent="0.25">
      <c r="B2641" s="145"/>
      <c r="C2641" s="139"/>
      <c r="D2641" s="146"/>
      <c r="E2641" s="139"/>
      <c r="F2641" s="139"/>
      <c r="G2641" s="139"/>
      <c r="H2641" s="139"/>
      <c r="I2641" s="139"/>
      <c r="J2641" s="139"/>
      <c r="K2641" s="139"/>
      <c r="L2641" s="243"/>
      <c r="M2641" s="243"/>
      <c r="N2641" s="139"/>
      <c r="O2641" s="139"/>
      <c r="P2641" s="139"/>
      <c r="Q2641" s="147"/>
      <c r="R2641" s="139"/>
      <c r="S2641" s="139"/>
      <c r="T2641" s="139"/>
      <c r="U2641" s="139"/>
      <c r="V2641" s="139"/>
      <c r="W2641" s="139"/>
      <c r="X2641" s="146"/>
      <c r="Y2641" s="148"/>
      <c r="Z2641" s="145"/>
      <c r="AA2641" s="139"/>
      <c r="AB2641" s="149"/>
      <c r="AC2641" s="119"/>
      <c r="AD2641" s="139"/>
      <c r="AE2641" s="139"/>
      <c r="AF2641" s="139"/>
      <c r="AG2641" s="139"/>
      <c r="AH2641" s="139"/>
      <c r="AI2641" s="139"/>
      <c r="AJ2641" s="139"/>
      <c r="AK2641" s="139"/>
      <c r="AL2641" s="139"/>
      <c r="AM2641" s="139"/>
      <c r="AN2641" s="139"/>
      <c r="AO2641" s="139"/>
      <c r="AP2641" s="139"/>
      <c r="AQ2641" s="174"/>
      <c r="AR2641" s="222"/>
    </row>
    <row r="2645" spans="2:44" s="144" customFormat="1" ht="18" customHeight="1" x14ac:dyDescent="0.25">
      <c r="B2645" s="145"/>
      <c r="C2645" s="139"/>
      <c r="D2645" s="146"/>
      <c r="E2645" s="139"/>
      <c r="F2645" s="139"/>
      <c r="G2645" s="139"/>
      <c r="H2645" s="139"/>
      <c r="I2645" s="139"/>
      <c r="J2645" s="139"/>
      <c r="K2645" s="139"/>
      <c r="L2645" s="243"/>
      <c r="M2645" s="243"/>
      <c r="N2645" s="139"/>
      <c r="O2645" s="139"/>
      <c r="P2645" s="139"/>
      <c r="Q2645" s="147"/>
      <c r="R2645" s="139"/>
      <c r="S2645" s="139"/>
      <c r="T2645" s="139"/>
      <c r="U2645" s="139"/>
      <c r="V2645" s="139"/>
      <c r="W2645" s="139"/>
      <c r="X2645" s="146"/>
      <c r="Y2645" s="148"/>
      <c r="Z2645" s="145"/>
      <c r="AA2645" s="139"/>
      <c r="AB2645" s="149"/>
      <c r="AC2645" s="119"/>
      <c r="AD2645" s="139"/>
      <c r="AE2645" s="139"/>
      <c r="AF2645" s="139"/>
      <c r="AG2645" s="139"/>
      <c r="AH2645" s="139"/>
      <c r="AI2645" s="139"/>
      <c r="AJ2645" s="139"/>
      <c r="AK2645" s="139"/>
      <c r="AL2645" s="139"/>
      <c r="AM2645" s="139"/>
      <c r="AN2645" s="139"/>
      <c r="AO2645" s="139"/>
      <c r="AP2645" s="139"/>
      <c r="AQ2645" s="174"/>
      <c r="AR2645" s="222"/>
    </row>
    <row r="2647" spans="2:44" s="144" customFormat="1" ht="18" customHeight="1" x14ac:dyDescent="0.25">
      <c r="B2647" s="145"/>
      <c r="C2647" s="139"/>
      <c r="D2647" s="146"/>
      <c r="E2647" s="139"/>
      <c r="F2647" s="139"/>
      <c r="G2647" s="139"/>
      <c r="H2647" s="139"/>
      <c r="I2647" s="139"/>
      <c r="J2647" s="139"/>
      <c r="K2647" s="139"/>
      <c r="L2647" s="243"/>
      <c r="M2647" s="243"/>
      <c r="N2647" s="139"/>
      <c r="O2647" s="139"/>
      <c r="P2647" s="139"/>
      <c r="Q2647" s="147"/>
      <c r="R2647" s="139"/>
      <c r="S2647" s="139"/>
      <c r="T2647" s="139"/>
      <c r="U2647" s="139"/>
      <c r="V2647" s="139"/>
      <c r="W2647" s="139"/>
      <c r="X2647" s="146"/>
      <c r="Y2647" s="148"/>
      <c r="Z2647" s="145"/>
      <c r="AA2647" s="139"/>
      <c r="AB2647" s="149"/>
      <c r="AC2647" s="119"/>
      <c r="AD2647" s="139"/>
      <c r="AE2647" s="139"/>
      <c r="AF2647" s="139"/>
      <c r="AG2647" s="139"/>
      <c r="AH2647" s="139"/>
      <c r="AI2647" s="139"/>
      <c r="AJ2647" s="139"/>
      <c r="AK2647" s="139"/>
      <c r="AL2647" s="139"/>
      <c r="AM2647" s="139"/>
      <c r="AN2647" s="139"/>
      <c r="AO2647" s="139"/>
      <c r="AP2647" s="139"/>
      <c r="AQ2647" s="174"/>
      <c r="AR2647" s="222"/>
    </row>
    <row r="2650" spans="2:44" s="144" customFormat="1" ht="18" customHeight="1" x14ac:dyDescent="0.25">
      <c r="B2650" s="145"/>
      <c r="C2650" s="139"/>
      <c r="D2650" s="146"/>
      <c r="E2650" s="139"/>
      <c r="F2650" s="139"/>
      <c r="G2650" s="139"/>
      <c r="H2650" s="139"/>
      <c r="I2650" s="139"/>
      <c r="J2650" s="139"/>
      <c r="K2650" s="139"/>
      <c r="L2650" s="243"/>
      <c r="M2650" s="243"/>
      <c r="N2650" s="139"/>
      <c r="O2650" s="139"/>
      <c r="P2650" s="139"/>
      <c r="Q2650" s="147"/>
      <c r="R2650" s="139"/>
      <c r="S2650" s="139"/>
      <c r="T2650" s="139"/>
      <c r="U2650" s="139"/>
      <c r="V2650" s="139"/>
      <c r="W2650" s="139"/>
      <c r="X2650" s="146"/>
      <c r="Y2650" s="148"/>
      <c r="Z2650" s="145"/>
      <c r="AA2650" s="139"/>
      <c r="AB2650" s="149"/>
      <c r="AC2650" s="119"/>
      <c r="AD2650" s="139"/>
      <c r="AE2650" s="139"/>
      <c r="AF2650" s="139"/>
      <c r="AG2650" s="139"/>
      <c r="AH2650" s="139"/>
      <c r="AI2650" s="139"/>
      <c r="AJ2650" s="139"/>
      <c r="AK2650" s="139"/>
      <c r="AL2650" s="139"/>
      <c r="AM2650" s="139"/>
      <c r="AN2650" s="139"/>
      <c r="AO2650" s="139"/>
      <c r="AP2650" s="139"/>
      <c r="AQ2650" s="174"/>
      <c r="AR2650" s="222"/>
    </row>
    <row r="2651" spans="2:44" s="144" customFormat="1" ht="18" customHeight="1" x14ac:dyDescent="0.25">
      <c r="B2651" s="145"/>
      <c r="C2651" s="139"/>
      <c r="D2651" s="146"/>
      <c r="E2651" s="139"/>
      <c r="F2651" s="139"/>
      <c r="G2651" s="139"/>
      <c r="H2651" s="139"/>
      <c r="I2651" s="139"/>
      <c r="J2651" s="139"/>
      <c r="K2651" s="139"/>
      <c r="L2651" s="243"/>
      <c r="M2651" s="243"/>
      <c r="N2651" s="139"/>
      <c r="O2651" s="139"/>
      <c r="P2651" s="139"/>
      <c r="Q2651" s="147"/>
      <c r="R2651" s="139"/>
      <c r="S2651" s="139"/>
      <c r="T2651" s="139"/>
      <c r="U2651" s="139"/>
      <c r="V2651" s="139"/>
      <c r="W2651" s="139"/>
      <c r="X2651" s="146"/>
      <c r="Y2651" s="148"/>
      <c r="Z2651" s="145"/>
      <c r="AA2651" s="139"/>
      <c r="AB2651" s="149"/>
      <c r="AC2651" s="119"/>
      <c r="AD2651" s="139"/>
      <c r="AE2651" s="139"/>
      <c r="AF2651" s="139"/>
      <c r="AG2651" s="139"/>
      <c r="AH2651" s="139"/>
      <c r="AI2651" s="139"/>
      <c r="AJ2651" s="139"/>
      <c r="AK2651" s="139"/>
      <c r="AL2651" s="139"/>
      <c r="AM2651" s="139"/>
      <c r="AN2651" s="139"/>
      <c r="AO2651" s="139"/>
      <c r="AP2651" s="139"/>
      <c r="AQ2651" s="174"/>
      <c r="AR2651" s="222"/>
    </row>
    <row r="2653" spans="2:44" s="144" customFormat="1" ht="18" customHeight="1" x14ac:dyDescent="0.25">
      <c r="B2653" s="145"/>
      <c r="C2653" s="139"/>
      <c r="D2653" s="146"/>
      <c r="E2653" s="139"/>
      <c r="F2653" s="139"/>
      <c r="G2653" s="139"/>
      <c r="H2653" s="139"/>
      <c r="I2653" s="139"/>
      <c r="J2653" s="139"/>
      <c r="K2653" s="139"/>
      <c r="L2653" s="243"/>
      <c r="M2653" s="243"/>
      <c r="N2653" s="139"/>
      <c r="O2653" s="139"/>
      <c r="P2653" s="139"/>
      <c r="Q2653" s="147"/>
      <c r="R2653" s="139"/>
      <c r="S2653" s="139"/>
      <c r="T2653" s="139"/>
      <c r="U2653" s="139"/>
      <c r="V2653" s="139"/>
      <c r="W2653" s="139"/>
      <c r="X2653" s="146"/>
      <c r="Y2653" s="148"/>
      <c r="Z2653" s="145"/>
      <c r="AA2653" s="139"/>
      <c r="AB2653" s="149"/>
      <c r="AC2653" s="119"/>
      <c r="AD2653" s="139"/>
      <c r="AE2653" s="139"/>
      <c r="AF2653" s="139"/>
      <c r="AG2653" s="139"/>
      <c r="AH2653" s="139"/>
      <c r="AI2653" s="139"/>
      <c r="AJ2653" s="139"/>
      <c r="AK2653" s="139"/>
      <c r="AL2653" s="139"/>
      <c r="AM2653" s="139"/>
      <c r="AN2653" s="139"/>
      <c r="AO2653" s="139"/>
      <c r="AP2653" s="139"/>
      <c r="AQ2653" s="174"/>
      <c r="AR2653" s="222"/>
    </row>
    <row r="2654" spans="2:44" s="144" customFormat="1" ht="18" customHeight="1" x14ac:dyDescent="0.25">
      <c r="B2654" s="145"/>
      <c r="C2654" s="139"/>
      <c r="D2654" s="146"/>
      <c r="E2654" s="139"/>
      <c r="F2654" s="139"/>
      <c r="G2654" s="139"/>
      <c r="H2654" s="139"/>
      <c r="I2654" s="139"/>
      <c r="J2654" s="139"/>
      <c r="K2654" s="139"/>
      <c r="L2654" s="243"/>
      <c r="M2654" s="243"/>
      <c r="N2654" s="139"/>
      <c r="O2654" s="139"/>
      <c r="P2654" s="139"/>
      <c r="Q2654" s="147"/>
      <c r="R2654" s="139"/>
      <c r="S2654" s="139"/>
      <c r="T2654" s="139"/>
      <c r="U2654" s="139"/>
      <c r="V2654" s="139"/>
      <c r="W2654" s="139"/>
      <c r="X2654" s="146"/>
      <c r="Y2654" s="148"/>
      <c r="Z2654" s="145"/>
      <c r="AA2654" s="139"/>
      <c r="AB2654" s="149"/>
      <c r="AC2654" s="119"/>
      <c r="AD2654" s="139"/>
      <c r="AE2654" s="139"/>
      <c r="AF2654" s="139"/>
      <c r="AG2654" s="139"/>
      <c r="AH2654" s="139"/>
      <c r="AI2654" s="139"/>
      <c r="AJ2654" s="139"/>
      <c r="AK2654" s="139"/>
      <c r="AL2654" s="139"/>
      <c r="AM2654" s="139"/>
      <c r="AN2654" s="139"/>
      <c r="AO2654" s="139"/>
      <c r="AP2654" s="139"/>
      <c r="AQ2654" s="174"/>
      <c r="AR2654" s="222"/>
    </row>
    <row r="2655" spans="2:44" s="144" customFormat="1" ht="18" customHeight="1" x14ac:dyDescent="0.25">
      <c r="B2655" s="145"/>
      <c r="C2655" s="139"/>
      <c r="D2655" s="146"/>
      <c r="E2655" s="139"/>
      <c r="F2655" s="139"/>
      <c r="G2655" s="139"/>
      <c r="H2655" s="139"/>
      <c r="I2655" s="139"/>
      <c r="J2655" s="139"/>
      <c r="K2655" s="139"/>
      <c r="L2655" s="243"/>
      <c r="M2655" s="243"/>
      <c r="N2655" s="139"/>
      <c r="O2655" s="139"/>
      <c r="P2655" s="139"/>
      <c r="Q2655" s="147"/>
      <c r="R2655" s="139"/>
      <c r="S2655" s="139"/>
      <c r="T2655" s="139"/>
      <c r="U2655" s="139"/>
      <c r="V2655" s="139"/>
      <c r="W2655" s="139"/>
      <c r="X2655" s="146"/>
      <c r="Y2655" s="148"/>
      <c r="Z2655" s="145"/>
      <c r="AA2655" s="139"/>
      <c r="AB2655" s="149"/>
      <c r="AC2655" s="119"/>
      <c r="AD2655" s="139"/>
      <c r="AE2655" s="139"/>
      <c r="AF2655" s="139"/>
      <c r="AG2655" s="139"/>
      <c r="AH2655" s="139"/>
      <c r="AI2655" s="139"/>
      <c r="AJ2655" s="139"/>
      <c r="AK2655" s="139"/>
      <c r="AL2655" s="139"/>
      <c r="AM2655" s="139"/>
      <c r="AN2655" s="139"/>
      <c r="AO2655" s="139"/>
      <c r="AP2655" s="139"/>
      <c r="AQ2655" s="174"/>
      <c r="AR2655" s="222"/>
    </row>
    <row r="2656" spans="2:44" s="144" customFormat="1" ht="18" customHeight="1" x14ac:dyDescent="0.25">
      <c r="B2656" s="145"/>
      <c r="C2656" s="139"/>
      <c r="D2656" s="146"/>
      <c r="E2656" s="139"/>
      <c r="F2656" s="139"/>
      <c r="G2656" s="139"/>
      <c r="H2656" s="139"/>
      <c r="I2656" s="139"/>
      <c r="J2656" s="139"/>
      <c r="K2656" s="139"/>
      <c r="L2656" s="243"/>
      <c r="M2656" s="243"/>
      <c r="N2656" s="139"/>
      <c r="O2656" s="139"/>
      <c r="P2656" s="139"/>
      <c r="Q2656" s="147"/>
      <c r="R2656" s="139"/>
      <c r="S2656" s="139"/>
      <c r="T2656" s="139"/>
      <c r="U2656" s="139"/>
      <c r="V2656" s="139"/>
      <c r="W2656" s="139"/>
      <c r="X2656" s="146"/>
      <c r="Y2656" s="148"/>
      <c r="Z2656" s="145"/>
      <c r="AA2656" s="139"/>
      <c r="AB2656" s="149"/>
      <c r="AC2656" s="119"/>
      <c r="AD2656" s="139"/>
      <c r="AE2656" s="139"/>
      <c r="AF2656" s="139"/>
      <c r="AG2656" s="139"/>
      <c r="AH2656" s="139"/>
      <c r="AI2656" s="139"/>
      <c r="AJ2656" s="139"/>
      <c r="AK2656" s="139"/>
      <c r="AL2656" s="139"/>
      <c r="AM2656" s="139"/>
      <c r="AN2656" s="139"/>
      <c r="AO2656" s="139"/>
      <c r="AP2656" s="139"/>
      <c r="AQ2656" s="174"/>
      <c r="AR2656" s="222"/>
    </row>
    <row r="2657" spans="2:44" s="144" customFormat="1" ht="18" customHeight="1" x14ac:dyDescent="0.25">
      <c r="B2657" s="145"/>
      <c r="C2657" s="139"/>
      <c r="D2657" s="146"/>
      <c r="E2657" s="139"/>
      <c r="F2657" s="139"/>
      <c r="G2657" s="139"/>
      <c r="H2657" s="139"/>
      <c r="I2657" s="139"/>
      <c r="J2657" s="139"/>
      <c r="K2657" s="139"/>
      <c r="L2657" s="243"/>
      <c r="M2657" s="243"/>
      <c r="N2657" s="139"/>
      <c r="O2657" s="139"/>
      <c r="P2657" s="139"/>
      <c r="Q2657" s="147"/>
      <c r="R2657" s="139"/>
      <c r="S2657" s="139"/>
      <c r="T2657" s="139"/>
      <c r="U2657" s="139"/>
      <c r="V2657" s="139"/>
      <c r="W2657" s="139"/>
      <c r="X2657" s="146"/>
      <c r="Y2657" s="148"/>
      <c r="Z2657" s="145"/>
      <c r="AA2657" s="139"/>
      <c r="AB2657" s="149"/>
      <c r="AC2657" s="119"/>
      <c r="AD2657" s="139"/>
      <c r="AE2657" s="139"/>
      <c r="AF2657" s="139"/>
      <c r="AG2657" s="139"/>
      <c r="AH2657" s="139"/>
      <c r="AI2657" s="139"/>
      <c r="AJ2657" s="139"/>
      <c r="AK2657" s="139"/>
      <c r="AL2657" s="139"/>
      <c r="AM2657" s="139"/>
      <c r="AN2657" s="139"/>
      <c r="AO2657" s="139"/>
      <c r="AP2657" s="139"/>
      <c r="AQ2657" s="174"/>
      <c r="AR2657" s="222"/>
    </row>
    <row r="2658" spans="2:44" s="277" customFormat="1" ht="18" customHeight="1" x14ac:dyDescent="0.25">
      <c r="B2658" s="145"/>
      <c r="C2658" s="139"/>
      <c r="D2658" s="146"/>
      <c r="E2658" s="139"/>
      <c r="F2658" s="139"/>
      <c r="G2658" s="139"/>
      <c r="H2658" s="139"/>
      <c r="I2658" s="139"/>
      <c r="J2658" s="139"/>
      <c r="K2658" s="139"/>
      <c r="L2658" s="243"/>
      <c r="M2658" s="243"/>
      <c r="N2658" s="139"/>
      <c r="O2658" s="139"/>
      <c r="P2658" s="139"/>
      <c r="Q2658" s="147"/>
      <c r="R2658" s="139"/>
      <c r="S2658" s="139"/>
      <c r="T2658" s="139"/>
      <c r="U2658" s="139"/>
      <c r="V2658" s="139"/>
      <c r="W2658" s="139"/>
      <c r="X2658" s="146"/>
      <c r="Y2658" s="148"/>
      <c r="Z2658" s="145"/>
      <c r="AA2658" s="139"/>
      <c r="AB2658" s="149"/>
      <c r="AC2658" s="119"/>
      <c r="AD2658" s="139"/>
      <c r="AE2658" s="139"/>
      <c r="AF2658" s="139"/>
      <c r="AG2658" s="139"/>
      <c r="AH2658" s="139"/>
      <c r="AI2658" s="139"/>
      <c r="AJ2658" s="139"/>
      <c r="AK2658" s="139"/>
      <c r="AL2658" s="139"/>
      <c r="AM2658" s="139"/>
      <c r="AN2658" s="139"/>
      <c r="AO2658" s="139"/>
      <c r="AP2658" s="139"/>
      <c r="AQ2658" s="174"/>
      <c r="AR2658" s="222"/>
    </row>
    <row r="2668" spans="2:44" s="144" customFormat="1" ht="18" customHeight="1" x14ac:dyDescent="0.25">
      <c r="B2668" s="145"/>
      <c r="C2668" s="139"/>
      <c r="D2668" s="146"/>
      <c r="E2668" s="139"/>
      <c r="F2668" s="139"/>
      <c r="G2668" s="139"/>
      <c r="H2668" s="139"/>
      <c r="I2668" s="139"/>
      <c r="J2668" s="139"/>
      <c r="K2668" s="139"/>
      <c r="L2668" s="243"/>
      <c r="M2668" s="243"/>
      <c r="N2668" s="139"/>
      <c r="O2668" s="139"/>
      <c r="P2668" s="139"/>
      <c r="Q2668" s="147"/>
      <c r="R2668" s="139"/>
      <c r="S2668" s="139"/>
      <c r="T2668" s="139"/>
      <c r="U2668" s="139"/>
      <c r="V2668" s="139"/>
      <c r="W2668" s="139"/>
      <c r="X2668" s="146"/>
      <c r="Y2668" s="148"/>
      <c r="Z2668" s="145"/>
      <c r="AA2668" s="139"/>
      <c r="AB2668" s="149"/>
      <c r="AC2668" s="119"/>
      <c r="AD2668" s="139"/>
      <c r="AE2668" s="139"/>
      <c r="AF2668" s="139"/>
      <c r="AG2668" s="139"/>
      <c r="AH2668" s="139"/>
      <c r="AI2668" s="139"/>
      <c r="AJ2668" s="139"/>
      <c r="AK2668" s="139"/>
      <c r="AL2668" s="139"/>
      <c r="AM2668" s="139"/>
      <c r="AN2668" s="139"/>
      <c r="AO2668" s="139"/>
      <c r="AP2668" s="139"/>
      <c r="AQ2668" s="174"/>
      <c r="AR2668" s="222"/>
    </row>
    <row r="2669" spans="2:44" s="144" customFormat="1" ht="18" customHeight="1" x14ac:dyDescent="0.25">
      <c r="B2669" s="145"/>
      <c r="C2669" s="139"/>
      <c r="D2669" s="146"/>
      <c r="E2669" s="139"/>
      <c r="F2669" s="139"/>
      <c r="G2669" s="139"/>
      <c r="H2669" s="139"/>
      <c r="I2669" s="139"/>
      <c r="J2669" s="139"/>
      <c r="K2669" s="139"/>
      <c r="L2669" s="243"/>
      <c r="M2669" s="243"/>
      <c r="N2669" s="139"/>
      <c r="O2669" s="139"/>
      <c r="P2669" s="139"/>
      <c r="Q2669" s="147"/>
      <c r="R2669" s="139"/>
      <c r="S2669" s="139"/>
      <c r="T2669" s="139"/>
      <c r="U2669" s="139"/>
      <c r="V2669" s="139"/>
      <c r="W2669" s="139"/>
      <c r="X2669" s="146"/>
      <c r="Y2669" s="148"/>
      <c r="Z2669" s="145"/>
      <c r="AA2669" s="139"/>
      <c r="AB2669" s="149"/>
      <c r="AC2669" s="119"/>
      <c r="AD2669" s="139"/>
      <c r="AE2669" s="139"/>
      <c r="AF2669" s="139"/>
      <c r="AG2669" s="139"/>
      <c r="AH2669" s="139"/>
      <c r="AI2669" s="139"/>
      <c r="AJ2669" s="139"/>
      <c r="AK2669" s="139"/>
      <c r="AL2669" s="139"/>
      <c r="AM2669" s="139"/>
      <c r="AN2669" s="139"/>
      <c r="AO2669" s="139"/>
      <c r="AP2669" s="139"/>
      <c r="AQ2669" s="174"/>
      <c r="AR2669" s="222"/>
    </row>
    <row r="2670" spans="2:44" s="144" customFormat="1" ht="18" customHeight="1" x14ac:dyDescent="0.25">
      <c r="B2670" s="145"/>
      <c r="C2670" s="139"/>
      <c r="D2670" s="146"/>
      <c r="E2670" s="139"/>
      <c r="F2670" s="139"/>
      <c r="G2670" s="139"/>
      <c r="H2670" s="139"/>
      <c r="I2670" s="139"/>
      <c r="J2670" s="139"/>
      <c r="K2670" s="139"/>
      <c r="L2670" s="243"/>
      <c r="M2670" s="243"/>
      <c r="N2670" s="139"/>
      <c r="O2670" s="139"/>
      <c r="P2670" s="139"/>
      <c r="Q2670" s="147"/>
      <c r="R2670" s="139"/>
      <c r="S2670" s="139"/>
      <c r="T2670" s="139"/>
      <c r="U2670" s="139"/>
      <c r="V2670" s="139"/>
      <c r="W2670" s="139"/>
      <c r="X2670" s="146"/>
      <c r="Y2670" s="148"/>
      <c r="Z2670" s="145"/>
      <c r="AA2670" s="139"/>
      <c r="AB2670" s="149"/>
      <c r="AC2670" s="119"/>
      <c r="AD2670" s="139"/>
      <c r="AE2670" s="139"/>
      <c r="AF2670" s="139"/>
      <c r="AG2670" s="139"/>
      <c r="AH2670" s="139"/>
      <c r="AI2670" s="139"/>
      <c r="AJ2670" s="139"/>
      <c r="AK2670" s="139"/>
      <c r="AL2670" s="139"/>
      <c r="AM2670" s="139"/>
      <c r="AN2670" s="139"/>
      <c r="AO2670" s="139"/>
      <c r="AP2670" s="139"/>
      <c r="AQ2670" s="174"/>
      <c r="AR2670" s="222"/>
    </row>
    <row r="2671" spans="2:44" s="144" customFormat="1" ht="18" customHeight="1" x14ac:dyDescent="0.25">
      <c r="B2671" s="145"/>
      <c r="C2671" s="139"/>
      <c r="D2671" s="146"/>
      <c r="E2671" s="139"/>
      <c r="F2671" s="139"/>
      <c r="G2671" s="139"/>
      <c r="H2671" s="139"/>
      <c r="I2671" s="139"/>
      <c r="J2671" s="139"/>
      <c r="K2671" s="139"/>
      <c r="L2671" s="243"/>
      <c r="M2671" s="243"/>
      <c r="N2671" s="139"/>
      <c r="O2671" s="139"/>
      <c r="P2671" s="139"/>
      <c r="Q2671" s="147"/>
      <c r="R2671" s="139"/>
      <c r="S2671" s="139"/>
      <c r="T2671" s="139"/>
      <c r="U2671" s="139"/>
      <c r="V2671" s="139"/>
      <c r="W2671" s="139"/>
      <c r="X2671" s="146"/>
      <c r="Y2671" s="148"/>
      <c r="Z2671" s="145"/>
      <c r="AA2671" s="139"/>
      <c r="AB2671" s="149"/>
      <c r="AC2671" s="119"/>
      <c r="AD2671" s="139"/>
      <c r="AE2671" s="139"/>
      <c r="AF2671" s="139"/>
      <c r="AG2671" s="139"/>
      <c r="AH2671" s="139"/>
      <c r="AI2671" s="139"/>
      <c r="AJ2671" s="139"/>
      <c r="AK2671" s="139"/>
      <c r="AL2671" s="139"/>
      <c r="AM2671" s="139"/>
      <c r="AN2671" s="139"/>
      <c r="AO2671" s="139"/>
      <c r="AP2671" s="139"/>
      <c r="AQ2671" s="174"/>
      <c r="AR2671" s="222"/>
    </row>
    <row r="2672" spans="2:44" s="144" customFormat="1" ht="18" customHeight="1" x14ac:dyDescent="0.25">
      <c r="B2672" s="145"/>
      <c r="C2672" s="139"/>
      <c r="D2672" s="146"/>
      <c r="E2672" s="139"/>
      <c r="F2672" s="139"/>
      <c r="G2672" s="139"/>
      <c r="H2672" s="139"/>
      <c r="I2672" s="139"/>
      <c r="J2672" s="139"/>
      <c r="K2672" s="139"/>
      <c r="L2672" s="243"/>
      <c r="M2672" s="243"/>
      <c r="N2672" s="139"/>
      <c r="O2672" s="139"/>
      <c r="P2672" s="139"/>
      <c r="Q2672" s="147"/>
      <c r="R2672" s="139"/>
      <c r="S2672" s="139"/>
      <c r="T2672" s="139"/>
      <c r="U2672" s="139"/>
      <c r="V2672" s="139"/>
      <c r="W2672" s="139"/>
      <c r="X2672" s="146"/>
      <c r="Y2672" s="148"/>
      <c r="Z2672" s="145"/>
      <c r="AA2672" s="139"/>
      <c r="AB2672" s="149"/>
      <c r="AC2672" s="119"/>
      <c r="AD2672" s="139"/>
      <c r="AE2672" s="139"/>
      <c r="AF2672" s="139"/>
      <c r="AG2672" s="139"/>
      <c r="AH2672" s="139"/>
      <c r="AI2672" s="139"/>
      <c r="AJ2672" s="139"/>
      <c r="AK2672" s="139"/>
      <c r="AL2672" s="139"/>
      <c r="AM2672" s="139"/>
      <c r="AN2672" s="139"/>
      <c r="AO2672" s="139"/>
      <c r="AP2672" s="139"/>
      <c r="AQ2672" s="174"/>
      <c r="AR2672" s="222"/>
    </row>
    <row r="2673" spans="2:44" s="144" customFormat="1" ht="18" customHeight="1" x14ac:dyDescent="0.25">
      <c r="B2673" s="145"/>
      <c r="C2673" s="139"/>
      <c r="D2673" s="146"/>
      <c r="E2673" s="139"/>
      <c r="F2673" s="139"/>
      <c r="G2673" s="139"/>
      <c r="H2673" s="139"/>
      <c r="I2673" s="139"/>
      <c r="J2673" s="139"/>
      <c r="K2673" s="139"/>
      <c r="L2673" s="243"/>
      <c r="M2673" s="243"/>
      <c r="N2673" s="139"/>
      <c r="O2673" s="139"/>
      <c r="P2673" s="139"/>
      <c r="Q2673" s="147"/>
      <c r="R2673" s="139"/>
      <c r="S2673" s="139"/>
      <c r="T2673" s="139"/>
      <c r="U2673" s="139"/>
      <c r="V2673" s="139"/>
      <c r="W2673" s="139"/>
      <c r="X2673" s="146"/>
      <c r="Y2673" s="148"/>
      <c r="Z2673" s="145"/>
      <c r="AA2673" s="139"/>
      <c r="AB2673" s="149"/>
      <c r="AC2673" s="119"/>
      <c r="AD2673" s="139"/>
      <c r="AE2673" s="139"/>
      <c r="AF2673" s="139"/>
      <c r="AG2673" s="139"/>
      <c r="AH2673" s="139"/>
      <c r="AI2673" s="139"/>
      <c r="AJ2673" s="139"/>
      <c r="AK2673" s="139"/>
      <c r="AL2673" s="139"/>
      <c r="AM2673" s="139"/>
      <c r="AN2673" s="139"/>
      <c r="AO2673" s="139"/>
      <c r="AP2673" s="139"/>
      <c r="AQ2673" s="174"/>
      <c r="AR2673" s="222"/>
    </row>
    <row r="2679" spans="2:44" s="144" customFormat="1" ht="18" customHeight="1" x14ac:dyDescent="0.25">
      <c r="B2679" s="145"/>
      <c r="C2679" s="139"/>
      <c r="D2679" s="146"/>
      <c r="E2679" s="139"/>
      <c r="F2679" s="139"/>
      <c r="G2679" s="139"/>
      <c r="H2679" s="139"/>
      <c r="I2679" s="139"/>
      <c r="J2679" s="139"/>
      <c r="K2679" s="139"/>
      <c r="L2679" s="243"/>
      <c r="M2679" s="243"/>
      <c r="N2679" s="139"/>
      <c r="O2679" s="139"/>
      <c r="P2679" s="139"/>
      <c r="Q2679" s="147"/>
      <c r="R2679" s="139"/>
      <c r="S2679" s="139"/>
      <c r="T2679" s="139"/>
      <c r="U2679" s="139"/>
      <c r="V2679" s="139"/>
      <c r="W2679" s="139"/>
      <c r="X2679" s="146"/>
      <c r="Y2679" s="148"/>
      <c r="Z2679" s="145"/>
      <c r="AA2679" s="139"/>
      <c r="AB2679" s="149"/>
      <c r="AC2679" s="119"/>
      <c r="AD2679" s="139"/>
      <c r="AE2679" s="139"/>
      <c r="AF2679" s="139"/>
      <c r="AG2679" s="139"/>
      <c r="AH2679" s="139"/>
      <c r="AI2679" s="139"/>
      <c r="AJ2679" s="139"/>
      <c r="AK2679" s="139"/>
      <c r="AL2679" s="139"/>
      <c r="AM2679" s="139"/>
      <c r="AN2679" s="139"/>
      <c r="AO2679" s="139"/>
      <c r="AP2679" s="139"/>
      <c r="AQ2679" s="174"/>
      <c r="AR2679" s="222"/>
    </row>
    <row r="2681" spans="2:44" s="144" customFormat="1" ht="18" customHeight="1" x14ac:dyDescent="0.25">
      <c r="B2681" s="145"/>
      <c r="C2681" s="139"/>
      <c r="D2681" s="146"/>
      <c r="E2681" s="139"/>
      <c r="F2681" s="139"/>
      <c r="G2681" s="139"/>
      <c r="H2681" s="139"/>
      <c r="I2681" s="139"/>
      <c r="J2681" s="139"/>
      <c r="K2681" s="139"/>
      <c r="L2681" s="243"/>
      <c r="M2681" s="243"/>
      <c r="N2681" s="139"/>
      <c r="O2681" s="139"/>
      <c r="P2681" s="139"/>
      <c r="Q2681" s="147"/>
      <c r="R2681" s="139"/>
      <c r="S2681" s="139"/>
      <c r="T2681" s="139"/>
      <c r="U2681" s="139"/>
      <c r="V2681" s="139"/>
      <c r="W2681" s="139"/>
      <c r="X2681" s="146"/>
      <c r="Y2681" s="148"/>
      <c r="Z2681" s="145"/>
      <c r="AA2681" s="139"/>
      <c r="AB2681" s="149"/>
      <c r="AC2681" s="119"/>
      <c r="AD2681" s="139"/>
      <c r="AE2681" s="139"/>
      <c r="AF2681" s="139"/>
      <c r="AG2681" s="139"/>
      <c r="AH2681" s="139"/>
      <c r="AI2681" s="139"/>
      <c r="AJ2681" s="139"/>
      <c r="AK2681" s="139"/>
      <c r="AL2681" s="139"/>
      <c r="AM2681" s="139"/>
      <c r="AN2681" s="139"/>
      <c r="AO2681" s="139"/>
      <c r="AP2681" s="139"/>
      <c r="AQ2681" s="174"/>
      <c r="AR2681" s="222"/>
    </row>
    <row r="2683" spans="2:44" s="144" customFormat="1" ht="18" customHeight="1" x14ac:dyDescent="0.25">
      <c r="B2683" s="145"/>
      <c r="C2683" s="139"/>
      <c r="D2683" s="146"/>
      <c r="E2683" s="139"/>
      <c r="F2683" s="139"/>
      <c r="G2683" s="139"/>
      <c r="H2683" s="139"/>
      <c r="I2683" s="139"/>
      <c r="J2683" s="139"/>
      <c r="K2683" s="139"/>
      <c r="L2683" s="243"/>
      <c r="M2683" s="243"/>
      <c r="N2683" s="139"/>
      <c r="O2683" s="139"/>
      <c r="P2683" s="139"/>
      <c r="Q2683" s="147"/>
      <c r="R2683" s="139"/>
      <c r="S2683" s="139"/>
      <c r="T2683" s="139"/>
      <c r="U2683" s="139"/>
      <c r="V2683" s="139"/>
      <c r="W2683" s="139"/>
      <c r="X2683" s="146"/>
      <c r="Y2683" s="148"/>
      <c r="Z2683" s="145"/>
      <c r="AA2683" s="139"/>
      <c r="AB2683" s="149"/>
      <c r="AC2683" s="119"/>
      <c r="AD2683" s="139"/>
      <c r="AE2683" s="139"/>
      <c r="AF2683" s="139"/>
      <c r="AG2683" s="139"/>
      <c r="AH2683" s="139"/>
      <c r="AI2683" s="139"/>
      <c r="AJ2683" s="139"/>
      <c r="AK2683" s="139"/>
      <c r="AL2683" s="139"/>
      <c r="AM2683" s="139"/>
      <c r="AN2683" s="139"/>
      <c r="AO2683" s="139"/>
      <c r="AP2683" s="139"/>
      <c r="AQ2683" s="174"/>
      <c r="AR2683" s="222"/>
    </row>
    <row r="2684" spans="2:44" s="144" customFormat="1" ht="18" customHeight="1" x14ac:dyDescent="0.25">
      <c r="B2684" s="145"/>
      <c r="C2684" s="139"/>
      <c r="D2684" s="146"/>
      <c r="E2684" s="139"/>
      <c r="F2684" s="139"/>
      <c r="G2684" s="139"/>
      <c r="H2684" s="139"/>
      <c r="I2684" s="139"/>
      <c r="J2684" s="139"/>
      <c r="K2684" s="139"/>
      <c r="L2684" s="243"/>
      <c r="M2684" s="243"/>
      <c r="N2684" s="139"/>
      <c r="O2684" s="139"/>
      <c r="P2684" s="139"/>
      <c r="Q2684" s="147"/>
      <c r="R2684" s="139"/>
      <c r="S2684" s="139"/>
      <c r="T2684" s="139"/>
      <c r="U2684" s="139"/>
      <c r="V2684" s="139"/>
      <c r="W2684" s="139"/>
      <c r="X2684" s="146"/>
      <c r="Y2684" s="148"/>
      <c r="Z2684" s="145"/>
      <c r="AA2684" s="139"/>
      <c r="AB2684" s="149"/>
      <c r="AC2684" s="119"/>
      <c r="AD2684" s="139"/>
      <c r="AE2684" s="139"/>
      <c r="AF2684" s="139"/>
      <c r="AG2684" s="139"/>
      <c r="AH2684" s="139"/>
      <c r="AI2684" s="139"/>
      <c r="AJ2684" s="139"/>
      <c r="AK2684" s="139"/>
      <c r="AL2684" s="139"/>
      <c r="AM2684" s="139"/>
      <c r="AN2684" s="139"/>
      <c r="AO2684" s="139"/>
      <c r="AP2684" s="139"/>
      <c r="AQ2684" s="174"/>
      <c r="AR2684" s="222"/>
    </row>
    <row r="2685" spans="2:44" s="144" customFormat="1" ht="18" customHeight="1" x14ac:dyDescent="0.25">
      <c r="B2685" s="145"/>
      <c r="C2685" s="139"/>
      <c r="D2685" s="146"/>
      <c r="E2685" s="139"/>
      <c r="F2685" s="139"/>
      <c r="G2685" s="139"/>
      <c r="H2685" s="139"/>
      <c r="I2685" s="139"/>
      <c r="J2685" s="139"/>
      <c r="K2685" s="139"/>
      <c r="L2685" s="243"/>
      <c r="M2685" s="243"/>
      <c r="N2685" s="139"/>
      <c r="O2685" s="139"/>
      <c r="P2685" s="139"/>
      <c r="Q2685" s="147"/>
      <c r="R2685" s="139"/>
      <c r="S2685" s="139"/>
      <c r="T2685" s="139"/>
      <c r="U2685" s="139"/>
      <c r="V2685" s="139"/>
      <c r="W2685" s="139"/>
      <c r="X2685" s="146"/>
      <c r="Y2685" s="148"/>
      <c r="Z2685" s="145"/>
      <c r="AA2685" s="139"/>
      <c r="AB2685" s="149"/>
      <c r="AC2685" s="119"/>
      <c r="AD2685" s="139"/>
      <c r="AE2685" s="139"/>
      <c r="AF2685" s="139"/>
      <c r="AG2685" s="139"/>
      <c r="AH2685" s="139"/>
      <c r="AI2685" s="139"/>
      <c r="AJ2685" s="139"/>
      <c r="AK2685" s="139"/>
      <c r="AL2685" s="139"/>
      <c r="AM2685" s="139"/>
      <c r="AN2685" s="139"/>
      <c r="AO2685" s="139"/>
      <c r="AP2685" s="139"/>
      <c r="AQ2685" s="174"/>
      <c r="AR2685" s="222"/>
    </row>
    <row r="2686" spans="2:44" s="144" customFormat="1" ht="18" customHeight="1" x14ac:dyDescent="0.25">
      <c r="B2686" s="145"/>
      <c r="C2686" s="139"/>
      <c r="D2686" s="146"/>
      <c r="E2686" s="139"/>
      <c r="F2686" s="139"/>
      <c r="G2686" s="139"/>
      <c r="H2686" s="139"/>
      <c r="I2686" s="139"/>
      <c r="J2686" s="139"/>
      <c r="K2686" s="139"/>
      <c r="L2686" s="243"/>
      <c r="M2686" s="243"/>
      <c r="N2686" s="139"/>
      <c r="O2686" s="139"/>
      <c r="P2686" s="139"/>
      <c r="Q2686" s="147"/>
      <c r="R2686" s="139"/>
      <c r="S2686" s="139"/>
      <c r="T2686" s="139"/>
      <c r="U2686" s="139"/>
      <c r="V2686" s="139"/>
      <c r="W2686" s="139"/>
      <c r="X2686" s="146"/>
      <c r="Y2686" s="148"/>
      <c r="Z2686" s="145"/>
      <c r="AA2686" s="139"/>
      <c r="AB2686" s="149"/>
      <c r="AC2686" s="119"/>
      <c r="AD2686" s="139"/>
      <c r="AE2686" s="139"/>
      <c r="AF2686" s="139"/>
      <c r="AG2686" s="139"/>
      <c r="AH2686" s="139"/>
      <c r="AI2686" s="139"/>
      <c r="AJ2686" s="139"/>
      <c r="AK2686" s="139"/>
      <c r="AL2686" s="139"/>
      <c r="AM2686" s="139"/>
      <c r="AN2686" s="139"/>
      <c r="AO2686" s="139"/>
      <c r="AP2686" s="139"/>
      <c r="AQ2686" s="174"/>
      <c r="AR2686" s="222"/>
    </row>
    <row r="2687" spans="2:44" s="144" customFormat="1" ht="18" customHeight="1" x14ac:dyDescent="0.25">
      <c r="B2687" s="145"/>
      <c r="C2687" s="139"/>
      <c r="D2687" s="146"/>
      <c r="E2687" s="139"/>
      <c r="F2687" s="139"/>
      <c r="G2687" s="139"/>
      <c r="H2687" s="139"/>
      <c r="I2687" s="139"/>
      <c r="J2687" s="139"/>
      <c r="K2687" s="139"/>
      <c r="L2687" s="243"/>
      <c r="M2687" s="243"/>
      <c r="N2687" s="139"/>
      <c r="O2687" s="139"/>
      <c r="P2687" s="139"/>
      <c r="Q2687" s="147"/>
      <c r="R2687" s="139"/>
      <c r="S2687" s="139"/>
      <c r="T2687" s="139"/>
      <c r="U2687" s="139"/>
      <c r="V2687" s="139"/>
      <c r="W2687" s="139"/>
      <c r="X2687" s="146"/>
      <c r="Y2687" s="148"/>
      <c r="Z2687" s="145"/>
      <c r="AA2687" s="139"/>
      <c r="AB2687" s="149"/>
      <c r="AC2687" s="119"/>
      <c r="AD2687" s="139"/>
      <c r="AE2687" s="139"/>
      <c r="AF2687" s="139"/>
      <c r="AG2687" s="139"/>
      <c r="AH2687" s="139"/>
      <c r="AI2687" s="139"/>
      <c r="AJ2687" s="139"/>
      <c r="AK2687" s="139"/>
      <c r="AL2687" s="139"/>
      <c r="AM2687" s="139"/>
      <c r="AN2687" s="139"/>
      <c r="AO2687" s="139"/>
      <c r="AP2687" s="139"/>
      <c r="AQ2687" s="174"/>
      <c r="AR2687" s="222"/>
    </row>
    <row r="2688" spans="2:44" s="144" customFormat="1" ht="18" customHeight="1" x14ac:dyDescent="0.25">
      <c r="B2688" s="145"/>
      <c r="C2688" s="139"/>
      <c r="D2688" s="146"/>
      <c r="E2688" s="139"/>
      <c r="F2688" s="139"/>
      <c r="G2688" s="139"/>
      <c r="H2688" s="139"/>
      <c r="I2688" s="139"/>
      <c r="J2688" s="139"/>
      <c r="K2688" s="139"/>
      <c r="L2688" s="243"/>
      <c r="M2688" s="243"/>
      <c r="N2688" s="139"/>
      <c r="O2688" s="139"/>
      <c r="P2688" s="139"/>
      <c r="Q2688" s="147"/>
      <c r="R2688" s="139"/>
      <c r="S2688" s="139"/>
      <c r="T2688" s="139"/>
      <c r="U2688" s="139"/>
      <c r="V2688" s="139"/>
      <c r="W2688" s="139"/>
      <c r="X2688" s="146"/>
      <c r="Y2688" s="148"/>
      <c r="Z2688" s="145"/>
      <c r="AA2688" s="139"/>
      <c r="AB2688" s="149"/>
      <c r="AC2688" s="119"/>
      <c r="AD2688" s="139"/>
      <c r="AE2688" s="139"/>
      <c r="AF2688" s="139"/>
      <c r="AG2688" s="139"/>
      <c r="AH2688" s="139"/>
      <c r="AI2688" s="139"/>
      <c r="AJ2688" s="139"/>
      <c r="AK2688" s="139"/>
      <c r="AL2688" s="139"/>
      <c r="AM2688" s="139"/>
      <c r="AN2688" s="139"/>
      <c r="AO2688" s="139"/>
      <c r="AP2688" s="139"/>
      <c r="AQ2688" s="174"/>
      <c r="AR2688" s="222"/>
    </row>
    <row r="2689" spans="2:44" s="144" customFormat="1" ht="18" customHeight="1" x14ac:dyDescent="0.25">
      <c r="B2689" s="145"/>
      <c r="C2689" s="139"/>
      <c r="D2689" s="146"/>
      <c r="E2689" s="139"/>
      <c r="F2689" s="139"/>
      <c r="G2689" s="139"/>
      <c r="H2689" s="139"/>
      <c r="I2689" s="139"/>
      <c r="J2689" s="139"/>
      <c r="K2689" s="139"/>
      <c r="L2689" s="243"/>
      <c r="M2689" s="243"/>
      <c r="N2689" s="139"/>
      <c r="O2689" s="139"/>
      <c r="P2689" s="139"/>
      <c r="Q2689" s="147"/>
      <c r="R2689" s="139"/>
      <c r="S2689" s="139"/>
      <c r="T2689" s="139"/>
      <c r="U2689" s="139"/>
      <c r="V2689" s="139"/>
      <c r="W2689" s="139"/>
      <c r="X2689" s="146"/>
      <c r="Y2689" s="148"/>
      <c r="Z2689" s="145"/>
      <c r="AA2689" s="139"/>
      <c r="AB2689" s="149"/>
      <c r="AC2689" s="119"/>
      <c r="AD2689" s="139"/>
      <c r="AE2689" s="139"/>
      <c r="AF2689" s="139"/>
      <c r="AG2689" s="139"/>
      <c r="AH2689" s="139"/>
      <c r="AI2689" s="139"/>
      <c r="AJ2689" s="139"/>
      <c r="AK2689" s="139"/>
      <c r="AL2689" s="139"/>
      <c r="AM2689" s="139"/>
      <c r="AN2689" s="139"/>
      <c r="AO2689" s="139"/>
      <c r="AP2689" s="139"/>
      <c r="AQ2689" s="174"/>
      <c r="AR2689" s="222"/>
    </row>
    <row r="2690" spans="2:44" s="144" customFormat="1" ht="18" customHeight="1" x14ac:dyDescent="0.25">
      <c r="B2690" s="145"/>
      <c r="C2690" s="139"/>
      <c r="D2690" s="146"/>
      <c r="E2690" s="139"/>
      <c r="F2690" s="139"/>
      <c r="G2690" s="139"/>
      <c r="H2690" s="139"/>
      <c r="I2690" s="139"/>
      <c r="J2690" s="139"/>
      <c r="K2690" s="139"/>
      <c r="L2690" s="243"/>
      <c r="M2690" s="243"/>
      <c r="N2690" s="139"/>
      <c r="O2690" s="139"/>
      <c r="P2690" s="139"/>
      <c r="Q2690" s="147"/>
      <c r="R2690" s="139"/>
      <c r="S2690" s="139"/>
      <c r="T2690" s="139"/>
      <c r="U2690" s="139"/>
      <c r="V2690" s="139"/>
      <c r="W2690" s="139"/>
      <c r="X2690" s="146"/>
      <c r="Y2690" s="148"/>
      <c r="Z2690" s="145"/>
      <c r="AA2690" s="139"/>
      <c r="AB2690" s="149"/>
      <c r="AC2690" s="119"/>
      <c r="AD2690" s="139"/>
      <c r="AE2690" s="139"/>
      <c r="AF2690" s="139"/>
      <c r="AG2690" s="139"/>
      <c r="AH2690" s="139"/>
      <c r="AI2690" s="139"/>
      <c r="AJ2690" s="139"/>
      <c r="AK2690" s="139"/>
      <c r="AL2690" s="139"/>
      <c r="AM2690" s="139"/>
      <c r="AN2690" s="139"/>
      <c r="AO2690" s="139"/>
      <c r="AP2690" s="139"/>
      <c r="AQ2690" s="174"/>
      <c r="AR2690" s="222"/>
    </row>
    <row r="2691" spans="2:44" s="144" customFormat="1" ht="18" customHeight="1" x14ac:dyDescent="0.25">
      <c r="B2691" s="145"/>
      <c r="C2691" s="139"/>
      <c r="D2691" s="146"/>
      <c r="E2691" s="139"/>
      <c r="F2691" s="139"/>
      <c r="G2691" s="139"/>
      <c r="H2691" s="139"/>
      <c r="I2691" s="139"/>
      <c r="J2691" s="139"/>
      <c r="K2691" s="139"/>
      <c r="L2691" s="243"/>
      <c r="M2691" s="243"/>
      <c r="N2691" s="139"/>
      <c r="O2691" s="139"/>
      <c r="P2691" s="139"/>
      <c r="Q2691" s="147"/>
      <c r="R2691" s="139"/>
      <c r="S2691" s="139"/>
      <c r="T2691" s="139"/>
      <c r="U2691" s="139"/>
      <c r="V2691" s="139"/>
      <c r="W2691" s="139"/>
      <c r="X2691" s="146"/>
      <c r="Y2691" s="148"/>
      <c r="Z2691" s="145"/>
      <c r="AA2691" s="139"/>
      <c r="AB2691" s="149"/>
      <c r="AC2691" s="119"/>
      <c r="AD2691" s="139"/>
      <c r="AE2691" s="139"/>
      <c r="AF2691" s="139"/>
      <c r="AG2691" s="139"/>
      <c r="AH2691" s="139"/>
      <c r="AI2691" s="139"/>
      <c r="AJ2691" s="139"/>
      <c r="AK2691" s="139"/>
      <c r="AL2691" s="139"/>
      <c r="AM2691" s="139"/>
      <c r="AN2691" s="139"/>
      <c r="AO2691" s="139"/>
      <c r="AP2691" s="139"/>
      <c r="AQ2691" s="174"/>
      <c r="AR2691" s="222"/>
    </row>
    <row r="2692" spans="2:44" s="144" customFormat="1" ht="18" customHeight="1" x14ac:dyDescent="0.25">
      <c r="B2692" s="145"/>
      <c r="C2692" s="139"/>
      <c r="D2692" s="146"/>
      <c r="E2692" s="139"/>
      <c r="F2692" s="139"/>
      <c r="G2692" s="139"/>
      <c r="H2692" s="139"/>
      <c r="I2692" s="139"/>
      <c r="J2692" s="139"/>
      <c r="K2692" s="139"/>
      <c r="L2692" s="243"/>
      <c r="M2692" s="243"/>
      <c r="N2692" s="139"/>
      <c r="O2692" s="139"/>
      <c r="P2692" s="139"/>
      <c r="Q2692" s="147"/>
      <c r="R2692" s="139"/>
      <c r="S2692" s="139"/>
      <c r="T2692" s="139"/>
      <c r="U2692" s="139"/>
      <c r="V2692" s="139"/>
      <c r="W2692" s="139"/>
      <c r="X2692" s="146"/>
      <c r="Y2692" s="148"/>
      <c r="Z2692" s="145"/>
      <c r="AA2692" s="139"/>
      <c r="AB2692" s="149"/>
      <c r="AC2692" s="119"/>
      <c r="AD2692" s="139"/>
      <c r="AE2692" s="139"/>
      <c r="AF2692" s="139"/>
      <c r="AG2692" s="139"/>
      <c r="AH2692" s="139"/>
      <c r="AI2692" s="139"/>
      <c r="AJ2692" s="139"/>
      <c r="AK2692" s="139"/>
      <c r="AL2692" s="139"/>
      <c r="AM2692" s="139"/>
      <c r="AN2692" s="139"/>
      <c r="AO2692" s="139"/>
      <c r="AP2692" s="139"/>
      <c r="AQ2692" s="174"/>
      <c r="AR2692" s="222"/>
    </row>
    <row r="2693" spans="2:44" s="144" customFormat="1" ht="18" customHeight="1" x14ac:dyDescent="0.25">
      <c r="B2693" s="145"/>
      <c r="C2693" s="139"/>
      <c r="D2693" s="146"/>
      <c r="E2693" s="139"/>
      <c r="F2693" s="139"/>
      <c r="G2693" s="139"/>
      <c r="H2693" s="139"/>
      <c r="I2693" s="139"/>
      <c r="J2693" s="139"/>
      <c r="K2693" s="139"/>
      <c r="L2693" s="243"/>
      <c r="M2693" s="243"/>
      <c r="N2693" s="139"/>
      <c r="O2693" s="139"/>
      <c r="P2693" s="139"/>
      <c r="Q2693" s="147"/>
      <c r="R2693" s="139"/>
      <c r="S2693" s="139"/>
      <c r="T2693" s="139"/>
      <c r="U2693" s="139"/>
      <c r="V2693" s="139"/>
      <c r="W2693" s="139"/>
      <c r="X2693" s="146"/>
      <c r="Y2693" s="148"/>
      <c r="Z2693" s="145"/>
      <c r="AA2693" s="139"/>
      <c r="AB2693" s="149"/>
      <c r="AC2693" s="119"/>
      <c r="AD2693" s="139"/>
      <c r="AE2693" s="139"/>
      <c r="AF2693" s="139"/>
      <c r="AG2693" s="139"/>
      <c r="AH2693" s="139"/>
      <c r="AI2693" s="139"/>
      <c r="AJ2693" s="139"/>
      <c r="AK2693" s="139"/>
      <c r="AL2693" s="139"/>
      <c r="AM2693" s="139"/>
      <c r="AN2693" s="139"/>
      <c r="AO2693" s="139"/>
      <c r="AP2693" s="139"/>
      <c r="AQ2693" s="174"/>
      <c r="AR2693" s="222"/>
    </row>
    <row r="2707" spans="2:44" s="144" customFormat="1" ht="18" customHeight="1" x14ac:dyDescent="0.25">
      <c r="B2707" s="145"/>
      <c r="C2707" s="139"/>
      <c r="D2707" s="146"/>
      <c r="E2707" s="139"/>
      <c r="F2707" s="139"/>
      <c r="G2707" s="139"/>
      <c r="H2707" s="139"/>
      <c r="I2707" s="139"/>
      <c r="J2707" s="139"/>
      <c r="K2707" s="139"/>
      <c r="L2707" s="243"/>
      <c r="M2707" s="243"/>
      <c r="N2707" s="139"/>
      <c r="O2707" s="139"/>
      <c r="P2707" s="139"/>
      <c r="Q2707" s="147"/>
      <c r="R2707" s="139"/>
      <c r="S2707" s="139"/>
      <c r="T2707" s="139"/>
      <c r="U2707" s="139"/>
      <c r="V2707" s="139"/>
      <c r="W2707" s="139"/>
      <c r="X2707" s="146"/>
      <c r="Y2707" s="148"/>
      <c r="Z2707" s="145"/>
      <c r="AA2707" s="139"/>
      <c r="AB2707" s="149"/>
      <c r="AC2707" s="119"/>
      <c r="AD2707" s="139"/>
      <c r="AE2707" s="139"/>
      <c r="AF2707" s="139"/>
      <c r="AG2707" s="139"/>
      <c r="AH2707" s="139"/>
      <c r="AI2707" s="139"/>
      <c r="AJ2707" s="139"/>
      <c r="AK2707" s="139"/>
      <c r="AL2707" s="139"/>
      <c r="AM2707" s="139"/>
      <c r="AN2707" s="139"/>
      <c r="AO2707" s="139"/>
      <c r="AP2707" s="139"/>
      <c r="AQ2707" s="174"/>
      <c r="AR2707" s="222"/>
    </row>
    <row r="2728" spans="2:44" s="144" customFormat="1" ht="18" customHeight="1" x14ac:dyDescent="0.25">
      <c r="B2728" s="145"/>
      <c r="C2728" s="139"/>
      <c r="D2728" s="146"/>
      <c r="E2728" s="139"/>
      <c r="F2728" s="139"/>
      <c r="G2728" s="139"/>
      <c r="H2728" s="139"/>
      <c r="I2728" s="139"/>
      <c r="J2728" s="139"/>
      <c r="K2728" s="139"/>
      <c r="L2728" s="243"/>
      <c r="M2728" s="243"/>
      <c r="N2728" s="139"/>
      <c r="O2728" s="139"/>
      <c r="P2728" s="139"/>
      <c r="Q2728" s="147"/>
      <c r="R2728" s="139"/>
      <c r="S2728" s="139"/>
      <c r="T2728" s="139"/>
      <c r="U2728" s="139"/>
      <c r="V2728" s="139"/>
      <c r="W2728" s="139"/>
      <c r="X2728" s="146"/>
      <c r="Y2728" s="148"/>
      <c r="Z2728" s="145"/>
      <c r="AA2728" s="139"/>
      <c r="AB2728" s="149"/>
      <c r="AC2728" s="119"/>
      <c r="AD2728" s="139"/>
      <c r="AE2728" s="139"/>
      <c r="AF2728" s="139"/>
      <c r="AG2728" s="139"/>
      <c r="AH2728" s="139"/>
      <c r="AI2728" s="139"/>
      <c r="AJ2728" s="139"/>
      <c r="AK2728" s="139"/>
      <c r="AL2728" s="139"/>
      <c r="AM2728" s="139"/>
      <c r="AN2728" s="139"/>
      <c r="AO2728" s="139"/>
      <c r="AP2728" s="139"/>
      <c r="AQ2728" s="174"/>
      <c r="AR2728" s="222"/>
    </row>
    <row r="2736" spans="2:44" s="144" customFormat="1" ht="18" customHeight="1" x14ac:dyDescent="0.25">
      <c r="B2736" s="145"/>
      <c r="C2736" s="139"/>
      <c r="D2736" s="146"/>
      <c r="E2736" s="139"/>
      <c r="F2736" s="139"/>
      <c r="G2736" s="139"/>
      <c r="H2736" s="139"/>
      <c r="I2736" s="139"/>
      <c r="J2736" s="139"/>
      <c r="K2736" s="139"/>
      <c r="L2736" s="243"/>
      <c r="M2736" s="243"/>
      <c r="N2736" s="139"/>
      <c r="O2736" s="139"/>
      <c r="P2736" s="139"/>
      <c r="Q2736" s="147"/>
      <c r="R2736" s="139"/>
      <c r="S2736" s="139"/>
      <c r="T2736" s="139"/>
      <c r="U2736" s="139"/>
      <c r="V2736" s="139"/>
      <c r="W2736" s="139"/>
      <c r="X2736" s="146"/>
      <c r="Y2736" s="148"/>
      <c r="Z2736" s="145"/>
      <c r="AA2736" s="139"/>
      <c r="AB2736" s="149"/>
      <c r="AC2736" s="119"/>
      <c r="AD2736" s="139"/>
      <c r="AE2736" s="139"/>
      <c r="AF2736" s="139"/>
      <c r="AG2736" s="139"/>
      <c r="AH2736" s="139"/>
      <c r="AI2736" s="139"/>
      <c r="AJ2736" s="139"/>
      <c r="AK2736" s="139"/>
      <c r="AL2736" s="139"/>
      <c r="AM2736" s="139"/>
      <c r="AN2736" s="139"/>
      <c r="AO2736" s="139"/>
      <c r="AP2736" s="139"/>
      <c r="AQ2736" s="174"/>
      <c r="AR2736" s="222"/>
    </row>
    <row r="2737" spans="2:44" s="144" customFormat="1" ht="18" customHeight="1" x14ac:dyDescent="0.25">
      <c r="B2737" s="145"/>
      <c r="C2737" s="139"/>
      <c r="D2737" s="146"/>
      <c r="E2737" s="139"/>
      <c r="F2737" s="139"/>
      <c r="G2737" s="139"/>
      <c r="H2737" s="139"/>
      <c r="I2737" s="139"/>
      <c r="J2737" s="139"/>
      <c r="K2737" s="139"/>
      <c r="L2737" s="243"/>
      <c r="M2737" s="243"/>
      <c r="N2737" s="139"/>
      <c r="O2737" s="139"/>
      <c r="P2737" s="139"/>
      <c r="Q2737" s="147"/>
      <c r="R2737" s="139"/>
      <c r="S2737" s="139"/>
      <c r="T2737" s="139"/>
      <c r="U2737" s="139"/>
      <c r="V2737" s="139"/>
      <c r="W2737" s="139"/>
      <c r="X2737" s="146"/>
      <c r="Y2737" s="148"/>
      <c r="Z2737" s="145"/>
      <c r="AA2737" s="139"/>
      <c r="AB2737" s="149"/>
      <c r="AC2737" s="119"/>
      <c r="AD2737" s="139"/>
      <c r="AE2737" s="139"/>
      <c r="AF2737" s="139"/>
      <c r="AG2737" s="139"/>
      <c r="AH2737" s="139"/>
      <c r="AI2737" s="139"/>
      <c r="AJ2737" s="139"/>
      <c r="AK2737" s="139"/>
      <c r="AL2737" s="139"/>
      <c r="AM2737" s="139"/>
      <c r="AN2737" s="139"/>
      <c r="AO2737" s="139"/>
      <c r="AP2737" s="139"/>
      <c r="AQ2737" s="174"/>
      <c r="AR2737" s="222"/>
    </row>
    <row r="2738" spans="2:44" s="277" customFormat="1" ht="18" customHeight="1" x14ac:dyDescent="0.25">
      <c r="B2738" s="145"/>
      <c r="C2738" s="139"/>
      <c r="D2738" s="146"/>
      <c r="E2738" s="139"/>
      <c r="F2738" s="139"/>
      <c r="G2738" s="139"/>
      <c r="H2738" s="139"/>
      <c r="I2738" s="139"/>
      <c r="J2738" s="139"/>
      <c r="K2738" s="139"/>
      <c r="L2738" s="243"/>
      <c r="M2738" s="243"/>
      <c r="N2738" s="139"/>
      <c r="O2738" s="139"/>
      <c r="P2738" s="139"/>
      <c r="Q2738" s="147"/>
      <c r="R2738" s="139"/>
      <c r="S2738" s="139"/>
      <c r="T2738" s="139"/>
      <c r="U2738" s="139"/>
      <c r="V2738" s="139"/>
      <c r="W2738" s="139"/>
      <c r="X2738" s="146"/>
      <c r="Y2738" s="148"/>
      <c r="Z2738" s="145"/>
      <c r="AA2738" s="139"/>
      <c r="AB2738" s="149"/>
      <c r="AC2738" s="119"/>
      <c r="AD2738" s="139"/>
      <c r="AE2738" s="139"/>
      <c r="AF2738" s="139"/>
      <c r="AG2738" s="139"/>
      <c r="AH2738" s="139"/>
      <c r="AI2738" s="139"/>
      <c r="AJ2738" s="139"/>
      <c r="AK2738" s="139"/>
      <c r="AL2738" s="139"/>
      <c r="AM2738" s="139"/>
      <c r="AN2738" s="139"/>
      <c r="AO2738" s="139"/>
      <c r="AP2738" s="139"/>
      <c r="AQ2738" s="174"/>
      <c r="AR2738" s="222"/>
    </row>
    <row r="2746" spans="2:44" s="277" customFormat="1" ht="18" customHeight="1" x14ac:dyDescent="0.25">
      <c r="B2746" s="145"/>
      <c r="C2746" s="139"/>
      <c r="D2746" s="146"/>
      <c r="E2746" s="139"/>
      <c r="F2746" s="139"/>
      <c r="G2746" s="139"/>
      <c r="H2746" s="139"/>
      <c r="I2746" s="139"/>
      <c r="J2746" s="139"/>
      <c r="K2746" s="139"/>
      <c r="L2746" s="243"/>
      <c r="M2746" s="243"/>
      <c r="N2746" s="139"/>
      <c r="O2746" s="139"/>
      <c r="P2746" s="139"/>
      <c r="Q2746" s="147"/>
      <c r="R2746" s="139"/>
      <c r="S2746" s="139"/>
      <c r="T2746" s="139"/>
      <c r="U2746" s="139"/>
      <c r="V2746" s="139"/>
      <c r="W2746" s="139"/>
      <c r="X2746" s="146"/>
      <c r="Y2746" s="148"/>
      <c r="Z2746" s="145"/>
      <c r="AA2746" s="139"/>
      <c r="AB2746" s="149"/>
      <c r="AC2746" s="119"/>
      <c r="AD2746" s="139"/>
      <c r="AE2746" s="139"/>
      <c r="AF2746" s="139"/>
      <c r="AG2746" s="139"/>
      <c r="AH2746" s="139"/>
      <c r="AI2746" s="139"/>
      <c r="AJ2746" s="139"/>
      <c r="AK2746" s="139"/>
      <c r="AL2746" s="139"/>
      <c r="AM2746" s="139"/>
      <c r="AN2746" s="139"/>
      <c r="AO2746" s="139"/>
      <c r="AP2746" s="139"/>
      <c r="AQ2746" s="174"/>
      <c r="AR2746" s="222"/>
    </row>
    <row r="2750" spans="2:44" s="144" customFormat="1" ht="18" customHeight="1" x14ac:dyDescent="0.25">
      <c r="B2750" s="145"/>
      <c r="C2750" s="139"/>
      <c r="D2750" s="146"/>
      <c r="E2750" s="139"/>
      <c r="F2750" s="139"/>
      <c r="G2750" s="139"/>
      <c r="H2750" s="139"/>
      <c r="I2750" s="139"/>
      <c r="J2750" s="139"/>
      <c r="K2750" s="139"/>
      <c r="L2750" s="243"/>
      <c r="M2750" s="243"/>
      <c r="N2750" s="139"/>
      <c r="O2750" s="139"/>
      <c r="P2750" s="139"/>
      <c r="Q2750" s="147"/>
      <c r="R2750" s="139"/>
      <c r="S2750" s="139"/>
      <c r="T2750" s="139"/>
      <c r="U2750" s="139"/>
      <c r="V2750" s="139"/>
      <c r="W2750" s="139"/>
      <c r="X2750" s="146"/>
      <c r="Y2750" s="148"/>
      <c r="Z2750" s="145"/>
      <c r="AA2750" s="139"/>
      <c r="AB2750" s="149"/>
      <c r="AC2750" s="119"/>
      <c r="AD2750" s="139"/>
      <c r="AE2750" s="139"/>
      <c r="AF2750" s="139"/>
      <c r="AG2750" s="139"/>
      <c r="AH2750" s="139"/>
      <c r="AI2750" s="139"/>
      <c r="AJ2750" s="139"/>
      <c r="AK2750" s="139"/>
      <c r="AL2750" s="139"/>
      <c r="AM2750" s="139"/>
      <c r="AN2750" s="139"/>
      <c r="AO2750" s="139"/>
      <c r="AP2750" s="139"/>
      <c r="AQ2750" s="174"/>
      <c r="AR2750" s="222"/>
    </row>
    <row r="2754" spans="2:44" s="277" customFormat="1" ht="18" customHeight="1" x14ac:dyDescent="0.25">
      <c r="B2754" s="145"/>
      <c r="C2754" s="139"/>
      <c r="D2754" s="146"/>
      <c r="E2754" s="139"/>
      <c r="F2754" s="139"/>
      <c r="G2754" s="139"/>
      <c r="H2754" s="139"/>
      <c r="I2754" s="139"/>
      <c r="J2754" s="139"/>
      <c r="K2754" s="139"/>
      <c r="L2754" s="243"/>
      <c r="M2754" s="243"/>
      <c r="N2754" s="139"/>
      <c r="O2754" s="139"/>
      <c r="P2754" s="139"/>
      <c r="Q2754" s="147"/>
      <c r="R2754" s="139"/>
      <c r="S2754" s="139"/>
      <c r="T2754" s="139"/>
      <c r="U2754" s="139"/>
      <c r="V2754" s="139"/>
      <c r="W2754" s="139"/>
      <c r="X2754" s="146"/>
      <c r="Y2754" s="148"/>
      <c r="Z2754" s="145"/>
      <c r="AA2754" s="139"/>
      <c r="AB2754" s="149"/>
      <c r="AC2754" s="119"/>
      <c r="AD2754" s="139"/>
      <c r="AE2754" s="139"/>
      <c r="AF2754" s="139"/>
      <c r="AG2754" s="139"/>
      <c r="AH2754" s="139"/>
      <c r="AI2754" s="139"/>
      <c r="AJ2754" s="139"/>
      <c r="AK2754" s="139"/>
      <c r="AL2754" s="139"/>
      <c r="AM2754" s="139"/>
      <c r="AN2754" s="139"/>
      <c r="AO2754" s="139"/>
      <c r="AP2754" s="139"/>
      <c r="AQ2754" s="174"/>
      <c r="AR2754" s="222"/>
    </row>
    <row r="2755" spans="2:44" s="277" customFormat="1" ht="18" customHeight="1" x14ac:dyDescent="0.25">
      <c r="B2755" s="145"/>
      <c r="C2755" s="139"/>
      <c r="D2755" s="146"/>
      <c r="E2755" s="139"/>
      <c r="F2755" s="139"/>
      <c r="G2755" s="139"/>
      <c r="H2755" s="139"/>
      <c r="I2755" s="139"/>
      <c r="J2755" s="139"/>
      <c r="K2755" s="139"/>
      <c r="L2755" s="243"/>
      <c r="M2755" s="243"/>
      <c r="N2755" s="139"/>
      <c r="O2755" s="139"/>
      <c r="P2755" s="139"/>
      <c r="Q2755" s="147"/>
      <c r="R2755" s="139"/>
      <c r="S2755" s="139"/>
      <c r="T2755" s="139"/>
      <c r="U2755" s="139"/>
      <c r="V2755" s="139"/>
      <c r="W2755" s="139"/>
      <c r="X2755" s="146"/>
      <c r="Y2755" s="148"/>
      <c r="Z2755" s="145"/>
      <c r="AA2755" s="139"/>
      <c r="AB2755" s="149"/>
      <c r="AC2755" s="119"/>
      <c r="AD2755" s="139"/>
      <c r="AE2755" s="139"/>
      <c r="AF2755" s="139"/>
      <c r="AG2755" s="139"/>
      <c r="AH2755" s="139"/>
      <c r="AI2755" s="139"/>
      <c r="AJ2755" s="139"/>
      <c r="AK2755" s="139"/>
      <c r="AL2755" s="139"/>
      <c r="AM2755" s="139"/>
      <c r="AN2755" s="139"/>
      <c r="AO2755" s="139"/>
      <c r="AP2755" s="139"/>
      <c r="AQ2755" s="174"/>
      <c r="AR2755" s="222"/>
    </row>
    <row r="2756" spans="2:44" s="277" customFormat="1" ht="18" customHeight="1" x14ac:dyDescent="0.25">
      <c r="B2756" s="145"/>
      <c r="C2756" s="139"/>
      <c r="D2756" s="146"/>
      <c r="E2756" s="139"/>
      <c r="F2756" s="139"/>
      <c r="G2756" s="139"/>
      <c r="H2756" s="139"/>
      <c r="I2756" s="139"/>
      <c r="J2756" s="139"/>
      <c r="K2756" s="139"/>
      <c r="L2756" s="243"/>
      <c r="M2756" s="243"/>
      <c r="N2756" s="139"/>
      <c r="O2756" s="139"/>
      <c r="P2756" s="139"/>
      <c r="Q2756" s="147"/>
      <c r="R2756" s="139"/>
      <c r="S2756" s="139"/>
      <c r="T2756" s="139"/>
      <c r="U2756" s="139"/>
      <c r="V2756" s="139"/>
      <c r="W2756" s="139"/>
      <c r="X2756" s="146"/>
      <c r="Y2756" s="148"/>
      <c r="Z2756" s="145"/>
      <c r="AA2756" s="139"/>
      <c r="AB2756" s="149"/>
      <c r="AC2756" s="119"/>
      <c r="AD2756" s="139"/>
      <c r="AE2756" s="139"/>
      <c r="AF2756" s="139"/>
      <c r="AG2756" s="139"/>
      <c r="AH2756" s="139"/>
      <c r="AI2756" s="139"/>
      <c r="AJ2756" s="139"/>
      <c r="AK2756" s="139"/>
      <c r="AL2756" s="139"/>
      <c r="AM2756" s="139"/>
      <c r="AN2756" s="139"/>
      <c r="AO2756" s="139"/>
      <c r="AP2756" s="139"/>
      <c r="AQ2756" s="174"/>
      <c r="AR2756" s="222"/>
    </row>
    <row r="2781" spans="2:44" s="144" customFormat="1" ht="18" customHeight="1" x14ac:dyDescent="0.25">
      <c r="B2781" s="145"/>
      <c r="C2781" s="139"/>
      <c r="D2781" s="146"/>
      <c r="E2781" s="139"/>
      <c r="F2781" s="139"/>
      <c r="G2781" s="139"/>
      <c r="H2781" s="139"/>
      <c r="I2781" s="139"/>
      <c r="J2781" s="139"/>
      <c r="K2781" s="139"/>
      <c r="L2781" s="243"/>
      <c r="M2781" s="243"/>
      <c r="N2781" s="139"/>
      <c r="O2781" s="139"/>
      <c r="P2781" s="139"/>
      <c r="Q2781" s="147"/>
      <c r="R2781" s="139"/>
      <c r="S2781" s="139"/>
      <c r="T2781" s="139"/>
      <c r="U2781" s="139"/>
      <c r="V2781" s="139"/>
      <c r="W2781" s="139"/>
      <c r="X2781" s="146"/>
      <c r="Y2781" s="148"/>
      <c r="Z2781" s="145"/>
      <c r="AA2781" s="139"/>
      <c r="AB2781" s="149"/>
      <c r="AC2781" s="119"/>
      <c r="AD2781" s="139"/>
      <c r="AE2781" s="139"/>
      <c r="AF2781" s="139"/>
      <c r="AG2781" s="139"/>
      <c r="AH2781" s="139"/>
      <c r="AI2781" s="139"/>
      <c r="AJ2781" s="139"/>
      <c r="AK2781" s="139"/>
      <c r="AL2781" s="139"/>
      <c r="AM2781" s="139"/>
      <c r="AN2781" s="139"/>
      <c r="AO2781" s="139"/>
      <c r="AP2781" s="139"/>
      <c r="AQ2781" s="174"/>
      <c r="AR2781" s="222"/>
    </row>
    <row r="2793" spans="2:44" s="144" customFormat="1" ht="18" customHeight="1" x14ac:dyDescent="0.25">
      <c r="B2793" s="145"/>
      <c r="C2793" s="139"/>
      <c r="D2793" s="146"/>
      <c r="E2793" s="139"/>
      <c r="F2793" s="139"/>
      <c r="G2793" s="139"/>
      <c r="H2793" s="139"/>
      <c r="I2793" s="139"/>
      <c r="J2793" s="139"/>
      <c r="K2793" s="139"/>
      <c r="L2793" s="243"/>
      <c r="M2793" s="243"/>
      <c r="N2793" s="139"/>
      <c r="O2793" s="139"/>
      <c r="P2793" s="139"/>
      <c r="Q2793" s="147"/>
      <c r="R2793" s="139"/>
      <c r="S2793" s="139"/>
      <c r="T2793" s="139"/>
      <c r="U2793" s="139"/>
      <c r="V2793" s="139"/>
      <c r="W2793" s="139"/>
      <c r="X2793" s="146"/>
      <c r="Y2793" s="148"/>
      <c r="Z2793" s="145"/>
      <c r="AA2793" s="139"/>
      <c r="AB2793" s="149"/>
      <c r="AC2793" s="119"/>
      <c r="AD2793" s="139"/>
      <c r="AE2793" s="139"/>
      <c r="AF2793" s="139"/>
      <c r="AG2793" s="139"/>
      <c r="AH2793" s="139"/>
      <c r="AI2793" s="139"/>
      <c r="AJ2793" s="139"/>
      <c r="AK2793" s="139"/>
      <c r="AL2793" s="139"/>
      <c r="AM2793" s="139"/>
      <c r="AN2793" s="139"/>
      <c r="AO2793" s="139"/>
      <c r="AP2793" s="139"/>
      <c r="AQ2793" s="174"/>
      <c r="AR2793" s="222"/>
    </row>
    <row r="2832" spans="2:44" s="277" customFormat="1" ht="18" customHeight="1" x14ac:dyDescent="0.25">
      <c r="B2832" s="145"/>
      <c r="C2832" s="139"/>
      <c r="D2832" s="146"/>
      <c r="E2832" s="139"/>
      <c r="F2832" s="139"/>
      <c r="G2832" s="139"/>
      <c r="H2832" s="139"/>
      <c r="I2832" s="139"/>
      <c r="J2832" s="139"/>
      <c r="K2832" s="139"/>
      <c r="L2832" s="243"/>
      <c r="M2832" s="243"/>
      <c r="N2832" s="139"/>
      <c r="O2832" s="139"/>
      <c r="P2832" s="139"/>
      <c r="Q2832" s="147"/>
      <c r="R2832" s="139"/>
      <c r="S2832" s="139"/>
      <c r="T2832" s="139"/>
      <c r="U2832" s="139"/>
      <c r="V2832" s="139"/>
      <c r="W2832" s="139"/>
      <c r="X2832" s="146"/>
      <c r="Y2832" s="148"/>
      <c r="Z2832" s="145"/>
      <c r="AA2832" s="139"/>
      <c r="AB2832" s="149"/>
      <c r="AC2832" s="119"/>
      <c r="AD2832" s="139"/>
      <c r="AE2832" s="139"/>
      <c r="AF2832" s="139"/>
      <c r="AG2832" s="139"/>
      <c r="AH2832" s="139"/>
      <c r="AI2832" s="139"/>
      <c r="AJ2832" s="139"/>
      <c r="AK2832" s="139"/>
      <c r="AL2832" s="139"/>
      <c r="AM2832" s="139"/>
      <c r="AN2832" s="139"/>
      <c r="AO2832" s="139"/>
      <c r="AP2832" s="139"/>
      <c r="AQ2832" s="174"/>
      <c r="AR2832" s="222"/>
    </row>
    <row r="2835" spans="2:44" s="277" customFormat="1" ht="18" customHeight="1" x14ac:dyDescent="0.25">
      <c r="B2835" s="145"/>
      <c r="C2835" s="139"/>
      <c r="D2835" s="146"/>
      <c r="E2835" s="139"/>
      <c r="F2835" s="139"/>
      <c r="G2835" s="139"/>
      <c r="H2835" s="139"/>
      <c r="I2835" s="139"/>
      <c r="J2835" s="139"/>
      <c r="K2835" s="139"/>
      <c r="L2835" s="243"/>
      <c r="M2835" s="243"/>
      <c r="N2835" s="139"/>
      <c r="O2835" s="139"/>
      <c r="P2835" s="139"/>
      <c r="Q2835" s="147"/>
      <c r="R2835" s="139"/>
      <c r="S2835" s="139"/>
      <c r="T2835" s="139"/>
      <c r="U2835" s="139"/>
      <c r="V2835" s="139"/>
      <c r="W2835" s="139"/>
      <c r="X2835" s="146"/>
      <c r="Y2835" s="148"/>
      <c r="Z2835" s="145"/>
      <c r="AA2835" s="139"/>
      <c r="AB2835" s="149"/>
      <c r="AC2835" s="119"/>
      <c r="AD2835" s="139"/>
      <c r="AE2835" s="139"/>
      <c r="AF2835" s="139"/>
      <c r="AG2835" s="139"/>
      <c r="AH2835" s="139"/>
      <c r="AI2835" s="139"/>
      <c r="AJ2835" s="139"/>
      <c r="AK2835" s="139"/>
      <c r="AL2835" s="139"/>
      <c r="AM2835" s="139"/>
      <c r="AN2835" s="139"/>
      <c r="AO2835" s="139"/>
      <c r="AP2835" s="139"/>
      <c r="AQ2835" s="174"/>
      <c r="AR2835" s="222"/>
    </row>
    <row r="2876" spans="2:44" s="144" customFormat="1" ht="18" customHeight="1" x14ac:dyDescent="0.25">
      <c r="B2876" s="145"/>
      <c r="C2876" s="139"/>
      <c r="D2876" s="146"/>
      <c r="E2876" s="139"/>
      <c r="F2876" s="139"/>
      <c r="G2876" s="139"/>
      <c r="H2876" s="139"/>
      <c r="I2876" s="139"/>
      <c r="J2876" s="139"/>
      <c r="K2876" s="139"/>
      <c r="L2876" s="243"/>
      <c r="M2876" s="243"/>
      <c r="N2876" s="139"/>
      <c r="O2876" s="139"/>
      <c r="P2876" s="139"/>
      <c r="Q2876" s="147"/>
      <c r="R2876" s="139"/>
      <c r="S2876" s="139"/>
      <c r="T2876" s="139"/>
      <c r="U2876" s="139"/>
      <c r="V2876" s="139"/>
      <c r="W2876" s="139"/>
      <c r="X2876" s="146"/>
      <c r="Y2876" s="148"/>
      <c r="Z2876" s="145"/>
      <c r="AA2876" s="139"/>
      <c r="AB2876" s="149"/>
      <c r="AC2876" s="119"/>
      <c r="AD2876" s="139"/>
      <c r="AE2876" s="139"/>
      <c r="AF2876" s="139"/>
      <c r="AG2876" s="139"/>
      <c r="AH2876" s="139"/>
      <c r="AI2876" s="139"/>
      <c r="AJ2876" s="139"/>
      <c r="AK2876" s="139"/>
      <c r="AL2876" s="139"/>
      <c r="AM2876" s="139"/>
      <c r="AN2876" s="139"/>
      <c r="AO2876" s="139"/>
      <c r="AP2876" s="139"/>
      <c r="AQ2876" s="174"/>
      <c r="AR2876" s="222"/>
    </row>
    <row r="2877" spans="2:44" s="144" customFormat="1" ht="18" customHeight="1" x14ac:dyDescent="0.25">
      <c r="B2877" s="145"/>
      <c r="C2877" s="139"/>
      <c r="D2877" s="146"/>
      <c r="E2877" s="139"/>
      <c r="F2877" s="139"/>
      <c r="G2877" s="139"/>
      <c r="H2877" s="139"/>
      <c r="I2877" s="139"/>
      <c r="J2877" s="139"/>
      <c r="K2877" s="139"/>
      <c r="L2877" s="243"/>
      <c r="M2877" s="243"/>
      <c r="N2877" s="139"/>
      <c r="O2877" s="139"/>
      <c r="P2877" s="139"/>
      <c r="Q2877" s="147"/>
      <c r="R2877" s="139"/>
      <c r="S2877" s="139"/>
      <c r="T2877" s="139"/>
      <c r="U2877" s="139"/>
      <c r="V2877" s="139"/>
      <c r="W2877" s="139"/>
      <c r="X2877" s="146"/>
      <c r="Y2877" s="148"/>
      <c r="Z2877" s="145"/>
      <c r="AA2877" s="139"/>
      <c r="AB2877" s="149"/>
      <c r="AC2877" s="119"/>
      <c r="AD2877" s="139"/>
      <c r="AE2877" s="139"/>
      <c r="AF2877" s="139"/>
      <c r="AG2877" s="139"/>
      <c r="AH2877" s="139"/>
      <c r="AI2877" s="139"/>
      <c r="AJ2877" s="139"/>
      <c r="AK2877" s="139"/>
      <c r="AL2877" s="139"/>
      <c r="AM2877" s="139"/>
      <c r="AN2877" s="139"/>
      <c r="AO2877" s="139"/>
      <c r="AP2877" s="139"/>
      <c r="AQ2877" s="174"/>
      <c r="AR2877" s="222"/>
    </row>
    <row r="2880" spans="2:44" s="144" customFormat="1" ht="18" customHeight="1" x14ac:dyDescent="0.25">
      <c r="B2880" s="145"/>
      <c r="C2880" s="139"/>
      <c r="D2880" s="146"/>
      <c r="E2880" s="139"/>
      <c r="F2880" s="139"/>
      <c r="G2880" s="139"/>
      <c r="H2880" s="139"/>
      <c r="I2880" s="139"/>
      <c r="J2880" s="139"/>
      <c r="K2880" s="139"/>
      <c r="L2880" s="243"/>
      <c r="M2880" s="243"/>
      <c r="N2880" s="139"/>
      <c r="O2880" s="139"/>
      <c r="P2880" s="139"/>
      <c r="Q2880" s="147"/>
      <c r="R2880" s="139"/>
      <c r="S2880" s="139"/>
      <c r="T2880" s="139"/>
      <c r="U2880" s="139"/>
      <c r="V2880" s="139"/>
      <c r="W2880" s="139"/>
      <c r="X2880" s="146"/>
      <c r="Y2880" s="148"/>
      <c r="Z2880" s="145"/>
      <c r="AA2880" s="139"/>
      <c r="AB2880" s="149"/>
      <c r="AC2880" s="119"/>
      <c r="AD2880" s="139"/>
      <c r="AE2880" s="139"/>
      <c r="AF2880" s="139"/>
      <c r="AG2880" s="139"/>
      <c r="AH2880" s="139"/>
      <c r="AI2880" s="139"/>
      <c r="AJ2880" s="139"/>
      <c r="AK2880" s="139"/>
      <c r="AL2880" s="139"/>
      <c r="AM2880" s="139"/>
      <c r="AN2880" s="139"/>
      <c r="AO2880" s="139"/>
      <c r="AP2880" s="139"/>
      <c r="AQ2880" s="174"/>
      <c r="AR2880" s="222"/>
    </row>
    <row r="2893" spans="2:44" s="144" customFormat="1" ht="18" customHeight="1" x14ac:dyDescent="0.25">
      <c r="B2893" s="145"/>
      <c r="C2893" s="139"/>
      <c r="D2893" s="146"/>
      <c r="E2893" s="139"/>
      <c r="F2893" s="139"/>
      <c r="G2893" s="139"/>
      <c r="H2893" s="139"/>
      <c r="I2893" s="139"/>
      <c r="J2893" s="139"/>
      <c r="K2893" s="139"/>
      <c r="L2893" s="243"/>
      <c r="M2893" s="243"/>
      <c r="N2893" s="139"/>
      <c r="O2893" s="139"/>
      <c r="P2893" s="139"/>
      <c r="Q2893" s="147"/>
      <c r="R2893" s="139"/>
      <c r="S2893" s="139"/>
      <c r="T2893" s="139"/>
      <c r="U2893" s="139"/>
      <c r="V2893" s="139"/>
      <c r="W2893" s="139"/>
      <c r="X2893" s="146"/>
      <c r="Y2893" s="148"/>
      <c r="Z2893" s="145"/>
      <c r="AA2893" s="139"/>
      <c r="AB2893" s="149"/>
      <c r="AC2893" s="119"/>
      <c r="AD2893" s="139"/>
      <c r="AE2893" s="139"/>
      <c r="AF2893" s="139"/>
      <c r="AG2893" s="139"/>
      <c r="AH2893" s="139"/>
      <c r="AI2893" s="139"/>
      <c r="AJ2893" s="139"/>
      <c r="AK2893" s="139"/>
      <c r="AL2893" s="139"/>
      <c r="AM2893" s="139"/>
      <c r="AN2893" s="139"/>
      <c r="AO2893" s="139"/>
      <c r="AP2893" s="139"/>
      <c r="AQ2893" s="174"/>
      <c r="AR2893" s="222"/>
    </row>
    <row r="2894" spans="2:44" s="144" customFormat="1" ht="18" customHeight="1" x14ac:dyDescent="0.25">
      <c r="B2894" s="145"/>
      <c r="C2894" s="139"/>
      <c r="D2894" s="146"/>
      <c r="E2894" s="139"/>
      <c r="F2894" s="139"/>
      <c r="G2894" s="139"/>
      <c r="H2894" s="139"/>
      <c r="I2894" s="139"/>
      <c r="J2894" s="139"/>
      <c r="K2894" s="139"/>
      <c r="L2894" s="243"/>
      <c r="M2894" s="243"/>
      <c r="N2894" s="139"/>
      <c r="O2894" s="139"/>
      <c r="P2894" s="139"/>
      <c r="Q2894" s="147"/>
      <c r="R2894" s="139"/>
      <c r="S2894" s="139"/>
      <c r="T2894" s="139"/>
      <c r="U2894" s="139"/>
      <c r="V2894" s="139"/>
      <c r="W2894" s="139"/>
      <c r="X2894" s="146"/>
      <c r="Y2894" s="148"/>
      <c r="Z2894" s="145"/>
      <c r="AA2894" s="139"/>
      <c r="AB2894" s="149"/>
      <c r="AC2894" s="119"/>
      <c r="AD2894" s="139"/>
      <c r="AE2894" s="139"/>
      <c r="AF2894" s="139"/>
      <c r="AG2894" s="139"/>
      <c r="AH2894" s="139"/>
      <c r="AI2894" s="139"/>
      <c r="AJ2894" s="139"/>
      <c r="AK2894" s="139"/>
      <c r="AL2894" s="139"/>
      <c r="AM2894" s="139"/>
      <c r="AN2894" s="139"/>
      <c r="AO2894" s="139"/>
      <c r="AP2894" s="139"/>
      <c r="AQ2894" s="174"/>
      <c r="AR2894" s="222"/>
    </row>
    <row r="2895" spans="2:44" s="144" customFormat="1" ht="18" customHeight="1" x14ac:dyDescent="0.25">
      <c r="B2895" s="145"/>
      <c r="C2895" s="139"/>
      <c r="D2895" s="146"/>
      <c r="E2895" s="139"/>
      <c r="F2895" s="139"/>
      <c r="G2895" s="139"/>
      <c r="H2895" s="139"/>
      <c r="I2895" s="139"/>
      <c r="J2895" s="139"/>
      <c r="K2895" s="139"/>
      <c r="L2895" s="243"/>
      <c r="M2895" s="243"/>
      <c r="N2895" s="139"/>
      <c r="O2895" s="139"/>
      <c r="P2895" s="139"/>
      <c r="Q2895" s="147"/>
      <c r="R2895" s="139"/>
      <c r="S2895" s="139"/>
      <c r="T2895" s="139"/>
      <c r="U2895" s="139"/>
      <c r="V2895" s="139"/>
      <c r="W2895" s="139"/>
      <c r="X2895" s="146"/>
      <c r="Y2895" s="148"/>
      <c r="Z2895" s="145"/>
      <c r="AA2895" s="139"/>
      <c r="AB2895" s="149"/>
      <c r="AC2895" s="119"/>
      <c r="AD2895" s="139"/>
      <c r="AE2895" s="139"/>
      <c r="AF2895" s="139"/>
      <c r="AG2895" s="139"/>
      <c r="AH2895" s="139"/>
      <c r="AI2895" s="139"/>
      <c r="AJ2895" s="139"/>
      <c r="AK2895" s="139"/>
      <c r="AL2895" s="139"/>
      <c r="AM2895" s="139"/>
      <c r="AN2895" s="139"/>
      <c r="AO2895" s="139"/>
      <c r="AP2895" s="139"/>
      <c r="AQ2895" s="174"/>
      <c r="AR2895" s="222"/>
    </row>
    <row r="2897" spans="2:44" s="144" customFormat="1" ht="18" customHeight="1" x14ac:dyDescent="0.25">
      <c r="B2897" s="145"/>
      <c r="C2897" s="139"/>
      <c r="D2897" s="146"/>
      <c r="E2897" s="139"/>
      <c r="F2897" s="139"/>
      <c r="G2897" s="139"/>
      <c r="H2897" s="139"/>
      <c r="I2897" s="139"/>
      <c r="J2897" s="139"/>
      <c r="K2897" s="139"/>
      <c r="L2897" s="243"/>
      <c r="M2897" s="243"/>
      <c r="N2897" s="139"/>
      <c r="O2897" s="139"/>
      <c r="P2897" s="139"/>
      <c r="Q2897" s="147"/>
      <c r="R2897" s="139"/>
      <c r="S2897" s="139"/>
      <c r="T2897" s="139"/>
      <c r="U2897" s="139"/>
      <c r="V2897" s="139"/>
      <c r="W2897" s="139"/>
      <c r="X2897" s="146"/>
      <c r="Y2897" s="148"/>
      <c r="Z2897" s="145"/>
      <c r="AA2897" s="139"/>
      <c r="AB2897" s="149"/>
      <c r="AC2897" s="119"/>
      <c r="AD2897" s="139"/>
      <c r="AE2897" s="139"/>
      <c r="AF2897" s="139"/>
      <c r="AG2897" s="139"/>
      <c r="AH2897" s="139"/>
      <c r="AI2897" s="139"/>
      <c r="AJ2897" s="139"/>
      <c r="AK2897" s="139"/>
      <c r="AL2897" s="139"/>
      <c r="AM2897" s="139"/>
      <c r="AN2897" s="139"/>
      <c r="AO2897" s="139"/>
      <c r="AP2897" s="139"/>
      <c r="AQ2897" s="174"/>
      <c r="AR2897" s="222"/>
    </row>
    <row r="2899" spans="2:44" s="144" customFormat="1" ht="18" customHeight="1" x14ac:dyDescent="0.25">
      <c r="B2899" s="145"/>
      <c r="C2899" s="139"/>
      <c r="D2899" s="146"/>
      <c r="E2899" s="139"/>
      <c r="F2899" s="139"/>
      <c r="G2899" s="139"/>
      <c r="H2899" s="139"/>
      <c r="I2899" s="139"/>
      <c r="J2899" s="139"/>
      <c r="K2899" s="139"/>
      <c r="L2899" s="243"/>
      <c r="M2899" s="243"/>
      <c r="N2899" s="139"/>
      <c r="O2899" s="139"/>
      <c r="P2899" s="139"/>
      <c r="Q2899" s="147"/>
      <c r="R2899" s="139"/>
      <c r="S2899" s="139"/>
      <c r="T2899" s="139"/>
      <c r="U2899" s="139"/>
      <c r="V2899" s="139"/>
      <c r="W2899" s="139"/>
      <c r="X2899" s="146"/>
      <c r="Y2899" s="148"/>
      <c r="Z2899" s="145"/>
      <c r="AA2899" s="139"/>
      <c r="AB2899" s="149"/>
      <c r="AC2899" s="119"/>
      <c r="AD2899" s="139"/>
      <c r="AE2899" s="139"/>
      <c r="AF2899" s="139"/>
      <c r="AG2899" s="139"/>
      <c r="AH2899" s="139"/>
      <c r="AI2899" s="139"/>
      <c r="AJ2899" s="139"/>
      <c r="AK2899" s="139"/>
      <c r="AL2899" s="139"/>
      <c r="AM2899" s="139"/>
      <c r="AN2899" s="139"/>
      <c r="AO2899" s="139"/>
      <c r="AP2899" s="139"/>
      <c r="AQ2899" s="174"/>
      <c r="AR2899" s="222"/>
    </row>
    <row r="2901" spans="2:44" s="144" customFormat="1" ht="18" customHeight="1" x14ac:dyDescent="0.25">
      <c r="B2901" s="145"/>
      <c r="C2901" s="139"/>
      <c r="D2901" s="146"/>
      <c r="E2901" s="139"/>
      <c r="F2901" s="139"/>
      <c r="G2901" s="139"/>
      <c r="H2901" s="139"/>
      <c r="I2901" s="139"/>
      <c r="J2901" s="139"/>
      <c r="K2901" s="139"/>
      <c r="L2901" s="243"/>
      <c r="M2901" s="243"/>
      <c r="N2901" s="139"/>
      <c r="O2901" s="139"/>
      <c r="P2901" s="139"/>
      <c r="Q2901" s="147"/>
      <c r="R2901" s="139"/>
      <c r="S2901" s="139"/>
      <c r="T2901" s="139"/>
      <c r="U2901" s="139"/>
      <c r="V2901" s="139"/>
      <c r="W2901" s="139"/>
      <c r="X2901" s="146"/>
      <c r="Y2901" s="148"/>
      <c r="Z2901" s="145"/>
      <c r="AA2901" s="139"/>
      <c r="AB2901" s="149"/>
      <c r="AC2901" s="119"/>
      <c r="AD2901" s="139"/>
      <c r="AE2901" s="139"/>
      <c r="AF2901" s="139"/>
      <c r="AG2901" s="139"/>
      <c r="AH2901" s="139"/>
      <c r="AI2901" s="139"/>
      <c r="AJ2901" s="139"/>
      <c r="AK2901" s="139"/>
      <c r="AL2901" s="139"/>
      <c r="AM2901" s="139"/>
      <c r="AN2901" s="139"/>
      <c r="AO2901" s="139"/>
      <c r="AP2901" s="139"/>
      <c r="AQ2901" s="174"/>
      <c r="AR2901" s="222"/>
    </row>
    <row r="2932" spans="2:44" s="310" customFormat="1" ht="18" customHeight="1" x14ac:dyDescent="0.25">
      <c r="B2932" s="145"/>
      <c r="C2932" s="139"/>
      <c r="D2932" s="146"/>
      <c r="E2932" s="139"/>
      <c r="F2932" s="139"/>
      <c r="G2932" s="139"/>
      <c r="H2932" s="139"/>
      <c r="I2932" s="139"/>
      <c r="J2932" s="139"/>
      <c r="K2932" s="139"/>
      <c r="L2932" s="243"/>
      <c r="M2932" s="243"/>
      <c r="N2932" s="139"/>
      <c r="O2932" s="139"/>
      <c r="P2932" s="139"/>
      <c r="Q2932" s="147"/>
      <c r="R2932" s="139"/>
      <c r="S2932" s="139"/>
      <c r="T2932" s="139"/>
      <c r="U2932" s="139"/>
      <c r="V2932" s="139"/>
      <c r="W2932" s="139"/>
      <c r="X2932" s="146"/>
      <c r="Y2932" s="148"/>
      <c r="Z2932" s="145"/>
      <c r="AA2932" s="139"/>
      <c r="AB2932" s="149"/>
      <c r="AC2932" s="119"/>
      <c r="AD2932" s="139"/>
      <c r="AE2932" s="139"/>
      <c r="AF2932" s="139"/>
      <c r="AG2932" s="139"/>
      <c r="AH2932" s="139"/>
      <c r="AI2932" s="139"/>
      <c r="AJ2932" s="139"/>
      <c r="AK2932" s="139"/>
      <c r="AL2932" s="139"/>
      <c r="AM2932" s="139"/>
      <c r="AN2932" s="139"/>
      <c r="AO2932" s="139"/>
      <c r="AP2932" s="139"/>
      <c r="AQ2932" s="174"/>
      <c r="AR2932" s="222"/>
    </row>
    <row r="2936" spans="2:44" s="144" customFormat="1" ht="18" customHeight="1" x14ac:dyDescent="0.25">
      <c r="B2936" s="145"/>
      <c r="C2936" s="139"/>
      <c r="D2936" s="146"/>
      <c r="E2936" s="139"/>
      <c r="F2936" s="139"/>
      <c r="G2936" s="139"/>
      <c r="H2936" s="139"/>
      <c r="I2936" s="139"/>
      <c r="J2936" s="139"/>
      <c r="K2936" s="139"/>
      <c r="L2936" s="243"/>
      <c r="M2936" s="243"/>
      <c r="N2936" s="139"/>
      <c r="O2936" s="139"/>
      <c r="P2936" s="139"/>
      <c r="Q2936" s="147"/>
      <c r="R2936" s="139"/>
      <c r="S2936" s="139"/>
      <c r="T2936" s="139"/>
      <c r="U2936" s="139"/>
      <c r="V2936" s="139"/>
      <c r="W2936" s="139"/>
      <c r="X2936" s="146"/>
      <c r="Y2936" s="148"/>
      <c r="Z2936" s="145"/>
      <c r="AA2936" s="139"/>
      <c r="AB2936" s="149"/>
      <c r="AC2936" s="119"/>
      <c r="AD2936" s="139"/>
      <c r="AE2936" s="139"/>
      <c r="AF2936" s="139"/>
      <c r="AG2936" s="139"/>
      <c r="AH2936" s="139"/>
      <c r="AI2936" s="139"/>
      <c r="AJ2936" s="139"/>
      <c r="AK2936" s="139"/>
      <c r="AL2936" s="139"/>
      <c r="AM2936" s="139"/>
      <c r="AN2936" s="139"/>
      <c r="AO2936" s="139"/>
      <c r="AP2936" s="139"/>
      <c r="AQ2936" s="174"/>
      <c r="AR2936" s="222"/>
    </row>
    <row r="2940" spans="2:44" s="277" customFormat="1" ht="18" customHeight="1" x14ac:dyDescent="0.25">
      <c r="B2940" s="145"/>
      <c r="C2940" s="139"/>
      <c r="D2940" s="146"/>
      <c r="E2940" s="139"/>
      <c r="F2940" s="139"/>
      <c r="G2940" s="139"/>
      <c r="H2940" s="139"/>
      <c r="I2940" s="139"/>
      <c r="J2940" s="139"/>
      <c r="K2940" s="139"/>
      <c r="L2940" s="243"/>
      <c r="M2940" s="243"/>
      <c r="N2940" s="139"/>
      <c r="O2940" s="139"/>
      <c r="P2940" s="139"/>
      <c r="Q2940" s="147"/>
      <c r="R2940" s="139"/>
      <c r="S2940" s="139"/>
      <c r="T2940" s="139"/>
      <c r="U2940" s="139"/>
      <c r="V2940" s="139"/>
      <c r="W2940" s="139"/>
      <c r="X2940" s="146"/>
      <c r="Y2940" s="148"/>
      <c r="Z2940" s="145"/>
      <c r="AA2940" s="139"/>
      <c r="AB2940" s="149"/>
      <c r="AC2940" s="119"/>
      <c r="AD2940" s="139"/>
      <c r="AE2940" s="139"/>
      <c r="AF2940" s="139"/>
      <c r="AG2940" s="139"/>
      <c r="AH2940" s="139"/>
      <c r="AI2940" s="139"/>
      <c r="AJ2940" s="139"/>
      <c r="AK2940" s="139"/>
      <c r="AL2940" s="139"/>
      <c r="AM2940" s="139"/>
      <c r="AN2940" s="139"/>
      <c r="AO2940" s="139"/>
      <c r="AP2940" s="139"/>
      <c r="AQ2940" s="174"/>
      <c r="AR2940" s="222"/>
    </row>
    <row r="2949" spans="2:44" s="144" customFormat="1" ht="18" customHeight="1" x14ac:dyDescent="0.25">
      <c r="B2949" s="145"/>
      <c r="C2949" s="139"/>
      <c r="D2949" s="146"/>
      <c r="E2949" s="139"/>
      <c r="F2949" s="139"/>
      <c r="G2949" s="139"/>
      <c r="H2949" s="139"/>
      <c r="I2949" s="139"/>
      <c r="J2949" s="139"/>
      <c r="K2949" s="139"/>
      <c r="L2949" s="243"/>
      <c r="M2949" s="243"/>
      <c r="N2949" s="139"/>
      <c r="O2949" s="139"/>
      <c r="P2949" s="139"/>
      <c r="Q2949" s="147"/>
      <c r="R2949" s="139"/>
      <c r="S2949" s="139"/>
      <c r="T2949" s="139"/>
      <c r="U2949" s="139"/>
      <c r="V2949" s="139"/>
      <c r="W2949" s="139"/>
      <c r="X2949" s="146"/>
      <c r="Y2949" s="148"/>
      <c r="Z2949" s="145"/>
      <c r="AA2949" s="139"/>
      <c r="AB2949" s="149"/>
      <c r="AC2949" s="119"/>
      <c r="AD2949" s="139"/>
      <c r="AE2949" s="139"/>
      <c r="AF2949" s="139"/>
      <c r="AG2949" s="139"/>
      <c r="AH2949" s="139"/>
      <c r="AI2949" s="139"/>
      <c r="AJ2949" s="139"/>
      <c r="AK2949" s="139"/>
      <c r="AL2949" s="139"/>
      <c r="AM2949" s="139"/>
      <c r="AN2949" s="139"/>
      <c r="AO2949" s="139"/>
      <c r="AP2949" s="139"/>
      <c r="AQ2949" s="174"/>
      <c r="AR2949" s="222"/>
    </row>
    <row r="2950" spans="2:44" s="144" customFormat="1" ht="18" customHeight="1" x14ac:dyDescent="0.25">
      <c r="B2950" s="145"/>
      <c r="C2950" s="139"/>
      <c r="D2950" s="146"/>
      <c r="E2950" s="139"/>
      <c r="F2950" s="139"/>
      <c r="G2950" s="139"/>
      <c r="H2950" s="139"/>
      <c r="I2950" s="139"/>
      <c r="J2950" s="139"/>
      <c r="K2950" s="139"/>
      <c r="L2950" s="243"/>
      <c r="M2950" s="243"/>
      <c r="N2950" s="139"/>
      <c r="O2950" s="139"/>
      <c r="P2950" s="139"/>
      <c r="Q2950" s="147"/>
      <c r="R2950" s="139"/>
      <c r="S2950" s="139"/>
      <c r="T2950" s="139"/>
      <c r="U2950" s="139"/>
      <c r="V2950" s="139"/>
      <c r="W2950" s="139"/>
      <c r="X2950" s="146"/>
      <c r="Y2950" s="148"/>
      <c r="Z2950" s="145"/>
      <c r="AA2950" s="139"/>
      <c r="AB2950" s="149"/>
      <c r="AC2950" s="119"/>
      <c r="AD2950" s="139"/>
      <c r="AE2950" s="139"/>
      <c r="AF2950" s="139"/>
      <c r="AG2950" s="139"/>
      <c r="AH2950" s="139"/>
      <c r="AI2950" s="139"/>
      <c r="AJ2950" s="139"/>
      <c r="AK2950" s="139"/>
      <c r="AL2950" s="139"/>
      <c r="AM2950" s="139"/>
      <c r="AN2950" s="139"/>
      <c r="AO2950" s="139"/>
      <c r="AP2950" s="139"/>
      <c r="AQ2950" s="174"/>
      <c r="AR2950" s="222"/>
    </row>
    <row r="2951" spans="2:44" s="144" customFormat="1" ht="18" customHeight="1" x14ac:dyDescent="0.25">
      <c r="B2951" s="145"/>
      <c r="C2951" s="139"/>
      <c r="D2951" s="146"/>
      <c r="E2951" s="139"/>
      <c r="F2951" s="139"/>
      <c r="G2951" s="139"/>
      <c r="H2951" s="139"/>
      <c r="I2951" s="139"/>
      <c r="J2951" s="139"/>
      <c r="K2951" s="139"/>
      <c r="L2951" s="243"/>
      <c r="M2951" s="243"/>
      <c r="N2951" s="139"/>
      <c r="O2951" s="139"/>
      <c r="P2951" s="139"/>
      <c r="Q2951" s="147"/>
      <c r="R2951" s="139"/>
      <c r="S2951" s="139"/>
      <c r="T2951" s="139"/>
      <c r="U2951" s="139"/>
      <c r="V2951" s="139"/>
      <c r="W2951" s="139"/>
      <c r="X2951" s="146"/>
      <c r="Y2951" s="148"/>
      <c r="Z2951" s="145"/>
      <c r="AA2951" s="139"/>
      <c r="AB2951" s="149"/>
      <c r="AC2951" s="119"/>
      <c r="AD2951" s="139"/>
      <c r="AE2951" s="139"/>
      <c r="AF2951" s="139"/>
      <c r="AG2951" s="139"/>
      <c r="AH2951" s="139"/>
      <c r="AI2951" s="139"/>
      <c r="AJ2951" s="139"/>
      <c r="AK2951" s="139"/>
      <c r="AL2951" s="139"/>
      <c r="AM2951" s="139"/>
      <c r="AN2951" s="139"/>
      <c r="AO2951" s="139"/>
      <c r="AP2951" s="139"/>
      <c r="AQ2951" s="174"/>
      <c r="AR2951" s="222"/>
    </row>
    <row r="2952" spans="2:44" s="144" customFormat="1" ht="18" customHeight="1" x14ac:dyDescent="0.25">
      <c r="B2952" s="145"/>
      <c r="C2952" s="139"/>
      <c r="D2952" s="146"/>
      <c r="E2952" s="139"/>
      <c r="F2952" s="139"/>
      <c r="G2952" s="139"/>
      <c r="H2952" s="139"/>
      <c r="I2952" s="139"/>
      <c r="J2952" s="139"/>
      <c r="K2952" s="139"/>
      <c r="L2952" s="243"/>
      <c r="M2952" s="243"/>
      <c r="N2952" s="139"/>
      <c r="O2952" s="139"/>
      <c r="P2952" s="139"/>
      <c r="Q2952" s="147"/>
      <c r="R2952" s="139"/>
      <c r="S2952" s="139"/>
      <c r="T2952" s="139"/>
      <c r="U2952" s="139"/>
      <c r="V2952" s="139"/>
      <c r="W2952" s="139"/>
      <c r="X2952" s="146"/>
      <c r="Y2952" s="148"/>
      <c r="Z2952" s="145"/>
      <c r="AA2952" s="139"/>
      <c r="AB2952" s="149"/>
      <c r="AC2952" s="119"/>
      <c r="AD2952" s="139"/>
      <c r="AE2952" s="139"/>
      <c r="AF2952" s="139"/>
      <c r="AG2952" s="139"/>
      <c r="AH2952" s="139"/>
      <c r="AI2952" s="139"/>
      <c r="AJ2952" s="139"/>
      <c r="AK2952" s="139"/>
      <c r="AL2952" s="139"/>
      <c r="AM2952" s="139"/>
      <c r="AN2952" s="139"/>
      <c r="AO2952" s="139"/>
      <c r="AP2952" s="139"/>
      <c r="AQ2952" s="174"/>
      <c r="AR2952" s="222"/>
    </row>
    <row r="2956" spans="2:44" s="277" customFormat="1" ht="18" customHeight="1" x14ac:dyDescent="0.25">
      <c r="B2956" s="145"/>
      <c r="C2956" s="139"/>
      <c r="D2956" s="146"/>
      <c r="E2956" s="139"/>
      <c r="F2956" s="139"/>
      <c r="G2956" s="139"/>
      <c r="H2956" s="139"/>
      <c r="I2956" s="139"/>
      <c r="J2956" s="139"/>
      <c r="K2956" s="139"/>
      <c r="L2956" s="243"/>
      <c r="M2956" s="243"/>
      <c r="N2956" s="139"/>
      <c r="O2956" s="139"/>
      <c r="P2956" s="139"/>
      <c r="Q2956" s="147"/>
      <c r="R2956" s="139"/>
      <c r="S2956" s="139"/>
      <c r="T2956" s="139"/>
      <c r="U2956" s="139"/>
      <c r="V2956" s="139"/>
      <c r="W2956" s="139"/>
      <c r="X2956" s="146"/>
      <c r="Y2956" s="148"/>
      <c r="Z2956" s="145"/>
      <c r="AA2956" s="139"/>
      <c r="AB2956" s="149"/>
      <c r="AC2956" s="119"/>
      <c r="AD2956" s="139"/>
      <c r="AE2956" s="139"/>
      <c r="AF2956" s="139"/>
      <c r="AG2956" s="139"/>
      <c r="AH2956" s="139"/>
      <c r="AI2956" s="139"/>
      <c r="AJ2956" s="139"/>
      <c r="AK2956" s="139"/>
      <c r="AL2956" s="139"/>
      <c r="AM2956" s="139"/>
      <c r="AN2956" s="139"/>
      <c r="AO2956" s="139"/>
      <c r="AP2956" s="139"/>
      <c r="AQ2956" s="174"/>
      <c r="AR2956" s="222"/>
    </row>
    <row r="2959" spans="2:44" s="144" customFormat="1" ht="18" customHeight="1" x14ac:dyDescent="0.25">
      <c r="B2959" s="145"/>
      <c r="C2959" s="139"/>
      <c r="D2959" s="146"/>
      <c r="E2959" s="139"/>
      <c r="F2959" s="139"/>
      <c r="G2959" s="139"/>
      <c r="H2959" s="139"/>
      <c r="I2959" s="139"/>
      <c r="J2959" s="139"/>
      <c r="K2959" s="139"/>
      <c r="L2959" s="243"/>
      <c r="M2959" s="243"/>
      <c r="N2959" s="139"/>
      <c r="O2959" s="139"/>
      <c r="P2959" s="139"/>
      <c r="Q2959" s="147"/>
      <c r="R2959" s="139"/>
      <c r="S2959" s="139"/>
      <c r="T2959" s="139"/>
      <c r="U2959" s="139"/>
      <c r="V2959" s="139"/>
      <c r="W2959" s="139"/>
      <c r="X2959" s="146"/>
      <c r="Y2959" s="148"/>
      <c r="Z2959" s="145"/>
      <c r="AA2959" s="139"/>
      <c r="AB2959" s="149"/>
      <c r="AC2959" s="119"/>
      <c r="AD2959" s="139"/>
      <c r="AE2959" s="139"/>
      <c r="AF2959" s="139"/>
      <c r="AG2959" s="139"/>
      <c r="AH2959" s="139"/>
      <c r="AI2959" s="139"/>
      <c r="AJ2959" s="139"/>
      <c r="AK2959" s="139"/>
      <c r="AL2959" s="139"/>
      <c r="AM2959" s="139"/>
      <c r="AN2959" s="139"/>
      <c r="AO2959" s="139"/>
      <c r="AP2959" s="139"/>
      <c r="AQ2959" s="174"/>
      <c r="AR2959" s="222"/>
    </row>
    <row r="2960" spans="2:44" s="144" customFormat="1" ht="18" customHeight="1" x14ac:dyDescent="0.25">
      <c r="B2960" s="145"/>
      <c r="C2960" s="139"/>
      <c r="D2960" s="146"/>
      <c r="E2960" s="139"/>
      <c r="F2960" s="139"/>
      <c r="G2960" s="139"/>
      <c r="H2960" s="139"/>
      <c r="I2960" s="139"/>
      <c r="J2960" s="139"/>
      <c r="K2960" s="139"/>
      <c r="L2960" s="243"/>
      <c r="M2960" s="243"/>
      <c r="N2960" s="139"/>
      <c r="O2960" s="139"/>
      <c r="P2960" s="139"/>
      <c r="Q2960" s="147"/>
      <c r="R2960" s="139"/>
      <c r="S2960" s="139"/>
      <c r="T2960" s="139"/>
      <c r="U2960" s="139"/>
      <c r="V2960" s="139"/>
      <c r="W2960" s="139"/>
      <c r="X2960" s="146"/>
      <c r="Y2960" s="148"/>
      <c r="Z2960" s="145"/>
      <c r="AA2960" s="139"/>
      <c r="AB2960" s="149"/>
      <c r="AC2960" s="119"/>
      <c r="AD2960" s="139"/>
      <c r="AE2960" s="139"/>
      <c r="AF2960" s="139"/>
      <c r="AG2960" s="139"/>
      <c r="AH2960" s="139"/>
      <c r="AI2960" s="139"/>
      <c r="AJ2960" s="139"/>
      <c r="AK2960" s="139"/>
      <c r="AL2960" s="139"/>
      <c r="AM2960" s="139"/>
      <c r="AN2960" s="139"/>
      <c r="AO2960" s="139"/>
      <c r="AP2960" s="139"/>
      <c r="AQ2960" s="174"/>
      <c r="AR2960" s="222"/>
    </row>
    <row r="2984" spans="2:44" s="277" customFormat="1" ht="18" customHeight="1" x14ac:dyDescent="0.25">
      <c r="B2984" s="145"/>
      <c r="C2984" s="139"/>
      <c r="D2984" s="146"/>
      <c r="E2984" s="139"/>
      <c r="F2984" s="139"/>
      <c r="G2984" s="139"/>
      <c r="H2984" s="139"/>
      <c r="I2984" s="139"/>
      <c r="J2984" s="139"/>
      <c r="K2984" s="139"/>
      <c r="L2984" s="243"/>
      <c r="M2984" s="243"/>
      <c r="N2984" s="139"/>
      <c r="O2984" s="139"/>
      <c r="P2984" s="139"/>
      <c r="Q2984" s="147"/>
      <c r="R2984" s="139"/>
      <c r="S2984" s="139"/>
      <c r="T2984" s="139"/>
      <c r="U2984" s="139"/>
      <c r="V2984" s="139"/>
      <c r="W2984" s="139"/>
      <c r="X2984" s="146"/>
      <c r="Y2984" s="148"/>
      <c r="Z2984" s="145"/>
      <c r="AA2984" s="139"/>
      <c r="AB2984" s="149"/>
      <c r="AC2984" s="119"/>
      <c r="AD2984" s="139"/>
      <c r="AE2984" s="139"/>
      <c r="AF2984" s="139"/>
      <c r="AG2984" s="139"/>
      <c r="AH2984" s="139"/>
      <c r="AI2984" s="139"/>
      <c r="AJ2984" s="139"/>
      <c r="AK2984" s="139"/>
      <c r="AL2984" s="139"/>
      <c r="AM2984" s="139"/>
      <c r="AN2984" s="139"/>
      <c r="AO2984" s="139"/>
      <c r="AP2984" s="139"/>
      <c r="AQ2984" s="174"/>
      <c r="AR2984" s="222"/>
    </row>
    <row r="2989" spans="2:44" s="144" customFormat="1" ht="18" customHeight="1" x14ac:dyDescent="0.25">
      <c r="B2989" s="145"/>
      <c r="C2989" s="139"/>
      <c r="D2989" s="146"/>
      <c r="E2989" s="139"/>
      <c r="F2989" s="139"/>
      <c r="G2989" s="139"/>
      <c r="H2989" s="139"/>
      <c r="I2989" s="139"/>
      <c r="J2989" s="139"/>
      <c r="K2989" s="139"/>
      <c r="L2989" s="243"/>
      <c r="M2989" s="243"/>
      <c r="N2989" s="139"/>
      <c r="O2989" s="139"/>
      <c r="P2989" s="139"/>
      <c r="Q2989" s="147"/>
      <c r="R2989" s="139"/>
      <c r="S2989" s="139"/>
      <c r="T2989" s="139"/>
      <c r="U2989" s="139"/>
      <c r="V2989" s="139"/>
      <c r="W2989" s="139"/>
      <c r="X2989" s="146"/>
      <c r="Y2989" s="148"/>
      <c r="Z2989" s="145"/>
      <c r="AA2989" s="139"/>
      <c r="AB2989" s="149"/>
      <c r="AC2989" s="119"/>
      <c r="AD2989" s="139"/>
      <c r="AE2989" s="139"/>
      <c r="AF2989" s="139"/>
      <c r="AG2989" s="139"/>
      <c r="AH2989" s="139"/>
      <c r="AI2989" s="139"/>
      <c r="AJ2989" s="139"/>
      <c r="AK2989" s="139"/>
      <c r="AL2989" s="139"/>
      <c r="AM2989" s="139"/>
      <c r="AN2989" s="139"/>
      <c r="AO2989" s="139"/>
      <c r="AP2989" s="139"/>
      <c r="AQ2989" s="174"/>
      <c r="AR2989" s="222"/>
    </row>
    <row r="2994" spans="2:44" s="144" customFormat="1" ht="18" customHeight="1" x14ac:dyDescent="0.25">
      <c r="B2994" s="145"/>
      <c r="C2994" s="139"/>
      <c r="D2994" s="146"/>
      <c r="E2994" s="139"/>
      <c r="F2994" s="139"/>
      <c r="G2994" s="139"/>
      <c r="H2994" s="139"/>
      <c r="I2994" s="139"/>
      <c r="J2994" s="139"/>
      <c r="K2994" s="139"/>
      <c r="L2994" s="243"/>
      <c r="M2994" s="243"/>
      <c r="N2994" s="139"/>
      <c r="O2994" s="139"/>
      <c r="P2994" s="139"/>
      <c r="Q2994" s="147"/>
      <c r="R2994" s="139"/>
      <c r="S2994" s="139"/>
      <c r="T2994" s="139"/>
      <c r="U2994" s="139"/>
      <c r="V2994" s="139"/>
      <c r="W2994" s="139"/>
      <c r="X2994" s="146"/>
      <c r="Y2994" s="148"/>
      <c r="Z2994" s="145"/>
      <c r="AA2994" s="139"/>
      <c r="AB2994" s="149"/>
      <c r="AC2994" s="119"/>
      <c r="AD2994" s="139"/>
      <c r="AE2994" s="139"/>
      <c r="AF2994" s="139"/>
      <c r="AG2994" s="139"/>
      <c r="AH2994" s="139"/>
      <c r="AI2994" s="139"/>
      <c r="AJ2994" s="139"/>
      <c r="AK2994" s="139"/>
      <c r="AL2994" s="139"/>
      <c r="AM2994" s="139"/>
      <c r="AN2994" s="139"/>
      <c r="AO2994" s="139"/>
      <c r="AP2994" s="139"/>
      <c r="AQ2994" s="174"/>
      <c r="AR2994" s="222"/>
    </row>
    <row r="2995" spans="2:44" s="144" customFormat="1" ht="18" customHeight="1" x14ac:dyDescent="0.25">
      <c r="B2995" s="145"/>
      <c r="C2995" s="139"/>
      <c r="D2995" s="146"/>
      <c r="E2995" s="139"/>
      <c r="F2995" s="139"/>
      <c r="G2995" s="139"/>
      <c r="H2995" s="139"/>
      <c r="I2995" s="139"/>
      <c r="J2995" s="139"/>
      <c r="K2995" s="139"/>
      <c r="L2995" s="243"/>
      <c r="M2995" s="243"/>
      <c r="N2995" s="139"/>
      <c r="O2995" s="139"/>
      <c r="P2995" s="139"/>
      <c r="Q2995" s="147"/>
      <c r="R2995" s="139"/>
      <c r="S2995" s="139"/>
      <c r="T2995" s="139"/>
      <c r="U2995" s="139"/>
      <c r="V2995" s="139"/>
      <c r="W2995" s="139"/>
      <c r="X2995" s="146"/>
      <c r="Y2995" s="148"/>
      <c r="Z2995" s="145"/>
      <c r="AA2995" s="139"/>
      <c r="AB2995" s="149"/>
      <c r="AC2995" s="119"/>
      <c r="AD2995" s="139"/>
      <c r="AE2995" s="139"/>
      <c r="AF2995" s="139"/>
      <c r="AG2995" s="139"/>
      <c r="AH2995" s="139"/>
      <c r="AI2995" s="139"/>
      <c r="AJ2995" s="139"/>
      <c r="AK2995" s="139"/>
      <c r="AL2995" s="139"/>
      <c r="AM2995" s="139"/>
      <c r="AN2995" s="139"/>
      <c r="AO2995" s="139"/>
      <c r="AP2995" s="139"/>
      <c r="AQ2995" s="174"/>
      <c r="AR2995" s="222"/>
    </row>
    <row r="2996" spans="2:44" s="144" customFormat="1" ht="18" customHeight="1" x14ac:dyDescent="0.25">
      <c r="B2996" s="145"/>
      <c r="C2996" s="139"/>
      <c r="D2996" s="146"/>
      <c r="E2996" s="139"/>
      <c r="F2996" s="139"/>
      <c r="G2996" s="139"/>
      <c r="H2996" s="139"/>
      <c r="I2996" s="139"/>
      <c r="J2996" s="139"/>
      <c r="K2996" s="139"/>
      <c r="L2996" s="243"/>
      <c r="M2996" s="243"/>
      <c r="N2996" s="139"/>
      <c r="O2996" s="139"/>
      <c r="P2996" s="139"/>
      <c r="Q2996" s="147"/>
      <c r="R2996" s="139"/>
      <c r="S2996" s="139"/>
      <c r="T2996" s="139"/>
      <c r="U2996" s="139"/>
      <c r="V2996" s="139"/>
      <c r="W2996" s="139"/>
      <c r="X2996" s="146"/>
      <c r="Y2996" s="148"/>
      <c r="Z2996" s="145"/>
      <c r="AA2996" s="139"/>
      <c r="AB2996" s="149"/>
      <c r="AC2996" s="119"/>
      <c r="AD2996" s="139"/>
      <c r="AE2996" s="139"/>
      <c r="AF2996" s="139"/>
      <c r="AG2996" s="139"/>
      <c r="AH2996" s="139"/>
      <c r="AI2996" s="139"/>
      <c r="AJ2996" s="139"/>
      <c r="AK2996" s="139"/>
      <c r="AL2996" s="139"/>
      <c r="AM2996" s="139"/>
      <c r="AN2996" s="139"/>
      <c r="AO2996" s="139"/>
      <c r="AP2996" s="139"/>
      <c r="AQ2996" s="174"/>
      <c r="AR2996" s="222"/>
    </row>
    <row r="2997" spans="2:44" s="144" customFormat="1" ht="18" customHeight="1" x14ac:dyDescent="0.25">
      <c r="B2997" s="145"/>
      <c r="C2997" s="139"/>
      <c r="D2997" s="146"/>
      <c r="E2997" s="139"/>
      <c r="F2997" s="139"/>
      <c r="G2997" s="139"/>
      <c r="H2997" s="139"/>
      <c r="I2997" s="139"/>
      <c r="J2997" s="139"/>
      <c r="K2997" s="139"/>
      <c r="L2997" s="243"/>
      <c r="M2997" s="243"/>
      <c r="N2997" s="139"/>
      <c r="O2997" s="139"/>
      <c r="P2997" s="139"/>
      <c r="Q2997" s="147"/>
      <c r="R2997" s="139"/>
      <c r="S2997" s="139"/>
      <c r="T2997" s="139"/>
      <c r="U2997" s="139"/>
      <c r="V2997" s="139"/>
      <c r="W2997" s="139"/>
      <c r="X2997" s="146"/>
      <c r="Y2997" s="148"/>
      <c r="Z2997" s="145"/>
      <c r="AA2997" s="139"/>
      <c r="AB2997" s="149"/>
      <c r="AC2997" s="119"/>
      <c r="AD2997" s="139"/>
      <c r="AE2997" s="139"/>
      <c r="AF2997" s="139"/>
      <c r="AG2997" s="139"/>
      <c r="AH2997" s="139"/>
      <c r="AI2997" s="139"/>
      <c r="AJ2997" s="139"/>
      <c r="AK2997" s="139"/>
      <c r="AL2997" s="139"/>
      <c r="AM2997" s="139"/>
      <c r="AN2997" s="139"/>
      <c r="AO2997" s="139"/>
      <c r="AP2997" s="139"/>
      <c r="AQ2997" s="174"/>
      <c r="AR2997" s="222"/>
    </row>
    <row r="2998" spans="2:44" s="144" customFormat="1" ht="18" customHeight="1" x14ac:dyDescent="0.25">
      <c r="B2998" s="145"/>
      <c r="C2998" s="139"/>
      <c r="D2998" s="146"/>
      <c r="E2998" s="139"/>
      <c r="F2998" s="139"/>
      <c r="G2998" s="139"/>
      <c r="H2998" s="139"/>
      <c r="I2998" s="139"/>
      <c r="J2998" s="139"/>
      <c r="K2998" s="139"/>
      <c r="L2998" s="243"/>
      <c r="M2998" s="243"/>
      <c r="N2998" s="139"/>
      <c r="O2998" s="139"/>
      <c r="P2998" s="139"/>
      <c r="Q2998" s="147"/>
      <c r="R2998" s="139"/>
      <c r="S2998" s="139"/>
      <c r="T2998" s="139"/>
      <c r="U2998" s="139"/>
      <c r="V2998" s="139"/>
      <c r="W2998" s="139"/>
      <c r="X2998" s="146"/>
      <c r="Y2998" s="148"/>
      <c r="Z2998" s="145"/>
      <c r="AA2998" s="139"/>
      <c r="AB2998" s="149"/>
      <c r="AC2998" s="119"/>
      <c r="AD2998" s="139"/>
      <c r="AE2998" s="139"/>
      <c r="AF2998" s="139"/>
      <c r="AG2998" s="139"/>
      <c r="AH2998" s="139"/>
      <c r="AI2998" s="139"/>
      <c r="AJ2998" s="139"/>
      <c r="AK2998" s="139"/>
      <c r="AL2998" s="139"/>
      <c r="AM2998" s="139"/>
      <c r="AN2998" s="139"/>
      <c r="AO2998" s="139"/>
      <c r="AP2998" s="139"/>
      <c r="AQ2998" s="174"/>
      <c r="AR2998" s="222"/>
    </row>
    <row r="2999" spans="2:44" s="144" customFormat="1" ht="18" customHeight="1" x14ac:dyDescent="0.25">
      <c r="B2999" s="145"/>
      <c r="C2999" s="139"/>
      <c r="D2999" s="146"/>
      <c r="E2999" s="139"/>
      <c r="F2999" s="139"/>
      <c r="G2999" s="139"/>
      <c r="H2999" s="139"/>
      <c r="I2999" s="139"/>
      <c r="J2999" s="139"/>
      <c r="K2999" s="139"/>
      <c r="L2999" s="243"/>
      <c r="M2999" s="243"/>
      <c r="N2999" s="139"/>
      <c r="O2999" s="139"/>
      <c r="P2999" s="139"/>
      <c r="Q2999" s="147"/>
      <c r="R2999" s="139"/>
      <c r="S2999" s="139"/>
      <c r="T2999" s="139"/>
      <c r="U2999" s="139"/>
      <c r="V2999" s="139"/>
      <c r="W2999" s="139"/>
      <c r="X2999" s="146"/>
      <c r="Y2999" s="148"/>
      <c r="Z2999" s="145"/>
      <c r="AA2999" s="139"/>
      <c r="AB2999" s="149"/>
      <c r="AC2999" s="119"/>
      <c r="AD2999" s="139"/>
      <c r="AE2999" s="139"/>
      <c r="AF2999" s="139"/>
      <c r="AG2999" s="139"/>
      <c r="AH2999" s="139"/>
      <c r="AI2999" s="139"/>
      <c r="AJ2999" s="139"/>
      <c r="AK2999" s="139"/>
      <c r="AL2999" s="139"/>
      <c r="AM2999" s="139"/>
      <c r="AN2999" s="139"/>
      <c r="AO2999" s="139"/>
      <c r="AP2999" s="139"/>
      <c r="AQ2999" s="174"/>
      <c r="AR2999" s="222"/>
    </row>
    <row r="3000" spans="2:44" s="144" customFormat="1" ht="18" customHeight="1" x14ac:dyDescent="0.25">
      <c r="B3000" s="145"/>
      <c r="C3000" s="139"/>
      <c r="D3000" s="146"/>
      <c r="E3000" s="139"/>
      <c r="F3000" s="139"/>
      <c r="G3000" s="139"/>
      <c r="H3000" s="139"/>
      <c r="I3000" s="139"/>
      <c r="J3000" s="139"/>
      <c r="K3000" s="139"/>
      <c r="L3000" s="243"/>
      <c r="M3000" s="243"/>
      <c r="N3000" s="139"/>
      <c r="O3000" s="139"/>
      <c r="P3000" s="139"/>
      <c r="Q3000" s="147"/>
      <c r="R3000" s="139"/>
      <c r="S3000" s="139"/>
      <c r="T3000" s="139"/>
      <c r="U3000" s="139"/>
      <c r="V3000" s="139"/>
      <c r="W3000" s="139"/>
      <c r="X3000" s="146"/>
      <c r="Y3000" s="148"/>
      <c r="Z3000" s="145"/>
      <c r="AA3000" s="139"/>
      <c r="AB3000" s="149"/>
      <c r="AC3000" s="119"/>
      <c r="AD3000" s="139"/>
      <c r="AE3000" s="139"/>
      <c r="AF3000" s="139"/>
      <c r="AG3000" s="139"/>
      <c r="AH3000" s="139"/>
      <c r="AI3000" s="139"/>
      <c r="AJ3000" s="139"/>
      <c r="AK3000" s="139"/>
      <c r="AL3000" s="139"/>
      <c r="AM3000" s="139"/>
      <c r="AN3000" s="139"/>
      <c r="AO3000" s="139"/>
      <c r="AP3000" s="139"/>
      <c r="AQ3000" s="174"/>
      <c r="AR3000" s="222"/>
    </row>
    <row r="3002" spans="2:44" s="144" customFormat="1" ht="18" customHeight="1" x14ac:dyDescent="0.25">
      <c r="B3002" s="145"/>
      <c r="C3002" s="139"/>
      <c r="D3002" s="146"/>
      <c r="E3002" s="139"/>
      <c r="F3002" s="139"/>
      <c r="G3002" s="139"/>
      <c r="H3002" s="139"/>
      <c r="I3002" s="139"/>
      <c r="J3002" s="139"/>
      <c r="K3002" s="139"/>
      <c r="L3002" s="243"/>
      <c r="M3002" s="243"/>
      <c r="N3002" s="139"/>
      <c r="O3002" s="139"/>
      <c r="P3002" s="139"/>
      <c r="Q3002" s="147"/>
      <c r="R3002" s="139"/>
      <c r="S3002" s="139"/>
      <c r="T3002" s="139"/>
      <c r="U3002" s="139"/>
      <c r="V3002" s="139"/>
      <c r="W3002" s="139"/>
      <c r="X3002" s="146"/>
      <c r="Y3002" s="148"/>
      <c r="Z3002" s="145"/>
      <c r="AA3002" s="139"/>
      <c r="AB3002" s="149"/>
      <c r="AC3002" s="119"/>
      <c r="AD3002" s="139"/>
      <c r="AE3002" s="139"/>
      <c r="AF3002" s="139"/>
      <c r="AG3002" s="139"/>
      <c r="AH3002" s="139"/>
      <c r="AI3002" s="139"/>
      <c r="AJ3002" s="139"/>
      <c r="AK3002" s="139"/>
      <c r="AL3002" s="139"/>
      <c r="AM3002" s="139"/>
      <c r="AN3002" s="139"/>
      <c r="AO3002" s="139"/>
      <c r="AP3002" s="139"/>
      <c r="AQ3002" s="174"/>
      <c r="AR3002" s="222"/>
    </row>
    <row r="3004" spans="2:44" s="144" customFormat="1" ht="18" customHeight="1" x14ac:dyDescent="0.25">
      <c r="B3004" s="145"/>
      <c r="C3004" s="139"/>
      <c r="D3004" s="146"/>
      <c r="E3004" s="139"/>
      <c r="F3004" s="139"/>
      <c r="G3004" s="139"/>
      <c r="H3004" s="139"/>
      <c r="I3004" s="139"/>
      <c r="J3004" s="139"/>
      <c r="K3004" s="139"/>
      <c r="L3004" s="243"/>
      <c r="M3004" s="243"/>
      <c r="N3004" s="139"/>
      <c r="O3004" s="139"/>
      <c r="P3004" s="139"/>
      <c r="Q3004" s="147"/>
      <c r="R3004" s="139"/>
      <c r="S3004" s="139"/>
      <c r="T3004" s="139"/>
      <c r="U3004" s="139"/>
      <c r="V3004" s="139"/>
      <c r="W3004" s="139"/>
      <c r="X3004" s="146"/>
      <c r="Y3004" s="148"/>
      <c r="Z3004" s="145"/>
      <c r="AA3004" s="139"/>
      <c r="AB3004" s="149"/>
      <c r="AC3004" s="119"/>
      <c r="AD3004" s="139"/>
      <c r="AE3004" s="139"/>
      <c r="AF3004" s="139"/>
      <c r="AG3004" s="139"/>
      <c r="AH3004" s="139"/>
      <c r="AI3004" s="139"/>
      <c r="AJ3004" s="139"/>
      <c r="AK3004" s="139"/>
      <c r="AL3004" s="139"/>
      <c r="AM3004" s="139"/>
      <c r="AN3004" s="139"/>
      <c r="AO3004" s="139"/>
      <c r="AP3004" s="139"/>
      <c r="AQ3004" s="174"/>
      <c r="AR3004" s="222"/>
    </row>
    <row r="3009" spans="2:44" s="144" customFormat="1" ht="18" customHeight="1" x14ac:dyDescent="0.25">
      <c r="B3009" s="145"/>
      <c r="C3009" s="139"/>
      <c r="D3009" s="146"/>
      <c r="E3009" s="139"/>
      <c r="F3009" s="139"/>
      <c r="G3009" s="139"/>
      <c r="H3009" s="139"/>
      <c r="I3009" s="139"/>
      <c r="J3009" s="139"/>
      <c r="K3009" s="139"/>
      <c r="L3009" s="243"/>
      <c r="M3009" s="243"/>
      <c r="N3009" s="139"/>
      <c r="O3009" s="139"/>
      <c r="P3009" s="139"/>
      <c r="Q3009" s="147"/>
      <c r="R3009" s="139"/>
      <c r="S3009" s="139"/>
      <c r="T3009" s="139"/>
      <c r="U3009" s="139"/>
      <c r="V3009" s="139"/>
      <c r="W3009" s="139"/>
      <c r="X3009" s="146"/>
      <c r="Y3009" s="148"/>
      <c r="Z3009" s="145"/>
      <c r="AA3009" s="139"/>
      <c r="AB3009" s="149"/>
      <c r="AC3009" s="119"/>
      <c r="AD3009" s="139"/>
      <c r="AE3009" s="139"/>
      <c r="AF3009" s="139"/>
      <c r="AG3009" s="139"/>
      <c r="AH3009" s="139"/>
      <c r="AI3009" s="139"/>
      <c r="AJ3009" s="139"/>
      <c r="AK3009" s="139"/>
      <c r="AL3009" s="139"/>
      <c r="AM3009" s="139"/>
      <c r="AN3009" s="139"/>
      <c r="AO3009" s="139"/>
      <c r="AP3009" s="139"/>
      <c r="AQ3009" s="174"/>
      <c r="AR3009" s="222"/>
    </row>
    <row r="3011" spans="2:44" s="144" customFormat="1" ht="18" customHeight="1" x14ac:dyDescent="0.25">
      <c r="B3011" s="145"/>
      <c r="C3011" s="139"/>
      <c r="D3011" s="146"/>
      <c r="E3011" s="139"/>
      <c r="F3011" s="139"/>
      <c r="G3011" s="139"/>
      <c r="H3011" s="139"/>
      <c r="I3011" s="139"/>
      <c r="J3011" s="139"/>
      <c r="K3011" s="139"/>
      <c r="L3011" s="243"/>
      <c r="M3011" s="243"/>
      <c r="N3011" s="139"/>
      <c r="O3011" s="139"/>
      <c r="P3011" s="139"/>
      <c r="Q3011" s="147"/>
      <c r="R3011" s="139"/>
      <c r="S3011" s="139"/>
      <c r="T3011" s="139"/>
      <c r="U3011" s="139"/>
      <c r="V3011" s="139"/>
      <c r="W3011" s="139"/>
      <c r="X3011" s="146"/>
      <c r="Y3011" s="148"/>
      <c r="Z3011" s="145"/>
      <c r="AA3011" s="139"/>
      <c r="AB3011" s="149"/>
      <c r="AC3011" s="119"/>
      <c r="AD3011" s="139"/>
      <c r="AE3011" s="139"/>
      <c r="AF3011" s="139"/>
      <c r="AG3011" s="139"/>
      <c r="AH3011" s="139"/>
      <c r="AI3011" s="139"/>
      <c r="AJ3011" s="139"/>
      <c r="AK3011" s="139"/>
      <c r="AL3011" s="139"/>
      <c r="AM3011" s="139"/>
      <c r="AN3011" s="139"/>
      <c r="AO3011" s="139"/>
      <c r="AP3011" s="139"/>
      <c r="AQ3011" s="174"/>
      <c r="AR3011" s="222"/>
    </row>
    <row r="3013" spans="2:44" s="144" customFormat="1" ht="18" customHeight="1" x14ac:dyDescent="0.25">
      <c r="B3013" s="145"/>
      <c r="C3013" s="139"/>
      <c r="D3013" s="146"/>
      <c r="E3013" s="139"/>
      <c r="F3013" s="139"/>
      <c r="G3013" s="139"/>
      <c r="H3013" s="139"/>
      <c r="I3013" s="139"/>
      <c r="J3013" s="139"/>
      <c r="K3013" s="139"/>
      <c r="L3013" s="243"/>
      <c r="M3013" s="243"/>
      <c r="N3013" s="139"/>
      <c r="O3013" s="139"/>
      <c r="P3013" s="139"/>
      <c r="Q3013" s="147"/>
      <c r="R3013" s="139"/>
      <c r="S3013" s="139"/>
      <c r="T3013" s="139"/>
      <c r="U3013" s="139"/>
      <c r="V3013" s="139"/>
      <c r="W3013" s="139"/>
      <c r="X3013" s="146"/>
      <c r="Y3013" s="148"/>
      <c r="Z3013" s="145"/>
      <c r="AA3013" s="139"/>
      <c r="AB3013" s="149"/>
      <c r="AC3013" s="119"/>
      <c r="AD3013" s="139"/>
      <c r="AE3013" s="139"/>
      <c r="AF3013" s="139"/>
      <c r="AG3013" s="139"/>
      <c r="AH3013" s="139"/>
      <c r="AI3013" s="139"/>
      <c r="AJ3013" s="139"/>
      <c r="AK3013" s="139"/>
      <c r="AL3013" s="139"/>
      <c r="AM3013" s="139"/>
      <c r="AN3013" s="139"/>
      <c r="AO3013" s="139"/>
      <c r="AP3013" s="139"/>
      <c r="AQ3013" s="174"/>
      <c r="AR3013" s="222"/>
    </row>
    <row r="3015" spans="2:44" s="144" customFormat="1" ht="18" customHeight="1" x14ac:dyDescent="0.25">
      <c r="B3015" s="145"/>
      <c r="C3015" s="139"/>
      <c r="D3015" s="146"/>
      <c r="E3015" s="139"/>
      <c r="F3015" s="139"/>
      <c r="G3015" s="139"/>
      <c r="H3015" s="139"/>
      <c r="I3015" s="139"/>
      <c r="J3015" s="139"/>
      <c r="K3015" s="139"/>
      <c r="L3015" s="243"/>
      <c r="M3015" s="243"/>
      <c r="N3015" s="139"/>
      <c r="O3015" s="139"/>
      <c r="P3015" s="139"/>
      <c r="Q3015" s="147"/>
      <c r="R3015" s="139"/>
      <c r="S3015" s="139"/>
      <c r="T3015" s="139"/>
      <c r="U3015" s="139"/>
      <c r="V3015" s="139"/>
      <c r="W3015" s="139"/>
      <c r="X3015" s="146"/>
      <c r="Y3015" s="148"/>
      <c r="Z3015" s="145"/>
      <c r="AA3015" s="139"/>
      <c r="AB3015" s="149"/>
      <c r="AC3015" s="119"/>
      <c r="AD3015" s="139"/>
      <c r="AE3015" s="139"/>
      <c r="AF3015" s="139"/>
      <c r="AG3015" s="139"/>
      <c r="AH3015" s="139"/>
      <c r="AI3015" s="139"/>
      <c r="AJ3015" s="139"/>
      <c r="AK3015" s="139"/>
      <c r="AL3015" s="139"/>
      <c r="AM3015" s="139"/>
      <c r="AN3015" s="139"/>
      <c r="AO3015" s="139"/>
      <c r="AP3015" s="139"/>
      <c r="AQ3015" s="174"/>
      <c r="AR3015" s="222"/>
    </row>
    <row r="3030" spans="2:44" s="144" customFormat="1" ht="18" customHeight="1" x14ac:dyDescent="0.25">
      <c r="B3030" s="145"/>
      <c r="C3030" s="139"/>
      <c r="D3030" s="146"/>
      <c r="E3030" s="139"/>
      <c r="F3030" s="139"/>
      <c r="G3030" s="139"/>
      <c r="H3030" s="139"/>
      <c r="I3030" s="139"/>
      <c r="J3030" s="139"/>
      <c r="K3030" s="139"/>
      <c r="L3030" s="243"/>
      <c r="M3030" s="243"/>
      <c r="N3030" s="139"/>
      <c r="O3030" s="139"/>
      <c r="P3030" s="139"/>
      <c r="Q3030" s="147"/>
      <c r="R3030" s="139"/>
      <c r="S3030" s="139"/>
      <c r="T3030" s="139"/>
      <c r="U3030" s="139"/>
      <c r="V3030" s="139"/>
      <c r="W3030" s="139"/>
      <c r="X3030" s="146"/>
      <c r="Y3030" s="148"/>
      <c r="Z3030" s="145"/>
      <c r="AA3030" s="139"/>
      <c r="AB3030" s="149"/>
      <c r="AC3030" s="119"/>
      <c r="AD3030" s="139"/>
      <c r="AE3030" s="139"/>
      <c r="AF3030" s="139"/>
      <c r="AG3030" s="139"/>
      <c r="AH3030" s="139"/>
      <c r="AI3030" s="139"/>
      <c r="AJ3030" s="139"/>
      <c r="AK3030" s="139"/>
      <c r="AL3030" s="139"/>
      <c r="AM3030" s="139"/>
      <c r="AN3030" s="139"/>
      <c r="AO3030" s="139"/>
      <c r="AP3030" s="139"/>
      <c r="AQ3030" s="174"/>
      <c r="AR3030" s="222"/>
    </row>
    <row r="3034" spans="2:44" s="144" customFormat="1" ht="18" customHeight="1" x14ac:dyDescent="0.25">
      <c r="B3034" s="145"/>
      <c r="C3034" s="139"/>
      <c r="D3034" s="146"/>
      <c r="E3034" s="139"/>
      <c r="F3034" s="139"/>
      <c r="G3034" s="139"/>
      <c r="H3034" s="139"/>
      <c r="I3034" s="139"/>
      <c r="J3034" s="139"/>
      <c r="K3034" s="139"/>
      <c r="L3034" s="243"/>
      <c r="M3034" s="243"/>
      <c r="N3034" s="139"/>
      <c r="O3034" s="139"/>
      <c r="P3034" s="139"/>
      <c r="Q3034" s="147"/>
      <c r="R3034" s="139"/>
      <c r="S3034" s="139"/>
      <c r="T3034" s="139"/>
      <c r="U3034" s="139"/>
      <c r="V3034" s="139"/>
      <c r="W3034" s="139"/>
      <c r="X3034" s="146"/>
      <c r="Y3034" s="148"/>
      <c r="Z3034" s="145"/>
      <c r="AA3034" s="139"/>
      <c r="AB3034" s="149"/>
      <c r="AC3034" s="119"/>
      <c r="AD3034" s="139"/>
      <c r="AE3034" s="139"/>
      <c r="AF3034" s="139"/>
      <c r="AG3034" s="139"/>
      <c r="AH3034" s="139"/>
      <c r="AI3034" s="139"/>
      <c r="AJ3034" s="139"/>
      <c r="AK3034" s="139"/>
      <c r="AL3034" s="139"/>
      <c r="AM3034" s="139"/>
      <c r="AN3034" s="139"/>
      <c r="AO3034" s="139"/>
      <c r="AP3034" s="139"/>
      <c r="AQ3034" s="174"/>
      <c r="AR3034" s="222"/>
    </row>
    <row r="3061" spans="2:44" s="144" customFormat="1" ht="18" customHeight="1" x14ac:dyDescent="0.25">
      <c r="B3061" s="145"/>
      <c r="C3061" s="139"/>
      <c r="D3061" s="146"/>
      <c r="E3061" s="139"/>
      <c r="F3061" s="139"/>
      <c r="G3061" s="139"/>
      <c r="H3061" s="139"/>
      <c r="I3061" s="139"/>
      <c r="J3061" s="139"/>
      <c r="K3061" s="139"/>
      <c r="L3061" s="243"/>
      <c r="M3061" s="243"/>
      <c r="N3061" s="139"/>
      <c r="O3061" s="139"/>
      <c r="P3061" s="139"/>
      <c r="Q3061" s="147"/>
      <c r="R3061" s="139"/>
      <c r="S3061" s="139"/>
      <c r="T3061" s="139"/>
      <c r="U3061" s="139"/>
      <c r="V3061" s="139"/>
      <c r="W3061" s="139"/>
      <c r="X3061" s="146"/>
      <c r="Y3061" s="148"/>
      <c r="Z3061" s="145"/>
      <c r="AA3061" s="139"/>
      <c r="AB3061" s="149"/>
      <c r="AC3061" s="119"/>
      <c r="AD3061" s="139"/>
      <c r="AE3061" s="139"/>
      <c r="AF3061" s="139"/>
      <c r="AG3061" s="139"/>
      <c r="AH3061" s="139"/>
      <c r="AI3061" s="139"/>
      <c r="AJ3061" s="139"/>
      <c r="AK3061" s="139"/>
      <c r="AL3061" s="139"/>
      <c r="AM3061" s="139"/>
      <c r="AN3061" s="139"/>
      <c r="AO3061" s="139"/>
      <c r="AP3061" s="139"/>
      <c r="AQ3061" s="174"/>
      <c r="AR3061" s="222"/>
    </row>
    <row r="3063" spans="2:44" s="144" customFormat="1" ht="18" customHeight="1" x14ac:dyDescent="0.25">
      <c r="B3063" s="145"/>
      <c r="C3063" s="139"/>
      <c r="D3063" s="146"/>
      <c r="E3063" s="139"/>
      <c r="F3063" s="139"/>
      <c r="G3063" s="139"/>
      <c r="H3063" s="139"/>
      <c r="I3063" s="139"/>
      <c r="J3063" s="139"/>
      <c r="K3063" s="139"/>
      <c r="L3063" s="243"/>
      <c r="M3063" s="243"/>
      <c r="N3063" s="139"/>
      <c r="O3063" s="139"/>
      <c r="P3063" s="139"/>
      <c r="Q3063" s="147"/>
      <c r="R3063" s="139"/>
      <c r="S3063" s="139"/>
      <c r="T3063" s="139"/>
      <c r="U3063" s="139"/>
      <c r="V3063" s="139"/>
      <c r="W3063" s="139"/>
      <c r="X3063" s="146"/>
      <c r="Y3063" s="148"/>
      <c r="Z3063" s="145"/>
      <c r="AA3063" s="139"/>
      <c r="AB3063" s="149"/>
      <c r="AC3063" s="119"/>
      <c r="AD3063" s="139"/>
      <c r="AE3063" s="139"/>
      <c r="AF3063" s="139"/>
      <c r="AG3063" s="139"/>
      <c r="AH3063" s="139"/>
      <c r="AI3063" s="139"/>
      <c r="AJ3063" s="139"/>
      <c r="AK3063" s="139"/>
      <c r="AL3063" s="139"/>
      <c r="AM3063" s="139"/>
      <c r="AN3063" s="139"/>
      <c r="AO3063" s="139"/>
      <c r="AP3063" s="139"/>
      <c r="AQ3063" s="174"/>
      <c r="AR3063" s="222"/>
    </row>
    <row r="3064" spans="2:44" s="144" customFormat="1" ht="18" customHeight="1" x14ac:dyDescent="0.25">
      <c r="B3064" s="145"/>
      <c r="C3064" s="139"/>
      <c r="D3064" s="146"/>
      <c r="E3064" s="139"/>
      <c r="F3064" s="139"/>
      <c r="G3064" s="139"/>
      <c r="H3064" s="139"/>
      <c r="I3064" s="139"/>
      <c r="J3064" s="139"/>
      <c r="K3064" s="139"/>
      <c r="L3064" s="243"/>
      <c r="M3064" s="243"/>
      <c r="N3064" s="139"/>
      <c r="O3064" s="139"/>
      <c r="P3064" s="139"/>
      <c r="Q3064" s="147"/>
      <c r="R3064" s="139"/>
      <c r="S3064" s="139"/>
      <c r="T3064" s="139"/>
      <c r="U3064" s="139"/>
      <c r="V3064" s="139"/>
      <c r="W3064" s="139"/>
      <c r="X3064" s="146"/>
      <c r="Y3064" s="148"/>
      <c r="Z3064" s="145"/>
      <c r="AA3064" s="139"/>
      <c r="AB3064" s="149"/>
      <c r="AC3064" s="119"/>
      <c r="AD3064" s="139"/>
      <c r="AE3064" s="139"/>
      <c r="AF3064" s="139"/>
      <c r="AG3064" s="139"/>
      <c r="AH3064" s="139"/>
      <c r="AI3064" s="139"/>
      <c r="AJ3064" s="139"/>
      <c r="AK3064" s="139"/>
      <c r="AL3064" s="139"/>
      <c r="AM3064" s="139"/>
      <c r="AN3064" s="139"/>
      <c r="AO3064" s="139"/>
      <c r="AP3064" s="139"/>
      <c r="AQ3064" s="174"/>
      <c r="AR3064" s="222"/>
    </row>
    <row r="3074" spans="2:44" s="144" customFormat="1" ht="18" customHeight="1" x14ac:dyDescent="0.25">
      <c r="B3074" s="145"/>
      <c r="C3074" s="139"/>
      <c r="D3074" s="146"/>
      <c r="E3074" s="139"/>
      <c r="F3074" s="139"/>
      <c r="G3074" s="139"/>
      <c r="H3074" s="139"/>
      <c r="I3074" s="139"/>
      <c r="J3074" s="139"/>
      <c r="K3074" s="139"/>
      <c r="L3074" s="243"/>
      <c r="M3074" s="243"/>
      <c r="N3074" s="139"/>
      <c r="O3074" s="139"/>
      <c r="P3074" s="139"/>
      <c r="Q3074" s="147"/>
      <c r="R3074" s="139"/>
      <c r="S3074" s="139"/>
      <c r="T3074" s="139"/>
      <c r="U3074" s="139"/>
      <c r="V3074" s="139"/>
      <c r="W3074" s="139"/>
      <c r="X3074" s="146"/>
      <c r="Y3074" s="148"/>
      <c r="Z3074" s="145"/>
      <c r="AA3074" s="139"/>
      <c r="AB3074" s="149"/>
      <c r="AC3074" s="119"/>
      <c r="AD3074" s="139"/>
      <c r="AE3074" s="139"/>
      <c r="AF3074" s="139"/>
      <c r="AG3074" s="139"/>
      <c r="AH3074" s="139"/>
      <c r="AI3074" s="139"/>
      <c r="AJ3074" s="139"/>
      <c r="AK3074" s="139"/>
      <c r="AL3074" s="139"/>
      <c r="AM3074" s="139"/>
      <c r="AN3074" s="139"/>
      <c r="AO3074" s="139"/>
      <c r="AP3074" s="139"/>
      <c r="AQ3074" s="174"/>
      <c r="AR3074" s="222"/>
    </row>
    <row r="3111" spans="1:1" ht="18" customHeight="1" x14ac:dyDescent="0.25">
      <c r="A3111" s="139" t="s">
        <v>221</v>
      </c>
    </row>
    <row r="3409" spans="2:44" s="277" customFormat="1" ht="18" customHeight="1" x14ac:dyDescent="0.25">
      <c r="B3409" s="145"/>
      <c r="C3409" s="139"/>
      <c r="D3409" s="146"/>
      <c r="E3409" s="139"/>
      <c r="F3409" s="139"/>
      <c r="G3409" s="139"/>
      <c r="H3409" s="139"/>
      <c r="I3409" s="139"/>
      <c r="J3409" s="139"/>
      <c r="K3409" s="139"/>
      <c r="L3409" s="243"/>
      <c r="M3409" s="243"/>
      <c r="N3409" s="139"/>
      <c r="O3409" s="139"/>
      <c r="P3409" s="139"/>
      <c r="Q3409" s="147"/>
      <c r="R3409" s="139"/>
      <c r="S3409" s="139"/>
      <c r="T3409" s="139"/>
      <c r="U3409" s="139"/>
      <c r="V3409" s="139"/>
      <c r="W3409" s="139"/>
      <c r="X3409" s="146"/>
      <c r="Y3409" s="148"/>
      <c r="Z3409" s="145"/>
      <c r="AA3409" s="139"/>
      <c r="AB3409" s="149"/>
      <c r="AC3409" s="119"/>
      <c r="AD3409" s="139"/>
      <c r="AE3409" s="139"/>
      <c r="AF3409" s="139"/>
      <c r="AG3409" s="139"/>
      <c r="AH3409" s="139"/>
      <c r="AI3409" s="139"/>
      <c r="AJ3409" s="139"/>
      <c r="AK3409" s="139"/>
      <c r="AL3409" s="139"/>
      <c r="AM3409" s="139"/>
      <c r="AN3409" s="139"/>
      <c r="AO3409" s="139"/>
      <c r="AP3409" s="139"/>
      <c r="AQ3409" s="174"/>
      <c r="AR3409" s="222"/>
    </row>
    <row r="3489" spans="2:44" s="277" customFormat="1" ht="18" customHeight="1" x14ac:dyDescent="0.25">
      <c r="B3489" s="145"/>
      <c r="C3489" s="139"/>
      <c r="D3489" s="146"/>
      <c r="E3489" s="139"/>
      <c r="F3489" s="139"/>
      <c r="G3489" s="139"/>
      <c r="H3489" s="139"/>
      <c r="I3489" s="139"/>
      <c r="J3489" s="139"/>
      <c r="K3489" s="139"/>
      <c r="L3489" s="243"/>
      <c r="M3489" s="243"/>
      <c r="N3489" s="139"/>
      <c r="O3489" s="139"/>
      <c r="P3489" s="139"/>
      <c r="Q3489" s="147"/>
      <c r="R3489" s="139"/>
      <c r="S3489" s="139"/>
      <c r="T3489" s="139"/>
      <c r="U3489" s="139"/>
      <c r="V3489" s="139"/>
      <c r="W3489" s="139"/>
      <c r="X3489" s="146"/>
      <c r="Y3489" s="148"/>
      <c r="Z3489" s="145"/>
      <c r="AA3489" s="139"/>
      <c r="AB3489" s="149"/>
      <c r="AC3489" s="119"/>
      <c r="AD3489" s="139"/>
      <c r="AE3489" s="139"/>
      <c r="AF3489" s="139"/>
      <c r="AG3489" s="139"/>
      <c r="AH3489" s="139"/>
      <c r="AI3489" s="139"/>
      <c r="AJ3489" s="139"/>
      <c r="AK3489" s="139"/>
      <c r="AL3489" s="139"/>
      <c r="AM3489" s="139"/>
      <c r="AN3489" s="139"/>
      <c r="AO3489" s="139"/>
      <c r="AP3489" s="139"/>
      <c r="AQ3489" s="174"/>
      <c r="AR3489" s="222"/>
    </row>
    <row r="3490" spans="2:44" s="144" customFormat="1" ht="18" customHeight="1" x14ac:dyDescent="0.25">
      <c r="B3490" s="145"/>
      <c r="C3490" s="139"/>
      <c r="D3490" s="146"/>
      <c r="E3490" s="139"/>
      <c r="F3490" s="139"/>
      <c r="G3490" s="139"/>
      <c r="H3490" s="139"/>
      <c r="I3490" s="139"/>
      <c r="J3490" s="139"/>
      <c r="K3490" s="139"/>
      <c r="L3490" s="243"/>
      <c r="M3490" s="243"/>
      <c r="N3490" s="139"/>
      <c r="O3490" s="139"/>
      <c r="P3490" s="139"/>
      <c r="Q3490" s="147"/>
      <c r="R3490" s="139"/>
      <c r="S3490" s="139"/>
      <c r="T3490" s="139"/>
      <c r="U3490" s="139"/>
      <c r="V3490" s="139"/>
      <c r="W3490" s="139"/>
      <c r="X3490" s="146"/>
      <c r="Y3490" s="148"/>
      <c r="Z3490" s="145"/>
      <c r="AA3490" s="139"/>
      <c r="AB3490" s="149"/>
      <c r="AC3490" s="119"/>
      <c r="AD3490" s="139"/>
      <c r="AE3490" s="139"/>
      <c r="AF3490" s="139"/>
      <c r="AG3490" s="139"/>
      <c r="AH3490" s="139"/>
      <c r="AI3490" s="139"/>
      <c r="AJ3490" s="139"/>
      <c r="AK3490" s="139"/>
      <c r="AL3490" s="139"/>
      <c r="AM3490" s="139"/>
      <c r="AN3490" s="139"/>
      <c r="AO3490" s="139"/>
      <c r="AP3490" s="139"/>
      <c r="AQ3490" s="174"/>
      <c r="AR3490" s="222"/>
    </row>
    <row r="3500" spans="2:44" s="310" customFormat="1" ht="18" customHeight="1" x14ac:dyDescent="0.25">
      <c r="B3500" s="145"/>
      <c r="C3500" s="139"/>
      <c r="D3500" s="146"/>
      <c r="E3500" s="139"/>
      <c r="F3500" s="139"/>
      <c r="G3500" s="139"/>
      <c r="H3500" s="139"/>
      <c r="I3500" s="139"/>
      <c r="J3500" s="139"/>
      <c r="K3500" s="139"/>
      <c r="L3500" s="243"/>
      <c r="M3500" s="243"/>
      <c r="N3500" s="139"/>
      <c r="O3500" s="139"/>
      <c r="P3500" s="139"/>
      <c r="Q3500" s="147"/>
      <c r="R3500" s="139"/>
      <c r="S3500" s="139"/>
      <c r="T3500" s="139"/>
      <c r="U3500" s="139"/>
      <c r="V3500" s="139"/>
      <c r="W3500" s="139"/>
      <c r="X3500" s="146"/>
      <c r="Y3500" s="148"/>
      <c r="Z3500" s="145"/>
      <c r="AA3500" s="139"/>
      <c r="AB3500" s="149"/>
      <c r="AC3500" s="119"/>
      <c r="AD3500" s="139"/>
      <c r="AE3500" s="139"/>
      <c r="AF3500" s="139"/>
      <c r="AG3500" s="139"/>
      <c r="AH3500" s="139"/>
      <c r="AI3500" s="139"/>
      <c r="AJ3500" s="139"/>
      <c r="AK3500" s="139"/>
      <c r="AL3500" s="139"/>
      <c r="AM3500" s="139"/>
      <c r="AN3500" s="139"/>
      <c r="AO3500" s="139"/>
      <c r="AP3500" s="139"/>
      <c r="AQ3500" s="174"/>
      <c r="AR3500" s="222"/>
    </row>
    <row r="3501" spans="2:44" s="310" customFormat="1" ht="18" customHeight="1" x14ac:dyDescent="0.25">
      <c r="B3501" s="145"/>
      <c r="C3501" s="139"/>
      <c r="D3501" s="146"/>
      <c r="E3501" s="139"/>
      <c r="F3501" s="139"/>
      <c r="G3501" s="139"/>
      <c r="H3501" s="139"/>
      <c r="I3501" s="139"/>
      <c r="J3501" s="139"/>
      <c r="K3501" s="139"/>
      <c r="L3501" s="243"/>
      <c r="M3501" s="243"/>
      <c r="N3501" s="139"/>
      <c r="O3501" s="139"/>
      <c r="P3501" s="139"/>
      <c r="Q3501" s="147"/>
      <c r="R3501" s="139"/>
      <c r="S3501" s="139"/>
      <c r="T3501" s="139"/>
      <c r="U3501" s="139"/>
      <c r="V3501" s="139"/>
      <c r="W3501" s="139"/>
      <c r="X3501" s="146"/>
      <c r="Y3501" s="148"/>
      <c r="Z3501" s="145"/>
      <c r="AA3501" s="139"/>
      <c r="AB3501" s="149"/>
      <c r="AC3501" s="119"/>
      <c r="AD3501" s="139"/>
      <c r="AE3501" s="139"/>
      <c r="AF3501" s="139"/>
      <c r="AG3501" s="139"/>
      <c r="AH3501" s="139"/>
      <c r="AI3501" s="139"/>
      <c r="AJ3501" s="139"/>
      <c r="AK3501" s="139"/>
      <c r="AL3501" s="139"/>
      <c r="AM3501" s="139"/>
      <c r="AN3501" s="139"/>
      <c r="AO3501" s="139"/>
      <c r="AP3501" s="139"/>
      <c r="AQ3501" s="174"/>
      <c r="AR3501" s="222"/>
    </row>
    <row r="3516" spans="2:44" s="277" customFormat="1" ht="18" customHeight="1" x14ac:dyDescent="0.25">
      <c r="B3516" s="145"/>
      <c r="C3516" s="139"/>
      <c r="D3516" s="146"/>
      <c r="E3516" s="139"/>
      <c r="F3516" s="139"/>
      <c r="G3516" s="139"/>
      <c r="H3516" s="139"/>
      <c r="I3516" s="139"/>
      <c r="J3516" s="139"/>
      <c r="K3516" s="139"/>
      <c r="L3516" s="243"/>
      <c r="M3516" s="243"/>
      <c r="N3516" s="139"/>
      <c r="O3516" s="139"/>
      <c r="P3516" s="139"/>
      <c r="Q3516" s="147"/>
      <c r="R3516" s="139"/>
      <c r="S3516" s="139"/>
      <c r="T3516" s="139"/>
      <c r="U3516" s="139"/>
      <c r="V3516" s="139"/>
      <c r="W3516" s="139"/>
      <c r="X3516" s="146"/>
      <c r="Y3516" s="148"/>
      <c r="Z3516" s="145"/>
      <c r="AA3516" s="139"/>
      <c r="AB3516" s="149"/>
      <c r="AC3516" s="119"/>
      <c r="AD3516" s="139"/>
      <c r="AE3516" s="139"/>
      <c r="AF3516" s="139"/>
      <c r="AG3516" s="139"/>
      <c r="AH3516" s="139"/>
      <c r="AI3516" s="139"/>
      <c r="AJ3516" s="139"/>
      <c r="AK3516" s="139"/>
      <c r="AL3516" s="139"/>
      <c r="AM3516" s="139"/>
      <c r="AN3516" s="139"/>
      <c r="AO3516" s="139"/>
      <c r="AP3516" s="139"/>
      <c r="AQ3516" s="174"/>
      <c r="AR3516" s="222"/>
    </row>
    <row r="3561" spans="2:44" s="277" customFormat="1" ht="18" customHeight="1" x14ac:dyDescent="0.25">
      <c r="B3561" s="145"/>
      <c r="C3561" s="139"/>
      <c r="D3561" s="146"/>
      <c r="E3561" s="139"/>
      <c r="F3561" s="139"/>
      <c r="G3561" s="139"/>
      <c r="H3561" s="139"/>
      <c r="I3561" s="139"/>
      <c r="J3561" s="139"/>
      <c r="K3561" s="139"/>
      <c r="L3561" s="243"/>
      <c r="M3561" s="243"/>
      <c r="N3561" s="139"/>
      <c r="O3561" s="139"/>
      <c r="P3561" s="139"/>
      <c r="Q3561" s="147"/>
      <c r="R3561" s="139"/>
      <c r="S3561" s="139"/>
      <c r="T3561" s="139"/>
      <c r="U3561" s="139"/>
      <c r="V3561" s="139"/>
      <c r="W3561" s="139"/>
      <c r="X3561" s="146"/>
      <c r="Y3561" s="148"/>
      <c r="Z3561" s="145"/>
      <c r="AA3561" s="139"/>
      <c r="AB3561" s="149"/>
      <c r="AC3561" s="119"/>
      <c r="AD3561" s="139"/>
      <c r="AE3561" s="139"/>
      <c r="AF3561" s="139"/>
      <c r="AG3561" s="139"/>
      <c r="AH3561" s="139"/>
      <c r="AI3561" s="139"/>
      <c r="AJ3561" s="139"/>
      <c r="AK3561" s="139"/>
      <c r="AL3561" s="139"/>
      <c r="AM3561" s="139"/>
      <c r="AN3561" s="139"/>
      <c r="AO3561" s="139"/>
      <c r="AP3561" s="139"/>
      <c r="AQ3561" s="174"/>
      <c r="AR3561" s="222"/>
    </row>
    <row r="3682" spans="2:44" s="310" customFormat="1" ht="18" customHeight="1" x14ac:dyDescent="0.25">
      <c r="B3682" s="145"/>
      <c r="C3682" s="139"/>
      <c r="D3682" s="146"/>
      <c r="E3682" s="139"/>
      <c r="F3682" s="139"/>
      <c r="G3682" s="139"/>
      <c r="H3682" s="139"/>
      <c r="I3682" s="139"/>
      <c r="J3682" s="139"/>
      <c r="K3682" s="139"/>
      <c r="L3682" s="243"/>
      <c r="M3682" s="243"/>
      <c r="N3682" s="139"/>
      <c r="O3682" s="139"/>
      <c r="P3682" s="139"/>
      <c r="Q3682" s="147"/>
      <c r="R3682" s="139"/>
      <c r="S3682" s="139"/>
      <c r="T3682" s="139"/>
      <c r="U3682" s="139"/>
      <c r="V3682" s="139"/>
      <c r="W3682" s="139"/>
      <c r="X3682" s="146"/>
      <c r="Y3682" s="148"/>
      <c r="Z3682" s="145"/>
      <c r="AA3682" s="139"/>
      <c r="AB3682" s="149"/>
      <c r="AC3682" s="119"/>
      <c r="AD3682" s="139"/>
      <c r="AE3682" s="139"/>
      <c r="AF3682" s="139"/>
      <c r="AG3682" s="139"/>
      <c r="AH3682" s="139"/>
      <c r="AI3682" s="139"/>
      <c r="AJ3682" s="139"/>
      <c r="AK3682" s="139"/>
      <c r="AL3682" s="139"/>
      <c r="AM3682" s="139"/>
      <c r="AN3682" s="139"/>
      <c r="AO3682" s="139"/>
      <c r="AP3682" s="139"/>
      <c r="AQ3682" s="174"/>
      <c r="AR3682" s="222"/>
    </row>
    <row r="3693" spans="2:44" s="310" customFormat="1" ht="18" customHeight="1" x14ac:dyDescent="0.25">
      <c r="B3693" s="145"/>
      <c r="C3693" s="139"/>
      <c r="D3693" s="146"/>
      <c r="E3693" s="139"/>
      <c r="F3693" s="139"/>
      <c r="G3693" s="139"/>
      <c r="H3693" s="139"/>
      <c r="I3693" s="139"/>
      <c r="J3693" s="139"/>
      <c r="K3693" s="139"/>
      <c r="L3693" s="243"/>
      <c r="M3693" s="243"/>
      <c r="N3693" s="139"/>
      <c r="O3693" s="139"/>
      <c r="P3693" s="139"/>
      <c r="Q3693" s="147"/>
      <c r="R3693" s="139"/>
      <c r="S3693" s="139"/>
      <c r="T3693" s="139"/>
      <c r="U3693" s="139"/>
      <c r="V3693" s="139"/>
      <c r="W3693" s="139"/>
      <c r="X3693" s="146"/>
      <c r="Y3693" s="148"/>
      <c r="Z3693" s="145"/>
      <c r="AA3693" s="139"/>
      <c r="AB3693" s="149"/>
      <c r="AC3693" s="119"/>
      <c r="AD3693" s="139"/>
      <c r="AE3693" s="139"/>
      <c r="AF3693" s="139"/>
      <c r="AG3693" s="139"/>
      <c r="AH3693" s="139"/>
      <c r="AI3693" s="139"/>
      <c r="AJ3693" s="139"/>
      <c r="AK3693" s="139"/>
      <c r="AL3693" s="139"/>
      <c r="AM3693" s="139"/>
      <c r="AN3693" s="139"/>
      <c r="AO3693" s="139"/>
      <c r="AP3693" s="139"/>
      <c r="AQ3693" s="174"/>
      <c r="AR3693" s="222"/>
    </row>
    <row r="3694" spans="2:44" s="310" customFormat="1" ht="18" customHeight="1" x14ac:dyDescent="0.25">
      <c r="B3694" s="145"/>
      <c r="C3694" s="139"/>
      <c r="D3694" s="146"/>
      <c r="E3694" s="139"/>
      <c r="F3694" s="139"/>
      <c r="G3694" s="139"/>
      <c r="H3694" s="139"/>
      <c r="I3694" s="139"/>
      <c r="J3694" s="139"/>
      <c r="K3694" s="139"/>
      <c r="L3694" s="243"/>
      <c r="M3694" s="243"/>
      <c r="N3694" s="139"/>
      <c r="O3694" s="139"/>
      <c r="P3694" s="139"/>
      <c r="Q3694" s="147"/>
      <c r="R3694" s="139"/>
      <c r="S3694" s="139"/>
      <c r="T3694" s="139"/>
      <c r="U3694" s="139"/>
      <c r="V3694" s="139"/>
      <c r="W3694" s="139"/>
      <c r="X3694" s="146"/>
      <c r="Y3694" s="148"/>
      <c r="Z3694" s="145"/>
      <c r="AA3694" s="139"/>
      <c r="AB3694" s="149"/>
      <c r="AC3694" s="119"/>
      <c r="AD3694" s="139"/>
      <c r="AE3694" s="139"/>
      <c r="AF3694" s="139"/>
      <c r="AG3694" s="139"/>
      <c r="AH3694" s="139"/>
      <c r="AI3694" s="139"/>
      <c r="AJ3694" s="139"/>
      <c r="AK3694" s="139"/>
      <c r="AL3694" s="139"/>
      <c r="AM3694" s="139"/>
      <c r="AN3694" s="139"/>
      <c r="AO3694" s="139"/>
      <c r="AP3694" s="139"/>
      <c r="AQ3694" s="174"/>
      <c r="AR3694" s="222"/>
    </row>
    <row r="3695" spans="2:44" s="310" customFormat="1" ht="18" customHeight="1" x14ac:dyDescent="0.25">
      <c r="B3695" s="145"/>
      <c r="C3695" s="139"/>
      <c r="D3695" s="146"/>
      <c r="E3695" s="139"/>
      <c r="F3695" s="139"/>
      <c r="G3695" s="139"/>
      <c r="H3695" s="139"/>
      <c r="I3695" s="139"/>
      <c r="J3695" s="139"/>
      <c r="K3695" s="139"/>
      <c r="L3695" s="243"/>
      <c r="M3695" s="243"/>
      <c r="N3695" s="139"/>
      <c r="O3695" s="139"/>
      <c r="P3695" s="139"/>
      <c r="Q3695" s="147"/>
      <c r="R3695" s="139"/>
      <c r="S3695" s="139"/>
      <c r="T3695" s="139"/>
      <c r="U3695" s="139"/>
      <c r="V3695" s="139"/>
      <c r="W3695" s="139"/>
      <c r="X3695" s="146"/>
      <c r="Y3695" s="148"/>
      <c r="Z3695" s="145"/>
      <c r="AA3695" s="139"/>
      <c r="AB3695" s="149"/>
      <c r="AC3695" s="119"/>
      <c r="AD3695" s="139"/>
      <c r="AE3695" s="139"/>
      <c r="AF3695" s="139"/>
      <c r="AG3695" s="139"/>
      <c r="AH3695" s="139"/>
      <c r="AI3695" s="139"/>
      <c r="AJ3695" s="139"/>
      <c r="AK3695" s="139"/>
      <c r="AL3695" s="139"/>
      <c r="AM3695" s="139"/>
      <c r="AN3695" s="139"/>
      <c r="AO3695" s="139"/>
      <c r="AP3695" s="139"/>
      <c r="AQ3695" s="174"/>
      <c r="AR3695" s="222"/>
    </row>
    <row r="3696" spans="2:44" s="310" customFormat="1" ht="18" customHeight="1" x14ac:dyDescent="0.25">
      <c r="B3696" s="145"/>
      <c r="C3696" s="139"/>
      <c r="D3696" s="146"/>
      <c r="E3696" s="139"/>
      <c r="F3696" s="139"/>
      <c r="G3696" s="139"/>
      <c r="H3696" s="139"/>
      <c r="I3696" s="139"/>
      <c r="J3696" s="139"/>
      <c r="K3696" s="139"/>
      <c r="L3696" s="243"/>
      <c r="M3696" s="243"/>
      <c r="N3696" s="139"/>
      <c r="O3696" s="139"/>
      <c r="P3696" s="139"/>
      <c r="Q3696" s="147"/>
      <c r="R3696" s="139"/>
      <c r="S3696" s="139"/>
      <c r="T3696" s="139"/>
      <c r="U3696" s="139"/>
      <c r="V3696" s="139"/>
      <c r="W3696" s="139"/>
      <c r="X3696" s="146"/>
      <c r="Y3696" s="148"/>
      <c r="Z3696" s="145"/>
      <c r="AA3696" s="139"/>
      <c r="AB3696" s="149"/>
      <c r="AC3696" s="119"/>
      <c r="AD3696" s="139"/>
      <c r="AE3696" s="139"/>
      <c r="AF3696" s="139"/>
      <c r="AG3696" s="139"/>
      <c r="AH3696" s="139"/>
      <c r="AI3696" s="139"/>
      <c r="AJ3696" s="139"/>
      <c r="AK3696" s="139"/>
      <c r="AL3696" s="139"/>
      <c r="AM3696" s="139"/>
      <c r="AN3696" s="139"/>
      <c r="AO3696" s="139"/>
      <c r="AP3696" s="139"/>
      <c r="AQ3696" s="174"/>
      <c r="AR3696" s="222"/>
    </row>
    <row r="3697" spans="2:44" s="310" customFormat="1" ht="18" customHeight="1" x14ac:dyDescent="0.25">
      <c r="B3697" s="145"/>
      <c r="C3697" s="139"/>
      <c r="D3697" s="146"/>
      <c r="E3697" s="139"/>
      <c r="F3697" s="139"/>
      <c r="G3697" s="139"/>
      <c r="H3697" s="139"/>
      <c r="I3697" s="139"/>
      <c r="J3697" s="139"/>
      <c r="K3697" s="139"/>
      <c r="L3697" s="243"/>
      <c r="M3697" s="243"/>
      <c r="N3697" s="139"/>
      <c r="O3697" s="139"/>
      <c r="P3697" s="139"/>
      <c r="Q3697" s="147"/>
      <c r="R3697" s="139"/>
      <c r="S3697" s="139"/>
      <c r="T3697" s="139"/>
      <c r="U3697" s="139"/>
      <c r="V3697" s="139"/>
      <c r="W3697" s="139"/>
      <c r="X3697" s="146"/>
      <c r="Y3697" s="148"/>
      <c r="Z3697" s="145"/>
      <c r="AA3697" s="139"/>
      <c r="AB3697" s="149"/>
      <c r="AC3697" s="119"/>
      <c r="AD3697" s="139"/>
      <c r="AE3697" s="139"/>
      <c r="AF3697" s="139"/>
      <c r="AG3697" s="139"/>
      <c r="AH3697" s="139"/>
      <c r="AI3697" s="139"/>
      <c r="AJ3697" s="139"/>
      <c r="AK3697" s="139"/>
      <c r="AL3697" s="139"/>
      <c r="AM3697" s="139"/>
      <c r="AN3697" s="139"/>
      <c r="AO3697" s="139"/>
      <c r="AP3697" s="139"/>
      <c r="AQ3697" s="174"/>
      <c r="AR3697" s="222"/>
    </row>
    <row r="3698" spans="2:44" s="310" customFormat="1" ht="18" customHeight="1" x14ac:dyDescent="0.25">
      <c r="B3698" s="145"/>
      <c r="C3698" s="139"/>
      <c r="D3698" s="146"/>
      <c r="E3698" s="139"/>
      <c r="F3698" s="139"/>
      <c r="G3698" s="139"/>
      <c r="H3698" s="139"/>
      <c r="I3698" s="139"/>
      <c r="J3698" s="139"/>
      <c r="K3698" s="139"/>
      <c r="L3698" s="243"/>
      <c r="M3698" s="243"/>
      <c r="N3698" s="139"/>
      <c r="O3698" s="139"/>
      <c r="P3698" s="139"/>
      <c r="Q3698" s="147"/>
      <c r="R3698" s="139"/>
      <c r="S3698" s="139"/>
      <c r="T3698" s="139"/>
      <c r="U3698" s="139"/>
      <c r="V3698" s="139"/>
      <c r="W3698" s="139"/>
      <c r="X3698" s="146"/>
      <c r="Y3698" s="148"/>
      <c r="Z3698" s="145"/>
      <c r="AA3698" s="139"/>
      <c r="AB3698" s="149"/>
      <c r="AC3698" s="119"/>
      <c r="AD3698" s="139"/>
      <c r="AE3698" s="139"/>
      <c r="AF3698" s="139"/>
      <c r="AG3698" s="139"/>
      <c r="AH3698" s="139"/>
      <c r="AI3698" s="139"/>
      <c r="AJ3698" s="139"/>
      <c r="AK3698" s="139"/>
      <c r="AL3698" s="139"/>
      <c r="AM3698" s="139"/>
      <c r="AN3698" s="139"/>
      <c r="AO3698" s="139"/>
      <c r="AP3698" s="139"/>
      <c r="AQ3698" s="174"/>
      <c r="AR3698" s="222"/>
    </row>
    <row r="3699" spans="2:44" s="310" customFormat="1" ht="18" customHeight="1" x14ac:dyDescent="0.25">
      <c r="B3699" s="145"/>
      <c r="C3699" s="139"/>
      <c r="D3699" s="146"/>
      <c r="E3699" s="139"/>
      <c r="F3699" s="139"/>
      <c r="G3699" s="139"/>
      <c r="H3699" s="139"/>
      <c r="I3699" s="139"/>
      <c r="J3699" s="139"/>
      <c r="K3699" s="139"/>
      <c r="L3699" s="243"/>
      <c r="M3699" s="243"/>
      <c r="N3699" s="139"/>
      <c r="O3699" s="139"/>
      <c r="P3699" s="139"/>
      <c r="Q3699" s="147"/>
      <c r="R3699" s="139"/>
      <c r="S3699" s="139"/>
      <c r="T3699" s="139"/>
      <c r="U3699" s="139"/>
      <c r="V3699" s="139"/>
      <c r="W3699" s="139"/>
      <c r="X3699" s="146"/>
      <c r="Y3699" s="148"/>
      <c r="Z3699" s="145"/>
      <c r="AA3699" s="139"/>
      <c r="AB3699" s="149"/>
      <c r="AC3699" s="119"/>
      <c r="AD3699" s="139"/>
      <c r="AE3699" s="139"/>
      <c r="AF3699" s="139"/>
      <c r="AG3699" s="139"/>
      <c r="AH3699" s="139"/>
      <c r="AI3699" s="139"/>
      <c r="AJ3699" s="139"/>
      <c r="AK3699" s="139"/>
      <c r="AL3699" s="139"/>
      <c r="AM3699" s="139"/>
      <c r="AN3699" s="139"/>
      <c r="AO3699" s="139"/>
      <c r="AP3699" s="139"/>
      <c r="AQ3699" s="174"/>
      <c r="AR3699" s="222"/>
    </row>
    <row r="3700" spans="2:44" s="310" customFormat="1" ht="18" customHeight="1" x14ac:dyDescent="0.25">
      <c r="B3700" s="145"/>
      <c r="C3700" s="139"/>
      <c r="D3700" s="146"/>
      <c r="E3700" s="139"/>
      <c r="F3700" s="139"/>
      <c r="G3700" s="139"/>
      <c r="H3700" s="139"/>
      <c r="I3700" s="139"/>
      <c r="J3700" s="139"/>
      <c r="K3700" s="139"/>
      <c r="L3700" s="243"/>
      <c r="M3700" s="243"/>
      <c r="N3700" s="139"/>
      <c r="O3700" s="139"/>
      <c r="P3700" s="139"/>
      <c r="Q3700" s="147"/>
      <c r="R3700" s="139"/>
      <c r="S3700" s="139"/>
      <c r="T3700" s="139"/>
      <c r="U3700" s="139"/>
      <c r="V3700" s="139"/>
      <c r="W3700" s="139"/>
      <c r="X3700" s="146"/>
      <c r="Y3700" s="148"/>
      <c r="Z3700" s="145"/>
      <c r="AA3700" s="139"/>
      <c r="AB3700" s="149"/>
      <c r="AC3700" s="119"/>
      <c r="AD3700" s="139"/>
      <c r="AE3700" s="139"/>
      <c r="AF3700" s="139"/>
      <c r="AG3700" s="139"/>
      <c r="AH3700" s="139"/>
      <c r="AI3700" s="139"/>
      <c r="AJ3700" s="139"/>
      <c r="AK3700" s="139"/>
      <c r="AL3700" s="139"/>
      <c r="AM3700" s="139"/>
      <c r="AN3700" s="139"/>
      <c r="AO3700" s="139"/>
      <c r="AP3700" s="139"/>
      <c r="AQ3700" s="174"/>
      <c r="AR3700" s="222"/>
    </row>
    <row r="3701" spans="2:44" s="310" customFormat="1" ht="18" customHeight="1" x14ac:dyDescent="0.25">
      <c r="B3701" s="145"/>
      <c r="C3701" s="139"/>
      <c r="D3701" s="146"/>
      <c r="E3701" s="139"/>
      <c r="F3701" s="139"/>
      <c r="G3701" s="139"/>
      <c r="H3701" s="139"/>
      <c r="I3701" s="139"/>
      <c r="J3701" s="139"/>
      <c r="K3701" s="139"/>
      <c r="L3701" s="243"/>
      <c r="M3701" s="243"/>
      <c r="N3701" s="139"/>
      <c r="O3701" s="139"/>
      <c r="P3701" s="139"/>
      <c r="Q3701" s="147"/>
      <c r="R3701" s="139"/>
      <c r="S3701" s="139"/>
      <c r="T3701" s="139"/>
      <c r="U3701" s="139"/>
      <c r="V3701" s="139"/>
      <c r="W3701" s="139"/>
      <c r="X3701" s="146"/>
      <c r="Y3701" s="148"/>
      <c r="Z3701" s="145"/>
      <c r="AA3701" s="139"/>
      <c r="AB3701" s="149"/>
      <c r="AC3701" s="119"/>
      <c r="AD3701" s="139"/>
      <c r="AE3701" s="139"/>
      <c r="AF3701" s="139"/>
      <c r="AG3701" s="139"/>
      <c r="AH3701" s="139"/>
      <c r="AI3701" s="139"/>
      <c r="AJ3701" s="139"/>
      <c r="AK3701" s="139"/>
      <c r="AL3701" s="139"/>
      <c r="AM3701" s="139"/>
      <c r="AN3701" s="139"/>
      <c r="AO3701" s="139"/>
      <c r="AP3701" s="139"/>
      <c r="AQ3701" s="174"/>
      <c r="AR3701" s="222"/>
    </row>
    <row r="3702" spans="2:44" s="310" customFormat="1" ht="18" customHeight="1" x14ac:dyDescent="0.25">
      <c r="B3702" s="145"/>
      <c r="C3702" s="139"/>
      <c r="D3702" s="146"/>
      <c r="E3702" s="139"/>
      <c r="F3702" s="139"/>
      <c r="G3702" s="139"/>
      <c r="H3702" s="139"/>
      <c r="I3702" s="139"/>
      <c r="J3702" s="139"/>
      <c r="K3702" s="139"/>
      <c r="L3702" s="243"/>
      <c r="M3702" s="243"/>
      <c r="N3702" s="139"/>
      <c r="O3702" s="139"/>
      <c r="P3702" s="139"/>
      <c r="Q3702" s="147"/>
      <c r="R3702" s="139"/>
      <c r="S3702" s="139"/>
      <c r="T3702" s="139"/>
      <c r="U3702" s="139"/>
      <c r="V3702" s="139"/>
      <c r="W3702" s="139"/>
      <c r="X3702" s="146"/>
      <c r="Y3702" s="148"/>
      <c r="Z3702" s="145"/>
      <c r="AA3702" s="139"/>
      <c r="AB3702" s="149"/>
      <c r="AC3702" s="119"/>
      <c r="AD3702" s="139"/>
      <c r="AE3702" s="139"/>
      <c r="AF3702" s="139"/>
      <c r="AG3702" s="139"/>
      <c r="AH3702" s="139"/>
      <c r="AI3702" s="139"/>
      <c r="AJ3702" s="139"/>
      <c r="AK3702" s="139"/>
      <c r="AL3702" s="139"/>
      <c r="AM3702" s="139"/>
      <c r="AN3702" s="139"/>
      <c r="AO3702" s="139"/>
      <c r="AP3702" s="139"/>
      <c r="AQ3702" s="174"/>
      <c r="AR3702" s="222"/>
    </row>
    <row r="3703" spans="2:44" s="310" customFormat="1" ht="18" customHeight="1" x14ac:dyDescent="0.25">
      <c r="B3703" s="145"/>
      <c r="C3703" s="139"/>
      <c r="D3703" s="146"/>
      <c r="E3703" s="139"/>
      <c r="F3703" s="139"/>
      <c r="G3703" s="139"/>
      <c r="H3703" s="139"/>
      <c r="I3703" s="139"/>
      <c r="J3703" s="139"/>
      <c r="K3703" s="139"/>
      <c r="L3703" s="243"/>
      <c r="M3703" s="243"/>
      <c r="N3703" s="139"/>
      <c r="O3703" s="139"/>
      <c r="P3703" s="139"/>
      <c r="Q3703" s="147"/>
      <c r="R3703" s="139"/>
      <c r="S3703" s="139"/>
      <c r="T3703" s="139"/>
      <c r="U3703" s="139"/>
      <c r="V3703" s="139"/>
      <c r="W3703" s="139"/>
      <c r="X3703" s="146"/>
      <c r="Y3703" s="148"/>
      <c r="Z3703" s="145"/>
      <c r="AA3703" s="139"/>
      <c r="AB3703" s="149"/>
      <c r="AC3703" s="119"/>
      <c r="AD3703" s="139"/>
      <c r="AE3703" s="139"/>
      <c r="AF3703" s="139"/>
      <c r="AG3703" s="139"/>
      <c r="AH3703" s="139"/>
      <c r="AI3703" s="139"/>
      <c r="AJ3703" s="139"/>
      <c r="AK3703" s="139"/>
      <c r="AL3703" s="139"/>
      <c r="AM3703" s="139"/>
      <c r="AN3703" s="139"/>
      <c r="AO3703" s="139"/>
      <c r="AP3703" s="139"/>
      <c r="AQ3703" s="174"/>
      <c r="AR3703" s="222"/>
    </row>
  </sheetData>
  <sortState xmlns:xlrd2="http://schemas.microsoft.com/office/spreadsheetml/2017/richdata2" ref="C8:W8">
    <sortCondition ref="D8"/>
    <sortCondition ref="C8"/>
  </sortState>
  <mergeCells count="1">
    <mergeCell ref="B2:C6"/>
  </mergeCells>
  <phoneticPr fontId="1" type="noConversion"/>
  <conditionalFormatting sqref="AB7 AB8:AC1048576">
    <cfRule type="notContainsBlanks" dxfId="49" priority="8">
      <formula>LEN(TRIM(AB7))&gt;0</formula>
    </cfRule>
  </conditionalFormatting>
  <dataValidations count="6">
    <dataValidation type="list" allowBlank="1" showInputMessage="1" showErrorMessage="1" sqref="W1" xr:uid="{F53D7E9C-22A3-4837-948E-E6A287DE2B11}">
      <formula1>"颐景园,华绣路寝室,绿园一村,上大聚丰园,公司,柳州老家,借出"</formula1>
    </dataValidation>
    <dataValidation allowBlank="1" showInputMessage="1" showErrorMessage="1" prompt="作者包括原著作者、重要编著者、绘者、插图、配图、摄影、批评、整理、古籍点校/辑/撰/译/注。" sqref="H7" xr:uid="{DCDA2369-5ECD-4334-BDBF-EB37B5ABEBBD}"/>
    <dataValidation allowBlank="1" showInputMessage="1" showErrorMessage="1" prompt="译者包括国外原著的译者、校对者，也包括补译和重译者，但不包括中国古籍的译者。" sqref="I7" xr:uid="{B1E22ACB-BCF0-49D0-BA60-458F794FE85F}"/>
    <dataValidation type="list" allowBlank="1" showInputMessage="1" showErrorMessage="1" sqref="V1:V6 V33:V1048576" xr:uid="{0549F11B-43BA-4ABB-BE5A-19998DAE9716}">
      <formula1>"颐景园,奥林匹克花园,华鑫天地,交大七宝,待确定,柳州老家,借出"</formula1>
    </dataValidation>
    <dataValidation type="list" allowBlank="1" showInputMessage="1" showErrorMessage="1" sqref="V16:V23" xr:uid="{ACE867A7-E994-4D7A-8D48-2EBD7B227002}">
      <formula1>"颐景园,绿地汇中心,交大七宝,待确定,柳州老家,借出"</formula1>
    </dataValidation>
    <dataValidation type="list" allowBlank="1" showInputMessage="1" showErrorMessage="1" sqref="V8:V15 V24:V32" xr:uid="{FFBCBA44-D278-4007-81EA-A13EBCE85D05}">
      <formula1>"家,学校"</formula1>
    </dataValidation>
  </dataValidations>
  <pageMargins left="0.7" right="0.7" top="0.75" bottom="0.75" header="0.3" footer="0.3"/>
  <pageSetup paperSize="9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FBD9D-D286-4000-937D-9321768113C0}">
  <dimension ref="A1"/>
  <sheetViews>
    <sheetView topLeftCell="A1048576" workbookViewId="0">
      <selection sqref="A1:XFD1048576"/>
    </sheetView>
  </sheetViews>
  <sheetFormatPr defaultRowHeight="13.8" zeroHeight="1" x14ac:dyDescent="0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2"/>
  <dimension ref="A1:P46"/>
  <sheetViews>
    <sheetView tabSelected="1" zoomScale="85" zoomScaleNormal="85" workbookViewId="0">
      <selection activeCell="G20" sqref="G20"/>
    </sheetView>
  </sheetViews>
  <sheetFormatPr defaultColWidth="10.6640625" defaultRowHeight="18" customHeight="1" x14ac:dyDescent="0.25"/>
  <cols>
    <col min="1" max="1" width="6.6640625" style="15" customWidth="1"/>
    <col min="2" max="2" width="10.6640625" style="15"/>
    <col min="3" max="3" width="10.6640625" style="47"/>
    <col min="4" max="4" width="10.6640625" style="57"/>
    <col min="5" max="6" width="10.6640625" style="15"/>
    <col min="7" max="7" width="11.77734375" style="15" bestFit="1" customWidth="1"/>
    <col min="8" max="16384" width="10.6640625" style="15"/>
  </cols>
  <sheetData>
    <row r="1" spans="2:16" s="153" customFormat="1" ht="18" customHeight="1" x14ac:dyDescent="0.25">
      <c r="C1" s="154"/>
    </row>
    <row r="2" spans="2:16" s="153" customFormat="1" ht="18" customHeight="1" x14ac:dyDescent="0.25">
      <c r="C2" s="154"/>
    </row>
    <row r="3" spans="2:16" s="153" customFormat="1" ht="18" customHeight="1" x14ac:dyDescent="0.25">
      <c r="C3" s="154"/>
    </row>
    <row r="4" spans="2:16" s="153" customFormat="1" ht="18" customHeight="1" x14ac:dyDescent="0.25">
      <c r="C4" s="154"/>
    </row>
    <row r="5" spans="2:16" s="153" customFormat="1" ht="18" customHeight="1" x14ac:dyDescent="0.25">
      <c r="C5" s="154"/>
    </row>
    <row r="6" spans="2:16" s="153" customFormat="1" ht="18" customHeight="1" x14ac:dyDescent="0.25">
      <c r="B6" s="153" t="s">
        <v>160</v>
      </c>
      <c r="C6" s="154" t="s">
        <v>161</v>
      </c>
      <c r="D6" s="154" t="s">
        <v>191</v>
      </c>
      <c r="F6" s="153" t="s">
        <v>159</v>
      </c>
      <c r="G6" s="153" t="s">
        <v>158</v>
      </c>
      <c r="H6" s="153" t="s">
        <v>150</v>
      </c>
      <c r="I6" s="153" t="s">
        <v>18</v>
      </c>
      <c r="K6" s="153" t="s">
        <v>149</v>
      </c>
      <c r="L6" s="153" t="s">
        <v>148</v>
      </c>
      <c r="M6" s="153" t="s">
        <v>157</v>
      </c>
    </row>
    <row r="7" spans="2:16" s="153" customFormat="1" ht="18" customHeight="1" x14ac:dyDescent="0.25">
      <c r="B7" s="171">
        <f>COUNTA(书库!C:C)-1</f>
        <v>8</v>
      </c>
      <c r="C7" s="171">
        <f>SUM(书库!X:X)</f>
        <v>8</v>
      </c>
      <c r="D7" s="171">
        <f>COUNTA(系列!C:C)-1</f>
        <v>1</v>
      </c>
      <c r="F7" s="172">
        <f>SUM(书库!T:T)</f>
        <v>160</v>
      </c>
      <c r="G7" s="172">
        <f>SUM(书库!S:S)</f>
        <v>320</v>
      </c>
      <c r="H7" s="173">
        <f>F7/C7</f>
        <v>20</v>
      </c>
      <c r="I7" s="153" t="str">
        <f>ROUND(F7/G7*10,2)&amp;"折"</f>
        <v>5折</v>
      </c>
      <c r="K7" s="171">
        <f>SUMIF(书库!W:W,"塑封未拆",书库!X:X)</f>
        <v>0</v>
      </c>
      <c r="L7" s="171">
        <f>SUMIF(书库!W:W,"*换货*",书库!X:X)</f>
        <v>0</v>
      </c>
      <c r="M7" s="171">
        <f>SUMIF(书库!W:W,"*"&amp;"禁书"&amp;"*",书库!X:X)+SUMIF(书库!W:W,"*"&amp;"下架"&amp;"*",书库!X:X)+SUMIF(书库!W:W,"*"&amp;"不再发货"&amp;"*",书库!X:X)+SUMIF(书库!W:W,"*"&amp;"不再加印"&amp;"*",书库!X:X)</f>
        <v>0</v>
      </c>
    </row>
    <row r="9" spans="2:16" ht="18" customHeight="1" x14ac:dyDescent="0.25">
      <c r="B9" s="57"/>
      <c r="F9" s="47"/>
    </row>
    <row r="11" spans="2:16" ht="18" customHeight="1" x14ac:dyDescent="0.25">
      <c r="O11" s="106"/>
      <c r="P11" s="100"/>
    </row>
    <row r="14" spans="2:16" ht="18" customHeight="1" x14ac:dyDescent="0.25">
      <c r="B14" s="153" t="s">
        <v>156</v>
      </c>
      <c r="C14" s="153" t="s">
        <v>219</v>
      </c>
      <c r="D14" s="153" t="s">
        <v>162</v>
      </c>
      <c r="E14" s="153"/>
      <c r="F14" s="153" t="s">
        <v>187</v>
      </c>
      <c r="G14" s="153" t="s">
        <v>113</v>
      </c>
      <c r="H14" s="153" t="s">
        <v>174</v>
      </c>
      <c r="I14" s="153" t="s">
        <v>173</v>
      </c>
      <c r="K14" s="153" t="s">
        <v>112</v>
      </c>
      <c r="M14" s="153" t="s">
        <v>175</v>
      </c>
    </row>
    <row r="15" spans="2:16" ht="18" customHeight="1" x14ac:dyDescent="0.25">
      <c r="B15" s="179">
        <f>SUMIF(书库!H:H,"*(*)*",书库!X:X)</f>
        <v>1</v>
      </c>
      <c r="C15" s="179">
        <f>SUMIF(书库!W:W,"*港版*",书库!X:X)+SUMIF(书库!W:W,"*香港原版*",书库!X:X)+SUMIF(书库!W:W,"*台版*",书库!X:X)+SUMIF(书库!W:W,"*台湾原版*",书库!X:X)+SUMIF(书库!W:W,"*新加坡版*",书库!X:X)+SUMIF(书库!W:W,"*新加坡原版*",书库!X:X)</f>
        <v>0</v>
      </c>
      <c r="D15" s="171">
        <f>SUMIF(书库!W:W,"*原版*",书库!X:X)</f>
        <v>0</v>
      </c>
      <c r="E15" s="153"/>
      <c r="F15" s="171">
        <f t="array" ref="F15">SUM(IF(书库!J:J=书库!K:K,1))-COUNTBLANK(书库!J:J)+COUNTIF(书库!Z:Z,"*一版一印*")</f>
        <v>0</v>
      </c>
      <c r="G15" s="171">
        <f>SUMIF(书库!W:W,"*签名*",书库!X:X)</f>
        <v>0</v>
      </c>
      <c r="H15" s="171">
        <f>COUNTIF(书库!W:W,"*钤印*")</f>
        <v>0</v>
      </c>
      <c r="I15" s="171">
        <f>COUNTIF(书库!W:W,"*藏书票*")</f>
        <v>0</v>
      </c>
      <c r="K15" s="171">
        <f>SUMIF(书库!O:O,"*竖排繁体*",书库!X:X)</f>
        <v>0</v>
      </c>
      <c r="M15" s="171">
        <f>SUMIF(书库!W:W,"*国家出版基金项目*",书库!X:X)</f>
        <v>0</v>
      </c>
    </row>
    <row r="19" spans="1:5" ht="18" customHeight="1" x14ac:dyDescent="0.25">
      <c r="E19" s="47"/>
    </row>
    <row r="20" spans="1:5" ht="18" customHeight="1" x14ac:dyDescent="0.25">
      <c r="B20" s="57"/>
      <c r="D20" s="47"/>
      <c r="E20" s="47"/>
    </row>
    <row r="21" spans="1:5" ht="18" customHeight="1" x14ac:dyDescent="0.25">
      <c r="B21" s="57"/>
      <c r="C21" s="15"/>
      <c r="D21" s="15"/>
    </row>
    <row r="25" spans="1:5" ht="18" customHeight="1" x14ac:dyDescent="0.25">
      <c r="A25" s="104"/>
    </row>
    <row r="26" spans="1:5" ht="18" customHeight="1" x14ac:dyDescent="0.25">
      <c r="A26" s="104"/>
    </row>
    <row r="27" spans="1:5" ht="18" customHeight="1" x14ac:dyDescent="0.25">
      <c r="A27" s="105"/>
      <c r="C27" s="15"/>
      <c r="D27" s="15"/>
    </row>
    <row r="28" spans="1:5" ht="18" customHeight="1" x14ac:dyDescent="0.25">
      <c r="A28" s="105"/>
      <c r="C28" s="15"/>
      <c r="D28" s="15"/>
    </row>
    <row r="29" spans="1:5" ht="18" customHeight="1" x14ac:dyDescent="0.25">
      <c r="A29" s="105"/>
      <c r="C29" s="15"/>
      <c r="D29" s="15"/>
    </row>
    <row r="30" spans="1:5" ht="18" customHeight="1" x14ac:dyDescent="0.25">
      <c r="A30" s="105"/>
      <c r="C30" s="15"/>
      <c r="D30" s="15"/>
    </row>
    <row r="31" spans="1:5" ht="18" customHeight="1" x14ac:dyDescent="0.25">
      <c r="C31" s="15"/>
      <c r="D31" s="15"/>
    </row>
    <row r="32" spans="1:5" ht="18" customHeight="1" x14ac:dyDescent="0.25">
      <c r="C32" s="15"/>
      <c r="D32" s="15"/>
    </row>
    <row r="33" spans="3:4" ht="18" customHeight="1" x14ac:dyDescent="0.25">
      <c r="C33" s="15"/>
      <c r="D33" s="15"/>
    </row>
    <row r="34" spans="3:4" ht="18" customHeight="1" x14ac:dyDescent="0.25">
      <c r="C34" s="15"/>
      <c r="D34" s="15"/>
    </row>
    <row r="35" spans="3:4" ht="18" customHeight="1" x14ac:dyDescent="0.25">
      <c r="C35" s="15"/>
      <c r="D35" s="15"/>
    </row>
    <row r="36" spans="3:4" ht="18" customHeight="1" x14ac:dyDescent="0.25">
      <c r="C36" s="15"/>
      <c r="D36" s="15"/>
    </row>
    <row r="37" spans="3:4" ht="18" customHeight="1" x14ac:dyDescent="0.25">
      <c r="C37" s="15"/>
      <c r="D37" s="15"/>
    </row>
    <row r="38" spans="3:4" ht="18" customHeight="1" x14ac:dyDescent="0.25">
      <c r="C38" s="15"/>
      <c r="D38" s="15"/>
    </row>
    <row r="39" spans="3:4" ht="18" customHeight="1" x14ac:dyDescent="0.25">
      <c r="C39" s="15"/>
      <c r="D39" s="15"/>
    </row>
    <row r="40" spans="3:4" ht="18" customHeight="1" x14ac:dyDescent="0.25">
      <c r="C40" s="15"/>
      <c r="D40" s="15"/>
    </row>
    <row r="41" spans="3:4" ht="18" customHeight="1" x14ac:dyDescent="0.25">
      <c r="C41" s="15"/>
    </row>
    <row r="42" spans="3:4" ht="18" customHeight="1" x14ac:dyDescent="0.25">
      <c r="C42" s="15"/>
    </row>
    <row r="43" spans="3:4" ht="18" customHeight="1" x14ac:dyDescent="0.25">
      <c r="C43" s="15"/>
    </row>
    <row r="44" spans="3:4" ht="18" customHeight="1" x14ac:dyDescent="0.25">
      <c r="C44" s="15"/>
    </row>
    <row r="45" spans="3:4" ht="18" customHeight="1" x14ac:dyDescent="0.25">
      <c r="C45" s="15"/>
    </row>
    <row r="46" spans="3:4" ht="18" customHeight="1" x14ac:dyDescent="0.25">
      <c r="C46" s="15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D360B-AA95-414A-8CB7-4CB69A431AC2}">
  <dimension ref="A1:A4"/>
  <sheetViews>
    <sheetView workbookViewId="0"/>
  </sheetViews>
  <sheetFormatPr defaultRowHeight="13.8" x14ac:dyDescent="0.25"/>
  <cols>
    <col min="1" max="1" width="38.21875" style="424" customWidth="1"/>
    <col min="2" max="16384" width="8.88671875" style="424"/>
  </cols>
  <sheetData>
    <row r="1" spans="1:1" ht="35.4" customHeight="1" x14ac:dyDescent="0.25">
      <c r="A1" s="424" t="s">
        <v>256</v>
      </c>
    </row>
    <row r="4" spans="1:1" ht="13.2" customHeight="1" x14ac:dyDescent="0.25"/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04"/>
  <dimension ref="B2:V241"/>
  <sheetViews>
    <sheetView zoomScale="85" zoomScaleNormal="85" workbookViewId="0">
      <pane ySplit="5" topLeftCell="A6" activePane="bottomLeft" state="frozen"/>
      <selection pane="bottomLeft"/>
    </sheetView>
  </sheetViews>
  <sheetFormatPr defaultColWidth="9" defaultRowHeight="18" customHeight="1" x14ac:dyDescent="0.25"/>
  <cols>
    <col min="1" max="1" width="3.6640625" style="47" customWidth="1"/>
    <col min="2" max="2" width="5.21875" style="48" bestFit="1" customWidth="1"/>
    <col min="3" max="3" width="12.109375" style="47" bestFit="1" customWidth="1"/>
    <col min="4" max="5" width="6" style="47" bestFit="1" customWidth="1"/>
    <col min="6" max="8" width="10.21875" style="47" bestFit="1" customWidth="1"/>
    <col min="9" max="16384" width="9" style="47"/>
  </cols>
  <sheetData>
    <row r="2" spans="2:22" s="46" customFormat="1" ht="18" customHeight="1" x14ac:dyDescent="0.25">
      <c r="B2" s="351" t="s">
        <v>151</v>
      </c>
      <c r="C2" s="352"/>
      <c r="D2" s="352"/>
      <c r="E2" s="352"/>
      <c r="F2" s="352"/>
      <c r="G2" s="49"/>
      <c r="H2" s="52"/>
      <c r="Q2" s="47"/>
      <c r="R2" s="47"/>
      <c r="S2" s="47"/>
      <c r="T2" s="47"/>
      <c r="U2" s="47"/>
      <c r="V2" s="47"/>
    </row>
    <row r="3" spans="2:22" ht="18" customHeight="1" x14ac:dyDescent="0.25">
      <c r="B3" s="353"/>
      <c r="C3" s="354"/>
      <c r="D3" s="354"/>
      <c r="E3" s="354"/>
      <c r="F3" s="354"/>
      <c r="G3" s="50" t="s">
        <v>122</v>
      </c>
      <c r="H3" s="54">
        <f>COUNTA(C:C)-1</f>
        <v>2</v>
      </c>
    </row>
    <row r="4" spans="2:22" ht="18" customHeight="1" x14ac:dyDescent="0.25">
      <c r="B4" s="355"/>
      <c r="C4" s="356"/>
      <c r="D4" s="356"/>
      <c r="E4" s="356"/>
      <c r="F4" s="356"/>
      <c r="G4" s="51"/>
      <c r="H4" s="53"/>
    </row>
    <row r="5" spans="2:22" ht="13.8" x14ac:dyDescent="0.25">
      <c r="B5" s="29" t="s">
        <v>123</v>
      </c>
      <c r="C5" s="11" t="s">
        <v>0</v>
      </c>
      <c r="D5" s="38" t="s">
        <v>118</v>
      </c>
      <c r="E5" s="38" t="s">
        <v>117</v>
      </c>
      <c r="F5" s="305" t="s">
        <v>127</v>
      </c>
      <c r="G5" s="306" t="s">
        <v>120</v>
      </c>
      <c r="H5" s="55" t="s">
        <v>128</v>
      </c>
    </row>
    <row r="6" spans="2:22" ht="18" customHeight="1" x14ac:dyDescent="0.25">
      <c r="B6" s="42">
        <f>ROW(A1)</f>
        <v>1</v>
      </c>
      <c r="C6" s="30" t="s">
        <v>42</v>
      </c>
      <c r="D6" s="32">
        <v>8</v>
      </c>
      <c r="E6" s="32">
        <v>8</v>
      </c>
      <c r="F6" s="304">
        <v>160</v>
      </c>
      <c r="G6" s="304">
        <v>20</v>
      </c>
      <c r="H6" s="34">
        <v>5</v>
      </c>
    </row>
    <row r="7" spans="2:22" ht="18" customHeight="1" x14ac:dyDescent="0.25">
      <c r="B7" s="42">
        <f>ROW(A2)</f>
        <v>2</v>
      </c>
      <c r="C7" s="30" t="s">
        <v>186</v>
      </c>
      <c r="D7" s="32"/>
      <c r="E7" s="32"/>
      <c r="F7" s="304"/>
      <c r="G7" s="304" t="e">
        <v>#DIV/0!</v>
      </c>
      <c r="H7" s="34" t="e">
        <v>#DIV/0!</v>
      </c>
    </row>
    <row r="8" spans="2:22" ht="18" customHeight="1" x14ac:dyDescent="0.25">
      <c r="B8" s="42"/>
      <c r="C8"/>
      <c r="D8"/>
      <c r="E8"/>
      <c r="F8"/>
      <c r="G8"/>
      <c r="H8"/>
    </row>
    <row r="9" spans="2:22" ht="18" customHeight="1" x14ac:dyDescent="0.25">
      <c r="B9" s="42"/>
      <c r="C9"/>
      <c r="D9"/>
      <c r="E9"/>
      <c r="F9"/>
      <c r="G9"/>
      <c r="H9"/>
    </row>
    <row r="10" spans="2:22" ht="18" customHeight="1" x14ac:dyDescent="0.25">
      <c r="B10" s="44"/>
      <c r="C10"/>
      <c r="D10"/>
      <c r="E10"/>
      <c r="F10"/>
      <c r="G10"/>
      <c r="H10"/>
    </row>
    <row r="11" spans="2:22" ht="18" customHeight="1" x14ac:dyDescent="0.25">
      <c r="B11" s="42"/>
      <c r="C11" s="120"/>
      <c r="D11"/>
      <c r="E11"/>
      <c r="F11"/>
      <c r="G11"/>
      <c r="H11"/>
    </row>
    <row r="12" spans="2:22" ht="18" customHeight="1" x14ac:dyDescent="0.25">
      <c r="B12" s="42"/>
      <c r="C12" s="120"/>
      <c r="D12"/>
      <c r="E12"/>
      <c r="F12"/>
      <c r="G12"/>
      <c r="H12"/>
    </row>
    <row r="13" spans="2:22" ht="18" customHeight="1" x14ac:dyDescent="0.25">
      <c r="B13" s="42"/>
      <c r="C13" s="120"/>
      <c r="D13"/>
      <c r="E13"/>
      <c r="F13"/>
      <c r="G13"/>
      <c r="H13"/>
    </row>
    <row r="14" spans="2:22" ht="18" customHeight="1" x14ac:dyDescent="0.25">
      <c r="B14" s="42"/>
      <c r="C14" s="120"/>
      <c r="D14"/>
      <c r="E14"/>
      <c r="F14"/>
      <c r="G14"/>
      <c r="H14"/>
    </row>
    <row r="15" spans="2:22" ht="18" customHeight="1" x14ac:dyDescent="0.25">
      <c r="B15" s="42"/>
      <c r="C15" s="120"/>
      <c r="D15"/>
      <c r="E15"/>
      <c r="F15"/>
      <c r="G15"/>
      <c r="H15"/>
    </row>
    <row r="16" spans="2:22" ht="18" customHeight="1" x14ac:dyDescent="0.25">
      <c r="B16" s="42"/>
      <c r="C16" s="120"/>
      <c r="D16"/>
      <c r="E16"/>
      <c r="F16"/>
      <c r="G16"/>
      <c r="H16"/>
    </row>
    <row r="17" spans="2:8" ht="18" customHeight="1" x14ac:dyDescent="0.25">
      <c r="B17" s="42"/>
      <c r="C17" s="120"/>
      <c r="D17"/>
      <c r="E17"/>
      <c r="F17"/>
      <c r="G17"/>
      <c r="H17"/>
    </row>
    <row r="18" spans="2:8" ht="18" customHeight="1" x14ac:dyDescent="0.25">
      <c r="B18" s="42"/>
      <c r="C18" s="120"/>
      <c r="D18"/>
      <c r="E18"/>
      <c r="F18"/>
      <c r="G18"/>
      <c r="H18"/>
    </row>
    <row r="19" spans="2:8" ht="18" customHeight="1" x14ac:dyDescent="0.25">
      <c r="B19" s="42"/>
      <c r="C19" s="120"/>
      <c r="D19"/>
      <c r="E19"/>
      <c r="F19"/>
      <c r="G19"/>
      <c r="H19"/>
    </row>
    <row r="20" spans="2:8" ht="18" customHeight="1" x14ac:dyDescent="0.25">
      <c r="B20" s="42"/>
      <c r="C20" s="120"/>
      <c r="D20"/>
      <c r="E20"/>
      <c r="F20"/>
      <c r="G20"/>
      <c r="H20"/>
    </row>
    <row r="21" spans="2:8" ht="18" customHeight="1" x14ac:dyDescent="0.25">
      <c r="B21" s="42"/>
      <c r="C21" s="120"/>
      <c r="D21"/>
      <c r="E21"/>
      <c r="F21"/>
      <c r="G21"/>
      <c r="H21"/>
    </row>
    <row r="22" spans="2:8" ht="18" customHeight="1" x14ac:dyDescent="0.25">
      <c r="B22" s="42"/>
      <c r="C22" s="120"/>
      <c r="D22"/>
      <c r="E22"/>
      <c r="F22"/>
      <c r="G22"/>
      <c r="H22"/>
    </row>
    <row r="23" spans="2:8" ht="18" customHeight="1" x14ac:dyDescent="0.25">
      <c r="B23" s="45"/>
      <c r="C23"/>
      <c r="D23"/>
      <c r="E23"/>
      <c r="F23"/>
      <c r="G23"/>
      <c r="H23"/>
    </row>
    <row r="24" spans="2:8" ht="18" customHeight="1" x14ac:dyDescent="0.25">
      <c r="B24" s="45"/>
      <c r="C24"/>
      <c r="D24"/>
      <c r="E24"/>
      <c r="F24"/>
      <c r="G24"/>
      <c r="H24"/>
    </row>
    <row r="25" spans="2:8" ht="18" customHeight="1" x14ac:dyDescent="0.25">
      <c r="B25" s="45"/>
      <c r="C25"/>
      <c r="D25"/>
      <c r="E25"/>
      <c r="F25"/>
      <c r="G25"/>
      <c r="H25"/>
    </row>
    <row r="26" spans="2:8" ht="18" customHeight="1" x14ac:dyDescent="0.25">
      <c r="B26" s="45"/>
      <c r="C26"/>
      <c r="D26"/>
      <c r="E26"/>
      <c r="F26"/>
      <c r="G26"/>
      <c r="H26"/>
    </row>
    <row r="27" spans="2:8" ht="18" customHeight="1" x14ac:dyDescent="0.25">
      <c r="B27" s="45"/>
      <c r="C27"/>
      <c r="D27"/>
      <c r="E27"/>
      <c r="F27"/>
      <c r="G27"/>
      <c r="H27"/>
    </row>
    <row r="28" spans="2:8" ht="18" customHeight="1" x14ac:dyDescent="0.25">
      <c r="C28"/>
      <c r="D28"/>
      <c r="E28"/>
      <c r="F28"/>
      <c r="G28"/>
      <c r="H28"/>
    </row>
    <row r="29" spans="2:8" ht="18" customHeight="1" x14ac:dyDescent="0.25">
      <c r="B29" s="48">
        <f>ROW(A24)</f>
        <v>24</v>
      </c>
      <c r="C29"/>
      <c r="D29"/>
      <c r="E29"/>
      <c r="F29"/>
      <c r="G29"/>
      <c r="H29"/>
    </row>
    <row r="30" spans="2:8" ht="18" customHeight="1" x14ac:dyDescent="0.25">
      <c r="B30" s="48">
        <f>ROW(A25)</f>
        <v>25</v>
      </c>
      <c r="C30"/>
      <c r="D30"/>
      <c r="E30"/>
      <c r="F30"/>
      <c r="G30"/>
      <c r="H30"/>
    </row>
    <row r="31" spans="2:8" ht="18" customHeight="1" x14ac:dyDescent="0.25">
      <c r="B31" s="48">
        <f>ROW(A26)</f>
        <v>26</v>
      </c>
      <c r="C31"/>
      <c r="D31"/>
      <c r="E31"/>
      <c r="F31"/>
      <c r="G31"/>
      <c r="H31"/>
    </row>
    <row r="32" spans="2:8" ht="18" customHeight="1" x14ac:dyDescent="0.25">
      <c r="B32" s="48">
        <f>ROW(A27)</f>
        <v>27</v>
      </c>
      <c r="C32"/>
      <c r="D32"/>
      <c r="E32"/>
      <c r="F32"/>
      <c r="G32"/>
      <c r="H32"/>
    </row>
    <row r="33" spans="2:8" ht="18" customHeight="1" x14ac:dyDescent="0.25">
      <c r="B33" s="48">
        <f>ROW(A28)</f>
        <v>28</v>
      </c>
      <c r="C33"/>
      <c r="D33"/>
      <c r="E33"/>
      <c r="F33"/>
      <c r="G33"/>
      <c r="H33"/>
    </row>
    <row r="34" spans="2:8" ht="18" customHeight="1" x14ac:dyDescent="0.25">
      <c r="B34" s="48">
        <f>ROW(A29)</f>
        <v>29</v>
      </c>
      <c r="C34"/>
      <c r="D34"/>
      <c r="E34"/>
      <c r="F34"/>
      <c r="G34"/>
      <c r="H34"/>
    </row>
    <row r="35" spans="2:8" ht="18" customHeight="1" x14ac:dyDescent="0.25">
      <c r="B35" s="48">
        <f>ROW(A30)</f>
        <v>30</v>
      </c>
      <c r="C35"/>
      <c r="D35"/>
      <c r="E35"/>
      <c r="F35"/>
      <c r="G35"/>
      <c r="H35"/>
    </row>
    <row r="36" spans="2:8" ht="18" customHeight="1" x14ac:dyDescent="0.25">
      <c r="B36" s="48">
        <f>ROW(A31)</f>
        <v>31</v>
      </c>
      <c r="C36"/>
      <c r="D36"/>
      <c r="E36"/>
      <c r="F36"/>
      <c r="G36"/>
      <c r="H36"/>
    </row>
    <row r="37" spans="2:8" ht="18" customHeight="1" x14ac:dyDescent="0.25">
      <c r="B37" s="48">
        <f>ROW(A32)</f>
        <v>32</v>
      </c>
      <c r="C37"/>
      <c r="D37"/>
      <c r="E37"/>
      <c r="F37"/>
      <c r="G37"/>
      <c r="H37"/>
    </row>
    <row r="38" spans="2:8" ht="18" customHeight="1" x14ac:dyDescent="0.25">
      <c r="B38" s="48">
        <f>ROW(A33)</f>
        <v>33</v>
      </c>
      <c r="C38"/>
      <c r="D38"/>
      <c r="E38"/>
      <c r="F38"/>
      <c r="G38"/>
      <c r="H38"/>
    </row>
    <row r="39" spans="2:8" ht="18" customHeight="1" x14ac:dyDescent="0.25">
      <c r="B39" s="48">
        <f>ROW(A34)</f>
        <v>34</v>
      </c>
      <c r="C39"/>
      <c r="D39"/>
      <c r="E39"/>
      <c r="F39"/>
      <c r="G39"/>
      <c r="H39"/>
    </row>
    <row r="40" spans="2:8" ht="18" customHeight="1" x14ac:dyDescent="0.25">
      <c r="B40" s="48">
        <f>ROW(A35)</f>
        <v>35</v>
      </c>
      <c r="C40"/>
      <c r="D40"/>
      <c r="E40"/>
      <c r="F40"/>
      <c r="G40"/>
      <c r="H40"/>
    </row>
    <row r="41" spans="2:8" ht="18" customHeight="1" x14ac:dyDescent="0.25">
      <c r="B41" s="48">
        <f>ROW(A36)</f>
        <v>36</v>
      </c>
      <c r="C41"/>
      <c r="D41"/>
      <c r="E41"/>
      <c r="F41"/>
      <c r="G41"/>
      <c r="H41"/>
    </row>
    <row r="42" spans="2:8" ht="18" customHeight="1" x14ac:dyDescent="0.25">
      <c r="B42" s="48">
        <f>ROW(A37)</f>
        <v>37</v>
      </c>
      <c r="C42"/>
      <c r="D42"/>
      <c r="E42"/>
      <c r="F42"/>
      <c r="G42"/>
      <c r="H42"/>
    </row>
    <row r="43" spans="2:8" ht="18" customHeight="1" x14ac:dyDescent="0.25">
      <c r="B43" s="48">
        <f>ROW(A38)</f>
        <v>38</v>
      </c>
      <c r="C43"/>
      <c r="D43"/>
      <c r="E43"/>
      <c r="F43"/>
      <c r="G43"/>
      <c r="H43"/>
    </row>
    <row r="44" spans="2:8" ht="18" customHeight="1" x14ac:dyDescent="0.25">
      <c r="B44" s="48">
        <f>ROW(A39)</f>
        <v>39</v>
      </c>
      <c r="C44"/>
      <c r="D44"/>
      <c r="E44"/>
      <c r="F44"/>
      <c r="G44"/>
      <c r="H44"/>
    </row>
    <row r="45" spans="2:8" ht="18" customHeight="1" x14ac:dyDescent="0.25">
      <c r="B45" s="48">
        <f>ROW(A40)</f>
        <v>40</v>
      </c>
      <c r="C45"/>
      <c r="D45"/>
      <c r="E45"/>
      <c r="F45"/>
      <c r="G45"/>
      <c r="H45"/>
    </row>
    <row r="46" spans="2:8" ht="18" customHeight="1" x14ac:dyDescent="0.25">
      <c r="B46" s="48">
        <f>ROW(A41)</f>
        <v>41</v>
      </c>
      <c r="C46"/>
      <c r="D46"/>
      <c r="E46"/>
      <c r="F46"/>
      <c r="G46"/>
      <c r="H46"/>
    </row>
    <row r="47" spans="2:8" ht="18" customHeight="1" x14ac:dyDescent="0.25">
      <c r="B47" s="48">
        <f>ROW(A42)</f>
        <v>42</v>
      </c>
      <c r="C47"/>
      <c r="D47"/>
      <c r="E47"/>
      <c r="F47"/>
      <c r="G47"/>
      <c r="H47"/>
    </row>
    <row r="48" spans="2:8" ht="18" customHeight="1" x14ac:dyDescent="0.25">
      <c r="B48" s="48">
        <f>ROW(A43)</f>
        <v>43</v>
      </c>
      <c r="C48"/>
      <c r="D48"/>
      <c r="E48"/>
      <c r="F48"/>
      <c r="G48"/>
      <c r="H48"/>
    </row>
    <row r="49" spans="2:8" ht="18" customHeight="1" x14ac:dyDescent="0.25">
      <c r="B49" s="48">
        <f>ROW(A44)</f>
        <v>44</v>
      </c>
      <c r="C49"/>
      <c r="D49"/>
      <c r="E49"/>
      <c r="F49"/>
      <c r="G49"/>
      <c r="H49"/>
    </row>
    <row r="50" spans="2:8" ht="18" customHeight="1" x14ac:dyDescent="0.25">
      <c r="B50" s="48">
        <f>ROW(A45)</f>
        <v>45</v>
      </c>
      <c r="C50"/>
      <c r="D50"/>
      <c r="E50"/>
      <c r="F50"/>
      <c r="G50"/>
      <c r="H50"/>
    </row>
    <row r="51" spans="2:8" ht="18" customHeight="1" x14ac:dyDescent="0.25">
      <c r="B51" s="48">
        <f>ROW(A46)</f>
        <v>46</v>
      </c>
      <c r="C51"/>
      <c r="D51"/>
      <c r="E51"/>
      <c r="F51"/>
      <c r="G51"/>
      <c r="H51"/>
    </row>
    <row r="52" spans="2:8" ht="18" customHeight="1" x14ac:dyDescent="0.25">
      <c r="B52" s="48">
        <f>ROW(A47)</f>
        <v>47</v>
      </c>
      <c r="C52"/>
      <c r="D52"/>
      <c r="E52"/>
      <c r="F52"/>
      <c r="G52"/>
      <c r="H52"/>
    </row>
    <row r="53" spans="2:8" ht="18" customHeight="1" x14ac:dyDescent="0.25">
      <c r="B53" s="48">
        <f>ROW(A48)</f>
        <v>48</v>
      </c>
      <c r="C53"/>
      <c r="D53"/>
      <c r="E53"/>
      <c r="F53"/>
      <c r="G53"/>
      <c r="H53"/>
    </row>
    <row r="54" spans="2:8" ht="18" customHeight="1" x14ac:dyDescent="0.25">
      <c r="B54" s="48">
        <f>ROW(A49)</f>
        <v>49</v>
      </c>
      <c r="C54"/>
      <c r="D54"/>
      <c r="E54"/>
      <c r="F54"/>
      <c r="G54"/>
      <c r="H54"/>
    </row>
    <row r="55" spans="2:8" ht="18" customHeight="1" x14ac:dyDescent="0.25">
      <c r="B55" s="48">
        <f>ROW(A50)</f>
        <v>50</v>
      </c>
      <c r="C55"/>
      <c r="D55"/>
      <c r="E55"/>
      <c r="F55"/>
      <c r="G55"/>
      <c r="H55"/>
    </row>
    <row r="56" spans="2:8" ht="18" customHeight="1" x14ac:dyDescent="0.25">
      <c r="B56" s="48">
        <f>ROW(A51)</f>
        <v>51</v>
      </c>
      <c r="C56"/>
      <c r="D56"/>
      <c r="E56"/>
      <c r="F56"/>
      <c r="G56"/>
      <c r="H56"/>
    </row>
    <row r="57" spans="2:8" ht="18" customHeight="1" x14ac:dyDescent="0.25">
      <c r="B57" s="48">
        <f>ROW(A52)</f>
        <v>52</v>
      </c>
      <c r="C57"/>
      <c r="D57"/>
      <c r="E57"/>
      <c r="F57"/>
      <c r="G57"/>
      <c r="H57"/>
    </row>
    <row r="58" spans="2:8" ht="18" customHeight="1" x14ac:dyDescent="0.25">
      <c r="B58" s="48">
        <f>ROW(A53)</f>
        <v>53</v>
      </c>
      <c r="C58"/>
      <c r="D58"/>
      <c r="E58"/>
      <c r="F58"/>
      <c r="G58"/>
      <c r="H58"/>
    </row>
    <row r="59" spans="2:8" ht="18" customHeight="1" x14ac:dyDescent="0.25">
      <c r="B59" s="48">
        <f>ROW(A54)</f>
        <v>54</v>
      </c>
      <c r="C59"/>
      <c r="D59"/>
      <c r="E59"/>
      <c r="F59"/>
      <c r="G59"/>
      <c r="H59"/>
    </row>
    <row r="60" spans="2:8" ht="18" customHeight="1" x14ac:dyDescent="0.25">
      <c r="B60" s="48">
        <f>ROW(A55)</f>
        <v>55</v>
      </c>
      <c r="C60"/>
      <c r="D60"/>
      <c r="E60"/>
      <c r="F60"/>
      <c r="G60"/>
      <c r="H60"/>
    </row>
    <row r="61" spans="2:8" ht="18" customHeight="1" x14ac:dyDescent="0.25">
      <c r="B61" s="48">
        <f>ROW(A56)</f>
        <v>56</v>
      </c>
      <c r="C61"/>
      <c r="D61"/>
      <c r="E61"/>
      <c r="F61"/>
      <c r="G61"/>
      <c r="H61"/>
    </row>
    <row r="62" spans="2:8" ht="18" customHeight="1" x14ac:dyDescent="0.25">
      <c r="B62" s="48">
        <f>ROW(A57)</f>
        <v>57</v>
      </c>
      <c r="C62"/>
      <c r="D62"/>
      <c r="E62"/>
      <c r="F62"/>
      <c r="G62"/>
      <c r="H62"/>
    </row>
    <row r="63" spans="2:8" ht="18" customHeight="1" x14ac:dyDescent="0.25">
      <c r="B63" s="48">
        <f>ROW(A58)</f>
        <v>58</v>
      </c>
      <c r="C63"/>
      <c r="D63"/>
      <c r="E63"/>
      <c r="F63"/>
      <c r="G63"/>
      <c r="H63"/>
    </row>
    <row r="64" spans="2:8" ht="18" customHeight="1" x14ac:dyDescent="0.25">
      <c r="B64" s="48">
        <f>ROW(A59)</f>
        <v>59</v>
      </c>
      <c r="C64"/>
      <c r="D64"/>
      <c r="E64"/>
      <c r="F64"/>
      <c r="G64"/>
      <c r="H64"/>
    </row>
    <row r="65" spans="2:8" ht="18" customHeight="1" x14ac:dyDescent="0.25">
      <c r="B65" s="48">
        <f>ROW(A60)</f>
        <v>60</v>
      </c>
      <c r="C65"/>
      <c r="D65"/>
      <c r="E65"/>
      <c r="F65"/>
      <c r="G65"/>
      <c r="H65"/>
    </row>
    <row r="66" spans="2:8" ht="18" customHeight="1" x14ac:dyDescent="0.25">
      <c r="B66" s="48">
        <f>ROW(A61)</f>
        <v>61</v>
      </c>
      <c r="C66"/>
      <c r="D66"/>
      <c r="E66"/>
      <c r="F66"/>
      <c r="G66"/>
      <c r="H66"/>
    </row>
    <row r="67" spans="2:8" ht="18" customHeight="1" x14ac:dyDescent="0.25">
      <c r="B67" s="48">
        <f>ROW(A62)</f>
        <v>62</v>
      </c>
      <c r="C67"/>
      <c r="D67"/>
      <c r="E67"/>
      <c r="F67"/>
      <c r="G67"/>
      <c r="H67"/>
    </row>
    <row r="68" spans="2:8" ht="18" customHeight="1" x14ac:dyDescent="0.25">
      <c r="B68" s="48">
        <f>ROW(A63)</f>
        <v>63</v>
      </c>
      <c r="C68"/>
      <c r="D68"/>
      <c r="E68"/>
      <c r="F68"/>
      <c r="G68"/>
      <c r="H68"/>
    </row>
    <row r="69" spans="2:8" ht="18" customHeight="1" x14ac:dyDescent="0.25">
      <c r="B69" s="48">
        <f>ROW(A64)</f>
        <v>64</v>
      </c>
      <c r="C69"/>
      <c r="D69"/>
      <c r="E69"/>
      <c r="F69"/>
      <c r="G69"/>
      <c r="H69"/>
    </row>
    <row r="70" spans="2:8" ht="18" customHeight="1" x14ac:dyDescent="0.25">
      <c r="B70" s="48">
        <f>ROW(A65)</f>
        <v>65</v>
      </c>
      <c r="C70"/>
      <c r="D70"/>
      <c r="E70"/>
      <c r="F70"/>
      <c r="G70"/>
      <c r="H70"/>
    </row>
    <row r="71" spans="2:8" ht="18" customHeight="1" x14ac:dyDescent="0.25">
      <c r="B71" s="48">
        <f>ROW(A66)</f>
        <v>66</v>
      </c>
      <c r="C71"/>
      <c r="D71"/>
      <c r="E71"/>
      <c r="F71"/>
      <c r="G71"/>
      <c r="H71"/>
    </row>
    <row r="72" spans="2:8" ht="18" customHeight="1" x14ac:dyDescent="0.25">
      <c r="B72" s="48">
        <f>ROW(A67)</f>
        <v>67</v>
      </c>
      <c r="C72"/>
      <c r="D72"/>
      <c r="E72"/>
      <c r="F72"/>
      <c r="G72"/>
      <c r="H72"/>
    </row>
    <row r="73" spans="2:8" ht="18" customHeight="1" x14ac:dyDescent="0.25">
      <c r="B73" s="48">
        <f>ROW(A68)</f>
        <v>68</v>
      </c>
      <c r="C73"/>
      <c r="D73"/>
      <c r="E73"/>
      <c r="F73"/>
      <c r="G73"/>
      <c r="H73"/>
    </row>
    <row r="74" spans="2:8" ht="18" customHeight="1" x14ac:dyDescent="0.25">
      <c r="B74" s="48">
        <f>ROW(A69)</f>
        <v>69</v>
      </c>
      <c r="C74"/>
      <c r="D74"/>
      <c r="E74"/>
      <c r="F74"/>
      <c r="G74"/>
      <c r="H74"/>
    </row>
    <row r="75" spans="2:8" ht="18" customHeight="1" x14ac:dyDescent="0.25">
      <c r="B75" s="48">
        <f>ROW(A70)</f>
        <v>70</v>
      </c>
      <c r="C75"/>
      <c r="D75"/>
      <c r="E75"/>
      <c r="F75"/>
      <c r="G75"/>
      <c r="H75"/>
    </row>
    <row r="76" spans="2:8" ht="18" customHeight="1" x14ac:dyDescent="0.25">
      <c r="B76" s="48">
        <f>ROW(A71)</f>
        <v>71</v>
      </c>
      <c r="C76"/>
      <c r="D76"/>
      <c r="E76"/>
      <c r="F76"/>
      <c r="G76"/>
      <c r="H76"/>
    </row>
    <row r="77" spans="2:8" ht="18" customHeight="1" x14ac:dyDescent="0.25">
      <c r="B77" s="48">
        <f>ROW(A72)</f>
        <v>72</v>
      </c>
      <c r="C77"/>
      <c r="D77"/>
      <c r="E77"/>
      <c r="F77"/>
      <c r="G77"/>
      <c r="H77"/>
    </row>
    <row r="78" spans="2:8" ht="18" customHeight="1" x14ac:dyDescent="0.25">
      <c r="B78" s="48">
        <f>ROW(A73)</f>
        <v>73</v>
      </c>
      <c r="C78"/>
      <c r="D78"/>
      <c r="E78"/>
      <c r="F78"/>
      <c r="G78"/>
      <c r="H78"/>
    </row>
    <row r="79" spans="2:8" ht="18" customHeight="1" x14ac:dyDescent="0.25">
      <c r="B79" s="48">
        <f>ROW(A74)</f>
        <v>74</v>
      </c>
      <c r="C79"/>
      <c r="D79"/>
      <c r="E79"/>
      <c r="F79"/>
      <c r="G79"/>
      <c r="H79"/>
    </row>
    <row r="80" spans="2:8" ht="18" customHeight="1" x14ac:dyDescent="0.25">
      <c r="B80" s="48">
        <f>ROW(A75)</f>
        <v>75</v>
      </c>
      <c r="C80"/>
      <c r="D80"/>
      <c r="E80"/>
      <c r="F80"/>
      <c r="G80"/>
      <c r="H80"/>
    </row>
    <row r="81" spans="2:8" ht="18" customHeight="1" x14ac:dyDescent="0.25">
      <c r="B81" s="48">
        <f>ROW(A76)</f>
        <v>76</v>
      </c>
      <c r="C81"/>
      <c r="D81"/>
      <c r="E81"/>
      <c r="F81"/>
      <c r="G81"/>
      <c r="H81"/>
    </row>
    <row r="82" spans="2:8" ht="18" customHeight="1" x14ac:dyDescent="0.25">
      <c r="B82" s="48">
        <f>ROW(A77)</f>
        <v>77</v>
      </c>
      <c r="C82"/>
      <c r="D82"/>
      <c r="E82"/>
      <c r="F82"/>
      <c r="G82"/>
      <c r="H82"/>
    </row>
    <row r="83" spans="2:8" ht="18" customHeight="1" x14ac:dyDescent="0.25">
      <c r="B83" s="48">
        <f>ROW(A78)</f>
        <v>78</v>
      </c>
      <c r="C83"/>
      <c r="D83"/>
      <c r="E83"/>
      <c r="F83"/>
      <c r="G83"/>
      <c r="H83"/>
    </row>
    <row r="84" spans="2:8" ht="18" customHeight="1" x14ac:dyDescent="0.25">
      <c r="B84" s="48">
        <f>ROW(A79)</f>
        <v>79</v>
      </c>
      <c r="C84"/>
      <c r="D84"/>
      <c r="E84"/>
      <c r="F84"/>
      <c r="G84"/>
      <c r="H84"/>
    </row>
    <row r="85" spans="2:8" ht="18" customHeight="1" x14ac:dyDescent="0.25">
      <c r="B85" s="48">
        <f>ROW(A80)</f>
        <v>80</v>
      </c>
      <c r="C85"/>
      <c r="D85"/>
      <c r="E85"/>
      <c r="F85"/>
      <c r="G85"/>
      <c r="H85"/>
    </row>
    <row r="86" spans="2:8" ht="18" customHeight="1" x14ac:dyDescent="0.25">
      <c r="B86" s="48">
        <f>ROW(A81)</f>
        <v>81</v>
      </c>
      <c r="C86"/>
      <c r="D86"/>
      <c r="E86"/>
      <c r="F86"/>
      <c r="G86"/>
      <c r="H86"/>
    </row>
    <row r="87" spans="2:8" ht="18" customHeight="1" x14ac:dyDescent="0.25">
      <c r="B87" s="48">
        <f>ROW(A82)</f>
        <v>82</v>
      </c>
      <c r="C87"/>
      <c r="D87"/>
      <c r="E87"/>
      <c r="F87"/>
      <c r="G87"/>
      <c r="H87"/>
    </row>
    <row r="88" spans="2:8" ht="18" customHeight="1" x14ac:dyDescent="0.25">
      <c r="B88" s="48">
        <f>ROW(A83)</f>
        <v>83</v>
      </c>
      <c r="C88"/>
      <c r="D88"/>
      <c r="E88"/>
      <c r="F88"/>
      <c r="G88"/>
      <c r="H88"/>
    </row>
    <row r="89" spans="2:8" ht="18" customHeight="1" x14ac:dyDescent="0.25">
      <c r="B89" s="48">
        <f>ROW(A84)</f>
        <v>84</v>
      </c>
      <c r="C89"/>
      <c r="D89"/>
      <c r="E89"/>
      <c r="F89"/>
      <c r="G89"/>
      <c r="H89"/>
    </row>
    <row r="90" spans="2:8" ht="18" customHeight="1" x14ac:dyDescent="0.25">
      <c r="B90" s="48">
        <f>ROW(A85)</f>
        <v>85</v>
      </c>
      <c r="C90"/>
      <c r="D90"/>
      <c r="E90"/>
      <c r="F90"/>
      <c r="G90"/>
      <c r="H90"/>
    </row>
    <row r="91" spans="2:8" ht="18" customHeight="1" x14ac:dyDescent="0.25">
      <c r="B91" s="48">
        <f>ROW(A86)</f>
        <v>86</v>
      </c>
      <c r="C91"/>
      <c r="D91"/>
      <c r="E91"/>
      <c r="F91"/>
      <c r="G91"/>
      <c r="H91"/>
    </row>
    <row r="92" spans="2:8" ht="18" customHeight="1" x14ac:dyDescent="0.25">
      <c r="B92" s="48">
        <f>ROW(A87)</f>
        <v>87</v>
      </c>
      <c r="C92"/>
      <c r="D92"/>
      <c r="E92"/>
      <c r="F92"/>
      <c r="G92"/>
      <c r="H92"/>
    </row>
    <row r="93" spans="2:8" ht="18" customHeight="1" x14ac:dyDescent="0.25">
      <c r="B93" s="48">
        <f>ROW(A88)</f>
        <v>88</v>
      </c>
      <c r="C93"/>
      <c r="D93"/>
      <c r="E93"/>
      <c r="F93"/>
      <c r="G93"/>
      <c r="H93"/>
    </row>
    <row r="94" spans="2:8" ht="18" customHeight="1" x14ac:dyDescent="0.25">
      <c r="B94" s="48">
        <f>ROW(A89)</f>
        <v>89</v>
      </c>
      <c r="C94"/>
      <c r="D94"/>
      <c r="E94"/>
      <c r="F94"/>
      <c r="G94"/>
      <c r="H94"/>
    </row>
    <row r="95" spans="2:8" ht="18" customHeight="1" x14ac:dyDescent="0.25">
      <c r="B95" s="48">
        <f>ROW(A90)</f>
        <v>90</v>
      </c>
      <c r="C95"/>
      <c r="D95"/>
      <c r="E95"/>
      <c r="F95"/>
      <c r="G95"/>
      <c r="H95"/>
    </row>
    <row r="96" spans="2:8" ht="18" customHeight="1" x14ac:dyDescent="0.25">
      <c r="B96" s="48">
        <f>ROW(A91)</f>
        <v>91</v>
      </c>
      <c r="C96"/>
      <c r="D96"/>
      <c r="E96"/>
      <c r="F96"/>
      <c r="G96"/>
      <c r="H96"/>
    </row>
    <row r="97" spans="2:8" ht="18" customHeight="1" x14ac:dyDescent="0.25">
      <c r="B97" s="48">
        <f>ROW(A92)</f>
        <v>92</v>
      </c>
      <c r="C97"/>
      <c r="D97"/>
      <c r="E97"/>
      <c r="F97"/>
      <c r="G97"/>
      <c r="H97"/>
    </row>
    <row r="98" spans="2:8" ht="18" customHeight="1" x14ac:dyDescent="0.25">
      <c r="B98" s="48">
        <f>ROW(A93)</f>
        <v>93</v>
      </c>
      <c r="C98"/>
      <c r="D98"/>
      <c r="E98"/>
      <c r="F98"/>
      <c r="G98"/>
      <c r="H98"/>
    </row>
    <row r="99" spans="2:8" ht="18" customHeight="1" x14ac:dyDescent="0.25">
      <c r="B99" s="48">
        <f>ROW(A94)</f>
        <v>94</v>
      </c>
      <c r="C99"/>
      <c r="D99"/>
      <c r="E99"/>
      <c r="F99"/>
      <c r="G99"/>
      <c r="H99"/>
    </row>
    <row r="100" spans="2:8" ht="18" customHeight="1" x14ac:dyDescent="0.25">
      <c r="B100" s="48">
        <f>ROW(A95)</f>
        <v>95</v>
      </c>
      <c r="C100"/>
      <c r="D100"/>
      <c r="E100"/>
      <c r="F100"/>
      <c r="G100"/>
      <c r="H100"/>
    </row>
    <row r="101" spans="2:8" ht="18" customHeight="1" x14ac:dyDescent="0.25">
      <c r="B101" s="48">
        <f>ROW(A96)</f>
        <v>96</v>
      </c>
      <c r="C101"/>
      <c r="D101"/>
      <c r="E101"/>
      <c r="F101"/>
      <c r="G101"/>
      <c r="H101"/>
    </row>
    <row r="102" spans="2:8" ht="18" customHeight="1" x14ac:dyDescent="0.25">
      <c r="B102" s="48">
        <f>ROW(A97)</f>
        <v>97</v>
      </c>
      <c r="C102"/>
      <c r="D102"/>
      <c r="E102"/>
      <c r="F102"/>
      <c r="G102"/>
      <c r="H102"/>
    </row>
    <row r="103" spans="2:8" ht="18" customHeight="1" x14ac:dyDescent="0.25">
      <c r="B103" s="48">
        <f>ROW(A98)</f>
        <v>98</v>
      </c>
      <c r="C103"/>
      <c r="D103"/>
      <c r="E103"/>
      <c r="F103"/>
      <c r="G103"/>
      <c r="H103"/>
    </row>
    <row r="104" spans="2:8" ht="18" customHeight="1" x14ac:dyDescent="0.25">
      <c r="B104" s="48">
        <f>ROW(A99)</f>
        <v>99</v>
      </c>
      <c r="C104"/>
      <c r="D104"/>
      <c r="E104"/>
      <c r="F104"/>
      <c r="G104"/>
      <c r="H104"/>
    </row>
    <row r="105" spans="2:8" ht="18" customHeight="1" x14ac:dyDescent="0.25">
      <c r="B105" s="48">
        <f>ROW(A100)</f>
        <v>100</v>
      </c>
      <c r="C105"/>
      <c r="D105"/>
      <c r="E105"/>
      <c r="F105"/>
      <c r="G105"/>
      <c r="H105"/>
    </row>
    <row r="106" spans="2:8" ht="18" customHeight="1" x14ac:dyDescent="0.25">
      <c r="B106" s="48">
        <f>ROW(A101)</f>
        <v>101</v>
      </c>
      <c r="C106"/>
      <c r="D106"/>
      <c r="E106"/>
      <c r="F106"/>
      <c r="G106"/>
      <c r="H106"/>
    </row>
    <row r="107" spans="2:8" ht="18" customHeight="1" x14ac:dyDescent="0.25">
      <c r="B107" s="48">
        <f>ROW(A102)</f>
        <v>102</v>
      </c>
      <c r="C107"/>
      <c r="D107"/>
      <c r="E107"/>
      <c r="F107"/>
      <c r="G107"/>
      <c r="H107"/>
    </row>
    <row r="108" spans="2:8" ht="18" customHeight="1" x14ac:dyDescent="0.25">
      <c r="B108" s="48">
        <f>ROW(A103)</f>
        <v>103</v>
      </c>
      <c r="C108"/>
      <c r="D108"/>
      <c r="E108"/>
      <c r="F108"/>
      <c r="G108"/>
      <c r="H108"/>
    </row>
    <row r="109" spans="2:8" ht="18" customHeight="1" x14ac:dyDescent="0.25">
      <c r="B109" s="48">
        <f>ROW(A104)</f>
        <v>104</v>
      </c>
      <c r="C109"/>
      <c r="D109"/>
      <c r="E109"/>
      <c r="F109"/>
      <c r="G109"/>
      <c r="H109"/>
    </row>
    <row r="110" spans="2:8" ht="18" customHeight="1" x14ac:dyDescent="0.25">
      <c r="B110" s="48">
        <f>ROW(A105)</f>
        <v>105</v>
      </c>
      <c r="C110"/>
      <c r="D110"/>
      <c r="E110"/>
      <c r="F110"/>
      <c r="G110"/>
      <c r="H110"/>
    </row>
    <row r="111" spans="2:8" ht="18" customHeight="1" x14ac:dyDescent="0.25">
      <c r="B111" s="48">
        <f>ROW(A106)</f>
        <v>106</v>
      </c>
      <c r="C111"/>
      <c r="D111"/>
      <c r="E111"/>
      <c r="F111"/>
      <c r="G111"/>
      <c r="H111"/>
    </row>
    <row r="112" spans="2:8" ht="18" customHeight="1" x14ac:dyDescent="0.25">
      <c r="B112" s="48">
        <f>ROW(A107)</f>
        <v>107</v>
      </c>
      <c r="C112"/>
      <c r="D112"/>
      <c r="E112"/>
      <c r="F112"/>
      <c r="G112"/>
      <c r="H112"/>
    </row>
    <row r="113" spans="2:8" ht="18" customHeight="1" x14ac:dyDescent="0.25">
      <c r="B113" s="48">
        <f>ROW(A108)</f>
        <v>108</v>
      </c>
      <c r="C113"/>
      <c r="D113"/>
      <c r="E113"/>
      <c r="F113"/>
      <c r="G113"/>
      <c r="H113"/>
    </row>
    <row r="114" spans="2:8" ht="18" customHeight="1" x14ac:dyDescent="0.25">
      <c r="B114" s="48">
        <f>ROW(A109)</f>
        <v>109</v>
      </c>
      <c r="C114"/>
      <c r="D114"/>
      <c r="E114"/>
      <c r="F114"/>
      <c r="G114"/>
      <c r="H114"/>
    </row>
    <row r="115" spans="2:8" ht="18" customHeight="1" x14ac:dyDescent="0.25">
      <c r="B115" s="48">
        <f>ROW(A110)</f>
        <v>110</v>
      </c>
      <c r="C115"/>
      <c r="D115"/>
      <c r="E115"/>
      <c r="F115"/>
      <c r="G115"/>
      <c r="H115"/>
    </row>
    <row r="116" spans="2:8" ht="18" customHeight="1" x14ac:dyDescent="0.25">
      <c r="B116" s="48">
        <f>ROW(A111)</f>
        <v>111</v>
      </c>
      <c r="C116"/>
      <c r="D116"/>
      <c r="E116"/>
      <c r="F116"/>
      <c r="G116"/>
      <c r="H116"/>
    </row>
    <row r="117" spans="2:8" ht="18" customHeight="1" x14ac:dyDescent="0.25">
      <c r="B117" s="48">
        <f>ROW(A112)</f>
        <v>112</v>
      </c>
      <c r="C117"/>
      <c r="D117"/>
      <c r="E117"/>
      <c r="F117"/>
      <c r="G117"/>
      <c r="H117"/>
    </row>
    <row r="118" spans="2:8" ht="18" customHeight="1" x14ac:dyDescent="0.25">
      <c r="B118" s="48">
        <f>ROW(A113)</f>
        <v>113</v>
      </c>
      <c r="C118"/>
      <c r="D118"/>
      <c r="E118"/>
      <c r="F118"/>
      <c r="G118"/>
      <c r="H118"/>
    </row>
    <row r="119" spans="2:8" ht="18" customHeight="1" x14ac:dyDescent="0.25">
      <c r="B119" s="48">
        <f>ROW(A114)</f>
        <v>114</v>
      </c>
      <c r="C119"/>
      <c r="D119"/>
      <c r="E119"/>
      <c r="F119"/>
      <c r="G119"/>
      <c r="H119"/>
    </row>
    <row r="120" spans="2:8" ht="18" customHeight="1" x14ac:dyDescent="0.25">
      <c r="B120" s="48">
        <f>ROW(A115)</f>
        <v>115</v>
      </c>
      <c r="C120"/>
      <c r="D120"/>
      <c r="E120"/>
      <c r="F120"/>
      <c r="G120"/>
      <c r="H120"/>
    </row>
    <row r="121" spans="2:8" ht="18" customHeight="1" x14ac:dyDescent="0.25">
      <c r="B121" s="48">
        <f>ROW(A116)</f>
        <v>116</v>
      </c>
      <c r="C121"/>
      <c r="D121"/>
      <c r="E121"/>
      <c r="F121"/>
      <c r="G121"/>
      <c r="H121"/>
    </row>
    <row r="122" spans="2:8" ht="18" customHeight="1" x14ac:dyDescent="0.25">
      <c r="B122" s="48">
        <f>ROW(A117)</f>
        <v>117</v>
      </c>
      <c r="C122"/>
      <c r="D122"/>
      <c r="E122"/>
      <c r="F122"/>
      <c r="G122"/>
      <c r="H122"/>
    </row>
    <row r="123" spans="2:8" ht="18" customHeight="1" x14ac:dyDescent="0.25">
      <c r="B123" s="48">
        <f>ROW(A118)</f>
        <v>118</v>
      </c>
      <c r="C123"/>
      <c r="D123"/>
      <c r="E123"/>
      <c r="F123"/>
      <c r="G123"/>
      <c r="H123"/>
    </row>
    <row r="124" spans="2:8" ht="18" customHeight="1" x14ac:dyDescent="0.25">
      <c r="B124" s="48">
        <f>ROW(A119)</f>
        <v>119</v>
      </c>
      <c r="C124"/>
      <c r="D124"/>
      <c r="E124"/>
      <c r="F124"/>
      <c r="G124"/>
      <c r="H124"/>
    </row>
    <row r="125" spans="2:8" ht="18" customHeight="1" x14ac:dyDescent="0.25">
      <c r="B125" s="48">
        <f>ROW(A120)</f>
        <v>120</v>
      </c>
      <c r="C125"/>
      <c r="D125"/>
      <c r="E125"/>
      <c r="F125"/>
      <c r="G125"/>
      <c r="H125"/>
    </row>
    <row r="126" spans="2:8" ht="18" customHeight="1" x14ac:dyDescent="0.25">
      <c r="B126" s="48">
        <f>ROW(A121)</f>
        <v>121</v>
      </c>
      <c r="C126"/>
      <c r="D126"/>
      <c r="E126"/>
      <c r="F126"/>
      <c r="G126"/>
      <c r="H126"/>
    </row>
    <row r="127" spans="2:8" ht="18" customHeight="1" x14ac:dyDescent="0.25">
      <c r="B127" s="48">
        <f>ROW(A122)</f>
        <v>122</v>
      </c>
      <c r="C127"/>
      <c r="D127"/>
      <c r="E127"/>
      <c r="F127"/>
      <c r="G127"/>
      <c r="H127"/>
    </row>
    <row r="128" spans="2:8" ht="18" customHeight="1" x14ac:dyDescent="0.25">
      <c r="B128" s="48">
        <f>ROW(A123)</f>
        <v>123</v>
      </c>
      <c r="C128"/>
      <c r="D128"/>
      <c r="E128"/>
      <c r="F128"/>
      <c r="G128"/>
      <c r="H128"/>
    </row>
    <row r="129" spans="2:8" ht="18" customHeight="1" x14ac:dyDescent="0.25">
      <c r="B129" s="48">
        <f>ROW(A124)</f>
        <v>124</v>
      </c>
      <c r="C129"/>
      <c r="D129"/>
      <c r="E129"/>
      <c r="F129"/>
      <c r="G129"/>
      <c r="H129"/>
    </row>
    <row r="130" spans="2:8" ht="18" customHeight="1" x14ac:dyDescent="0.25">
      <c r="B130" s="48">
        <f>ROW(A125)</f>
        <v>125</v>
      </c>
      <c r="C130"/>
      <c r="D130"/>
      <c r="E130"/>
      <c r="F130"/>
      <c r="G130"/>
      <c r="H130"/>
    </row>
    <row r="131" spans="2:8" ht="18" customHeight="1" x14ac:dyDescent="0.25">
      <c r="B131" s="48">
        <f>ROW(A126)</f>
        <v>126</v>
      </c>
      <c r="C131"/>
      <c r="D131"/>
      <c r="E131"/>
      <c r="F131"/>
      <c r="G131"/>
      <c r="H131"/>
    </row>
    <row r="132" spans="2:8" ht="18" customHeight="1" x14ac:dyDescent="0.25">
      <c r="B132" s="48">
        <f>ROW(A127)</f>
        <v>127</v>
      </c>
      <c r="C132"/>
      <c r="D132"/>
      <c r="E132"/>
      <c r="F132"/>
      <c r="G132"/>
      <c r="H132"/>
    </row>
    <row r="133" spans="2:8" ht="18" customHeight="1" x14ac:dyDescent="0.25">
      <c r="B133" s="48">
        <f>ROW(A128)</f>
        <v>128</v>
      </c>
      <c r="C133"/>
      <c r="D133"/>
      <c r="E133"/>
      <c r="F133"/>
      <c r="G133"/>
      <c r="H133"/>
    </row>
    <row r="134" spans="2:8" ht="18" customHeight="1" x14ac:dyDescent="0.25">
      <c r="B134" s="48">
        <f>ROW(A129)</f>
        <v>129</v>
      </c>
      <c r="C134"/>
      <c r="D134"/>
      <c r="E134"/>
      <c r="F134"/>
      <c r="G134"/>
      <c r="H134"/>
    </row>
    <row r="135" spans="2:8" ht="18" customHeight="1" x14ac:dyDescent="0.25">
      <c r="B135" s="48">
        <f>ROW(A130)</f>
        <v>130</v>
      </c>
      <c r="C135"/>
      <c r="D135"/>
      <c r="E135"/>
      <c r="F135"/>
      <c r="G135"/>
      <c r="H135"/>
    </row>
    <row r="136" spans="2:8" ht="18" customHeight="1" x14ac:dyDescent="0.25">
      <c r="B136" s="48">
        <f>ROW(A131)</f>
        <v>131</v>
      </c>
      <c r="C136"/>
      <c r="D136"/>
      <c r="E136"/>
      <c r="F136"/>
      <c r="G136"/>
      <c r="H136"/>
    </row>
    <row r="137" spans="2:8" ht="18" customHeight="1" x14ac:dyDescent="0.25">
      <c r="B137" s="48">
        <f>ROW(A132)</f>
        <v>132</v>
      </c>
      <c r="C137"/>
      <c r="D137"/>
      <c r="E137"/>
      <c r="F137"/>
      <c r="G137"/>
      <c r="H137"/>
    </row>
    <row r="138" spans="2:8" ht="18" customHeight="1" x14ac:dyDescent="0.25">
      <c r="B138" s="48">
        <f>ROW(A133)</f>
        <v>133</v>
      </c>
      <c r="C138"/>
      <c r="D138"/>
      <c r="E138"/>
      <c r="F138"/>
      <c r="G138"/>
      <c r="H138"/>
    </row>
    <row r="139" spans="2:8" ht="18" customHeight="1" x14ac:dyDescent="0.25">
      <c r="B139" s="48">
        <f>ROW(A134)</f>
        <v>134</v>
      </c>
      <c r="C139"/>
      <c r="D139"/>
      <c r="E139"/>
      <c r="F139"/>
      <c r="G139"/>
      <c r="H139"/>
    </row>
    <row r="140" spans="2:8" ht="18" customHeight="1" x14ac:dyDescent="0.25">
      <c r="B140" s="48">
        <f>ROW(A135)</f>
        <v>135</v>
      </c>
      <c r="C140"/>
      <c r="D140"/>
      <c r="E140"/>
      <c r="F140"/>
      <c r="G140"/>
      <c r="H140"/>
    </row>
    <row r="141" spans="2:8" ht="18" customHeight="1" x14ac:dyDescent="0.25">
      <c r="B141" s="48">
        <f>ROW(A136)</f>
        <v>136</v>
      </c>
      <c r="C141"/>
      <c r="D141"/>
      <c r="E141"/>
      <c r="F141"/>
      <c r="G141"/>
      <c r="H141"/>
    </row>
    <row r="142" spans="2:8" ht="18" customHeight="1" x14ac:dyDescent="0.25">
      <c r="B142" s="48">
        <f>ROW(A137)</f>
        <v>137</v>
      </c>
      <c r="C142"/>
      <c r="D142"/>
      <c r="E142"/>
      <c r="F142"/>
      <c r="G142"/>
      <c r="H142"/>
    </row>
    <row r="143" spans="2:8" ht="18" customHeight="1" x14ac:dyDescent="0.25">
      <c r="B143" s="48">
        <f>ROW(A138)</f>
        <v>138</v>
      </c>
      <c r="C143"/>
      <c r="D143"/>
      <c r="E143"/>
      <c r="F143"/>
      <c r="G143"/>
      <c r="H143"/>
    </row>
    <row r="144" spans="2:8" ht="18" customHeight="1" x14ac:dyDescent="0.25">
      <c r="B144" s="48">
        <f>ROW(A139)</f>
        <v>139</v>
      </c>
      <c r="C144"/>
      <c r="D144"/>
      <c r="E144"/>
      <c r="F144"/>
      <c r="G144"/>
      <c r="H144"/>
    </row>
    <row r="145" spans="2:8" ht="18" customHeight="1" x14ac:dyDescent="0.25">
      <c r="B145" s="48">
        <f>ROW(A140)</f>
        <v>140</v>
      </c>
      <c r="C145"/>
      <c r="D145"/>
      <c r="E145"/>
      <c r="F145"/>
      <c r="G145"/>
      <c r="H145"/>
    </row>
    <row r="146" spans="2:8" ht="18" customHeight="1" x14ac:dyDescent="0.25">
      <c r="B146" s="48">
        <f>ROW(A141)</f>
        <v>141</v>
      </c>
      <c r="C146"/>
      <c r="D146"/>
      <c r="E146"/>
      <c r="F146"/>
      <c r="G146"/>
      <c r="H146"/>
    </row>
    <row r="147" spans="2:8" ht="18" customHeight="1" x14ac:dyDescent="0.25">
      <c r="B147" s="48">
        <f>ROW(A142)</f>
        <v>142</v>
      </c>
      <c r="C147"/>
      <c r="D147"/>
      <c r="E147"/>
      <c r="F147"/>
      <c r="G147"/>
      <c r="H147"/>
    </row>
    <row r="148" spans="2:8" ht="18" customHeight="1" x14ac:dyDescent="0.25">
      <c r="B148" s="48">
        <f>ROW(A143)</f>
        <v>143</v>
      </c>
      <c r="C148"/>
      <c r="D148"/>
      <c r="E148"/>
      <c r="F148"/>
      <c r="G148"/>
      <c r="H148"/>
    </row>
    <row r="149" spans="2:8" ht="18" customHeight="1" x14ac:dyDescent="0.25">
      <c r="B149" s="48">
        <f>ROW(A144)</f>
        <v>144</v>
      </c>
      <c r="C149"/>
      <c r="D149"/>
      <c r="E149"/>
      <c r="F149"/>
      <c r="G149"/>
      <c r="H149"/>
    </row>
    <row r="150" spans="2:8" ht="18" customHeight="1" x14ac:dyDescent="0.25">
      <c r="B150" s="48">
        <f>ROW(A145)</f>
        <v>145</v>
      </c>
      <c r="C150"/>
      <c r="D150"/>
      <c r="E150"/>
      <c r="F150"/>
      <c r="G150"/>
      <c r="H150"/>
    </row>
    <row r="151" spans="2:8" ht="18" customHeight="1" x14ac:dyDescent="0.25">
      <c r="B151" s="48">
        <f>ROW(A146)</f>
        <v>146</v>
      </c>
      <c r="C151"/>
      <c r="D151"/>
      <c r="E151"/>
      <c r="F151"/>
      <c r="G151"/>
      <c r="H151"/>
    </row>
    <row r="152" spans="2:8" ht="18" customHeight="1" x14ac:dyDescent="0.25">
      <c r="B152" s="48">
        <f>ROW(A147)</f>
        <v>147</v>
      </c>
      <c r="C152"/>
      <c r="D152"/>
      <c r="E152"/>
      <c r="F152"/>
      <c r="G152"/>
      <c r="H152"/>
    </row>
    <row r="153" spans="2:8" ht="18" customHeight="1" x14ac:dyDescent="0.25">
      <c r="B153" s="48">
        <f>ROW(A148)</f>
        <v>148</v>
      </c>
      <c r="C153"/>
      <c r="D153"/>
      <c r="E153"/>
      <c r="F153"/>
      <c r="G153"/>
      <c r="H153"/>
    </row>
    <row r="154" spans="2:8" ht="18" customHeight="1" x14ac:dyDescent="0.25">
      <c r="B154" s="48">
        <f>ROW(A149)</f>
        <v>149</v>
      </c>
      <c r="C154"/>
      <c r="D154"/>
      <c r="E154"/>
      <c r="F154"/>
      <c r="G154"/>
      <c r="H154"/>
    </row>
    <row r="155" spans="2:8" ht="18" customHeight="1" x14ac:dyDescent="0.25">
      <c r="B155" s="48">
        <f>ROW(A150)</f>
        <v>150</v>
      </c>
      <c r="C155"/>
      <c r="D155"/>
      <c r="E155"/>
      <c r="F155"/>
      <c r="G155"/>
      <c r="H155"/>
    </row>
    <row r="156" spans="2:8" ht="18" customHeight="1" x14ac:dyDescent="0.25">
      <c r="B156" s="48">
        <f>ROW(A151)</f>
        <v>151</v>
      </c>
      <c r="C156"/>
      <c r="D156"/>
      <c r="E156"/>
      <c r="F156"/>
      <c r="G156"/>
      <c r="H156"/>
    </row>
    <row r="157" spans="2:8" ht="18" customHeight="1" x14ac:dyDescent="0.25">
      <c r="B157" s="48">
        <f>ROW(A152)</f>
        <v>152</v>
      </c>
      <c r="C157"/>
      <c r="D157"/>
      <c r="E157"/>
      <c r="F157"/>
      <c r="G157"/>
      <c r="H157"/>
    </row>
    <row r="158" spans="2:8" ht="18" customHeight="1" x14ac:dyDescent="0.25">
      <c r="B158" s="48">
        <f>ROW(A153)</f>
        <v>153</v>
      </c>
      <c r="C158"/>
      <c r="D158"/>
      <c r="E158"/>
      <c r="F158"/>
      <c r="G158"/>
      <c r="H158"/>
    </row>
    <row r="159" spans="2:8" ht="18" customHeight="1" x14ac:dyDescent="0.25">
      <c r="B159" s="48">
        <f>ROW(A154)</f>
        <v>154</v>
      </c>
      <c r="C159"/>
      <c r="D159"/>
      <c r="E159"/>
      <c r="F159"/>
      <c r="G159"/>
      <c r="H159"/>
    </row>
    <row r="160" spans="2:8" ht="18" customHeight="1" x14ac:dyDescent="0.25">
      <c r="B160" s="48">
        <f>ROW(A155)</f>
        <v>155</v>
      </c>
      <c r="C160"/>
      <c r="D160"/>
      <c r="E160"/>
      <c r="F160"/>
      <c r="G160"/>
      <c r="H160"/>
    </row>
    <row r="161" spans="2:8" ht="18" customHeight="1" x14ac:dyDescent="0.25">
      <c r="B161" s="48">
        <f>ROW(A156)</f>
        <v>156</v>
      </c>
      <c r="C161"/>
      <c r="D161"/>
      <c r="E161"/>
      <c r="F161"/>
      <c r="G161"/>
      <c r="H161"/>
    </row>
    <row r="162" spans="2:8" ht="18" customHeight="1" x14ac:dyDescent="0.25">
      <c r="B162" s="48">
        <f>ROW(A157)</f>
        <v>157</v>
      </c>
      <c r="C162"/>
      <c r="D162"/>
      <c r="E162"/>
      <c r="F162"/>
      <c r="G162"/>
      <c r="H162"/>
    </row>
    <row r="163" spans="2:8" ht="18" customHeight="1" x14ac:dyDescent="0.25">
      <c r="B163" s="48">
        <f>ROW(A158)</f>
        <v>158</v>
      </c>
      <c r="C163"/>
      <c r="D163"/>
      <c r="E163"/>
      <c r="F163"/>
      <c r="G163"/>
      <c r="H163"/>
    </row>
    <row r="164" spans="2:8" ht="18" customHeight="1" x14ac:dyDescent="0.25">
      <c r="B164" s="48">
        <f>ROW(A159)</f>
        <v>159</v>
      </c>
      <c r="C164"/>
      <c r="D164"/>
      <c r="E164"/>
      <c r="F164"/>
      <c r="G164"/>
      <c r="H164"/>
    </row>
    <row r="165" spans="2:8" ht="18" customHeight="1" x14ac:dyDescent="0.25">
      <c r="B165" s="48">
        <f>ROW(A160)</f>
        <v>160</v>
      </c>
      <c r="C165"/>
      <c r="D165"/>
      <c r="E165"/>
      <c r="F165"/>
      <c r="G165"/>
      <c r="H165"/>
    </row>
    <row r="166" spans="2:8" ht="18" customHeight="1" x14ac:dyDescent="0.25">
      <c r="B166" s="48">
        <f>ROW(A161)</f>
        <v>161</v>
      </c>
      <c r="C166"/>
      <c r="D166"/>
      <c r="E166"/>
      <c r="F166"/>
      <c r="G166"/>
      <c r="H166"/>
    </row>
    <row r="167" spans="2:8" ht="18" customHeight="1" x14ac:dyDescent="0.25">
      <c r="B167" s="48">
        <f>ROW(A162)</f>
        <v>162</v>
      </c>
      <c r="C167"/>
      <c r="D167"/>
      <c r="E167"/>
      <c r="F167"/>
      <c r="G167"/>
      <c r="H167"/>
    </row>
    <row r="168" spans="2:8" ht="18" customHeight="1" x14ac:dyDescent="0.25">
      <c r="B168" s="48">
        <f>ROW(A163)</f>
        <v>163</v>
      </c>
      <c r="C168"/>
      <c r="D168"/>
      <c r="E168"/>
      <c r="F168"/>
      <c r="G168"/>
      <c r="H168"/>
    </row>
    <row r="169" spans="2:8" ht="18" customHeight="1" x14ac:dyDescent="0.25">
      <c r="B169" s="48">
        <f>ROW(A164)</f>
        <v>164</v>
      </c>
      <c r="C169"/>
      <c r="D169"/>
      <c r="E169"/>
      <c r="F169"/>
      <c r="G169"/>
      <c r="H169"/>
    </row>
    <row r="170" spans="2:8" ht="18" customHeight="1" x14ac:dyDescent="0.25">
      <c r="B170" s="48">
        <f>ROW(A165)</f>
        <v>165</v>
      </c>
      <c r="C170"/>
      <c r="D170"/>
      <c r="E170"/>
      <c r="F170"/>
      <c r="G170"/>
      <c r="H170"/>
    </row>
    <row r="171" spans="2:8" ht="18" customHeight="1" x14ac:dyDescent="0.25">
      <c r="B171" s="48">
        <f>ROW(A166)</f>
        <v>166</v>
      </c>
      <c r="C171"/>
      <c r="D171"/>
      <c r="E171"/>
      <c r="F171"/>
      <c r="G171"/>
      <c r="H171"/>
    </row>
    <row r="172" spans="2:8" ht="18" customHeight="1" x14ac:dyDescent="0.25">
      <c r="B172" s="48">
        <f>ROW(A167)</f>
        <v>167</v>
      </c>
      <c r="C172"/>
      <c r="D172"/>
      <c r="E172"/>
      <c r="F172"/>
      <c r="G172"/>
      <c r="H172"/>
    </row>
    <row r="173" spans="2:8" ht="18" customHeight="1" x14ac:dyDescent="0.25">
      <c r="B173" s="48">
        <f>ROW(A168)</f>
        <v>168</v>
      </c>
      <c r="C173"/>
      <c r="D173"/>
      <c r="E173"/>
      <c r="F173"/>
      <c r="G173"/>
      <c r="H173"/>
    </row>
    <row r="174" spans="2:8" ht="18" customHeight="1" x14ac:dyDescent="0.25">
      <c r="B174" s="48">
        <f>ROW(A169)</f>
        <v>169</v>
      </c>
      <c r="C174"/>
      <c r="D174"/>
      <c r="E174"/>
      <c r="F174"/>
      <c r="G174"/>
      <c r="H174"/>
    </row>
    <row r="175" spans="2:8" ht="18" customHeight="1" x14ac:dyDescent="0.25">
      <c r="B175" s="48">
        <f>ROW(A170)</f>
        <v>170</v>
      </c>
      <c r="C175"/>
      <c r="D175"/>
      <c r="E175"/>
      <c r="F175"/>
      <c r="G175"/>
      <c r="H175"/>
    </row>
    <row r="176" spans="2:8" ht="18" customHeight="1" x14ac:dyDescent="0.25">
      <c r="B176" s="48">
        <f>ROW(A171)</f>
        <v>171</v>
      </c>
      <c r="C176"/>
      <c r="D176"/>
      <c r="E176"/>
      <c r="F176"/>
      <c r="G176"/>
      <c r="H176"/>
    </row>
    <row r="177" spans="2:8" ht="18" customHeight="1" x14ac:dyDescent="0.25">
      <c r="B177" s="48">
        <f>ROW(A172)</f>
        <v>172</v>
      </c>
      <c r="C177"/>
      <c r="D177"/>
      <c r="E177"/>
      <c r="F177"/>
      <c r="G177"/>
      <c r="H177"/>
    </row>
    <row r="178" spans="2:8" ht="18" customHeight="1" x14ac:dyDescent="0.25">
      <c r="B178" s="48">
        <f>ROW(A173)</f>
        <v>173</v>
      </c>
      <c r="C178"/>
      <c r="D178"/>
      <c r="E178"/>
      <c r="F178"/>
      <c r="G178"/>
      <c r="H178"/>
    </row>
    <row r="179" spans="2:8" ht="18" customHeight="1" x14ac:dyDescent="0.25">
      <c r="B179" s="48">
        <f>ROW(A174)</f>
        <v>174</v>
      </c>
      <c r="C179"/>
      <c r="D179"/>
      <c r="E179"/>
      <c r="F179"/>
      <c r="G179"/>
      <c r="H179"/>
    </row>
    <row r="180" spans="2:8" ht="18" customHeight="1" x14ac:dyDescent="0.25">
      <c r="B180" s="48">
        <f>ROW(A175)</f>
        <v>175</v>
      </c>
      <c r="C180"/>
      <c r="D180"/>
      <c r="E180"/>
      <c r="F180"/>
      <c r="G180"/>
      <c r="H180"/>
    </row>
    <row r="181" spans="2:8" ht="18" customHeight="1" x14ac:dyDescent="0.25">
      <c r="B181" s="48">
        <f>ROW(A176)</f>
        <v>176</v>
      </c>
      <c r="C181"/>
      <c r="D181"/>
      <c r="E181"/>
      <c r="F181"/>
      <c r="G181"/>
      <c r="H181"/>
    </row>
    <row r="182" spans="2:8" ht="18" customHeight="1" x14ac:dyDescent="0.25">
      <c r="B182" s="48">
        <f>ROW(A177)</f>
        <v>177</v>
      </c>
      <c r="C182"/>
      <c r="D182"/>
      <c r="E182"/>
      <c r="F182"/>
      <c r="G182"/>
      <c r="H182"/>
    </row>
    <row r="183" spans="2:8" ht="18" customHeight="1" x14ac:dyDescent="0.25">
      <c r="B183" s="48">
        <f>ROW(A178)</f>
        <v>178</v>
      </c>
      <c r="C183"/>
      <c r="D183"/>
      <c r="E183"/>
      <c r="F183"/>
      <c r="G183"/>
      <c r="H183"/>
    </row>
    <row r="184" spans="2:8" ht="18" customHeight="1" x14ac:dyDescent="0.25">
      <c r="B184" s="48">
        <f>ROW(A179)</f>
        <v>179</v>
      </c>
      <c r="C184"/>
      <c r="D184"/>
      <c r="E184"/>
      <c r="F184"/>
      <c r="G184"/>
      <c r="H184"/>
    </row>
    <row r="185" spans="2:8" ht="18" customHeight="1" x14ac:dyDescent="0.25">
      <c r="B185" s="48">
        <f>ROW(A180)</f>
        <v>180</v>
      </c>
      <c r="C185"/>
      <c r="D185"/>
      <c r="E185"/>
      <c r="F185"/>
      <c r="G185"/>
      <c r="H185"/>
    </row>
    <row r="186" spans="2:8" ht="18" customHeight="1" x14ac:dyDescent="0.25">
      <c r="B186" s="48">
        <f>ROW(A181)</f>
        <v>181</v>
      </c>
      <c r="C186"/>
      <c r="D186"/>
      <c r="E186"/>
      <c r="F186"/>
      <c r="G186"/>
      <c r="H186"/>
    </row>
    <row r="187" spans="2:8" ht="18" customHeight="1" x14ac:dyDescent="0.25">
      <c r="B187" s="48">
        <f>ROW(A182)</f>
        <v>182</v>
      </c>
      <c r="C187"/>
      <c r="D187"/>
      <c r="E187"/>
      <c r="F187"/>
      <c r="G187"/>
      <c r="H187"/>
    </row>
    <row r="188" spans="2:8" ht="18" customHeight="1" x14ac:dyDescent="0.25">
      <c r="B188" s="48">
        <f>ROW(A183)</f>
        <v>183</v>
      </c>
      <c r="C188"/>
      <c r="D188"/>
      <c r="E188"/>
      <c r="F188"/>
      <c r="G188"/>
      <c r="H188"/>
    </row>
    <row r="189" spans="2:8" ht="18" customHeight="1" x14ac:dyDescent="0.25">
      <c r="B189" s="48">
        <f>ROW(A184)</f>
        <v>184</v>
      </c>
      <c r="C189"/>
      <c r="D189"/>
      <c r="E189"/>
      <c r="F189"/>
      <c r="G189"/>
      <c r="H189"/>
    </row>
    <row r="190" spans="2:8" ht="18" customHeight="1" x14ac:dyDescent="0.25">
      <c r="B190" s="48">
        <f>ROW(A185)</f>
        <v>185</v>
      </c>
      <c r="C190"/>
      <c r="D190"/>
      <c r="E190"/>
      <c r="F190"/>
      <c r="G190"/>
      <c r="H190"/>
    </row>
    <row r="191" spans="2:8" ht="18" customHeight="1" x14ac:dyDescent="0.25">
      <c r="B191" s="48">
        <f>ROW(A186)</f>
        <v>186</v>
      </c>
      <c r="C191"/>
      <c r="D191"/>
      <c r="E191"/>
      <c r="F191"/>
      <c r="G191"/>
      <c r="H191"/>
    </row>
    <row r="192" spans="2:8" ht="18" customHeight="1" x14ac:dyDescent="0.25">
      <c r="B192" s="48">
        <f>ROW(A187)</f>
        <v>187</v>
      </c>
      <c r="C192"/>
      <c r="D192"/>
      <c r="E192"/>
      <c r="F192"/>
      <c r="G192"/>
      <c r="H192"/>
    </row>
    <row r="193" spans="2:8" ht="18" customHeight="1" x14ac:dyDescent="0.25">
      <c r="B193" s="48">
        <f>ROW(A188)</f>
        <v>188</v>
      </c>
      <c r="C193"/>
      <c r="D193"/>
      <c r="E193"/>
      <c r="F193"/>
      <c r="G193"/>
      <c r="H193"/>
    </row>
    <row r="194" spans="2:8" ht="18" customHeight="1" x14ac:dyDescent="0.25">
      <c r="B194" s="48">
        <f>ROW(A189)</f>
        <v>189</v>
      </c>
      <c r="C194"/>
      <c r="D194"/>
      <c r="E194"/>
      <c r="F194"/>
      <c r="G194"/>
      <c r="H194"/>
    </row>
    <row r="195" spans="2:8" ht="18" customHeight="1" x14ac:dyDescent="0.25">
      <c r="B195" s="48">
        <f>ROW(A190)</f>
        <v>190</v>
      </c>
      <c r="C195"/>
      <c r="D195"/>
      <c r="E195"/>
      <c r="F195"/>
      <c r="G195"/>
      <c r="H195"/>
    </row>
    <row r="196" spans="2:8" ht="18" customHeight="1" x14ac:dyDescent="0.25">
      <c r="B196" s="48">
        <f>ROW(A191)</f>
        <v>191</v>
      </c>
      <c r="C196"/>
      <c r="D196"/>
      <c r="E196"/>
      <c r="F196"/>
      <c r="G196"/>
      <c r="H196"/>
    </row>
    <row r="197" spans="2:8" ht="18" customHeight="1" x14ac:dyDescent="0.25">
      <c r="B197" s="48">
        <f>ROW(A192)</f>
        <v>192</v>
      </c>
      <c r="C197"/>
      <c r="D197"/>
      <c r="E197"/>
      <c r="F197"/>
      <c r="G197"/>
      <c r="H197"/>
    </row>
    <row r="198" spans="2:8" ht="18" customHeight="1" x14ac:dyDescent="0.25">
      <c r="B198" s="48">
        <f>ROW(A193)</f>
        <v>193</v>
      </c>
      <c r="C198"/>
      <c r="D198"/>
      <c r="E198"/>
      <c r="F198"/>
      <c r="G198"/>
      <c r="H198"/>
    </row>
    <row r="199" spans="2:8" ht="18" customHeight="1" x14ac:dyDescent="0.25">
      <c r="B199" s="48">
        <f>ROW(A194)</f>
        <v>194</v>
      </c>
      <c r="C199"/>
      <c r="D199"/>
      <c r="E199"/>
      <c r="F199"/>
      <c r="G199"/>
      <c r="H199"/>
    </row>
    <row r="200" spans="2:8" ht="18" customHeight="1" x14ac:dyDescent="0.25">
      <c r="B200" s="48">
        <f>ROW(A195)</f>
        <v>195</v>
      </c>
      <c r="C200"/>
      <c r="D200"/>
      <c r="E200"/>
      <c r="F200"/>
      <c r="G200"/>
      <c r="H200"/>
    </row>
    <row r="201" spans="2:8" ht="18" customHeight="1" x14ac:dyDescent="0.25">
      <c r="B201" s="48">
        <f>ROW(A196)</f>
        <v>196</v>
      </c>
      <c r="C201"/>
      <c r="D201"/>
      <c r="E201"/>
      <c r="F201"/>
      <c r="G201"/>
      <c r="H201"/>
    </row>
    <row r="202" spans="2:8" ht="18" customHeight="1" x14ac:dyDescent="0.25">
      <c r="B202" s="48">
        <f>ROW(A197)</f>
        <v>197</v>
      </c>
      <c r="C202"/>
      <c r="D202"/>
      <c r="E202"/>
      <c r="F202"/>
      <c r="G202"/>
      <c r="H202"/>
    </row>
    <row r="203" spans="2:8" ht="18" customHeight="1" x14ac:dyDescent="0.25">
      <c r="B203" s="48">
        <f>ROW(A198)</f>
        <v>198</v>
      </c>
      <c r="C203"/>
      <c r="D203"/>
      <c r="E203"/>
      <c r="F203"/>
      <c r="G203"/>
      <c r="H203"/>
    </row>
    <row r="204" spans="2:8" ht="18" customHeight="1" x14ac:dyDescent="0.25">
      <c r="B204" s="48">
        <f>ROW(A199)</f>
        <v>199</v>
      </c>
      <c r="C204"/>
      <c r="D204"/>
      <c r="E204"/>
      <c r="F204"/>
      <c r="G204"/>
      <c r="H204"/>
    </row>
    <row r="205" spans="2:8" ht="18" customHeight="1" x14ac:dyDescent="0.25">
      <c r="B205" s="48">
        <f>ROW(A200)</f>
        <v>200</v>
      </c>
      <c r="C205"/>
      <c r="D205"/>
      <c r="E205"/>
      <c r="F205"/>
      <c r="G205"/>
      <c r="H205"/>
    </row>
    <row r="206" spans="2:8" ht="18" customHeight="1" x14ac:dyDescent="0.25">
      <c r="B206" s="48">
        <f>ROW(A201)</f>
        <v>201</v>
      </c>
      <c r="C206"/>
      <c r="D206"/>
      <c r="E206"/>
      <c r="F206"/>
      <c r="G206"/>
      <c r="H206"/>
    </row>
    <row r="207" spans="2:8" ht="18" customHeight="1" x14ac:dyDescent="0.25">
      <c r="B207" s="48">
        <f>ROW(A202)</f>
        <v>202</v>
      </c>
      <c r="C207"/>
      <c r="D207"/>
      <c r="E207"/>
      <c r="F207"/>
      <c r="G207"/>
      <c r="H207"/>
    </row>
    <row r="208" spans="2:8" ht="18" customHeight="1" x14ac:dyDescent="0.25">
      <c r="B208" s="48">
        <f>ROW(A203)</f>
        <v>203</v>
      </c>
      <c r="C208"/>
      <c r="D208"/>
      <c r="E208"/>
      <c r="F208"/>
      <c r="G208"/>
      <c r="H208"/>
    </row>
    <row r="209" spans="2:8" ht="18" customHeight="1" x14ac:dyDescent="0.25">
      <c r="B209" s="48">
        <f>ROW(A204)</f>
        <v>204</v>
      </c>
      <c r="C209"/>
      <c r="D209"/>
      <c r="E209"/>
      <c r="F209"/>
      <c r="G209"/>
      <c r="H209"/>
    </row>
    <row r="210" spans="2:8" ht="18" customHeight="1" x14ac:dyDescent="0.25">
      <c r="B210" s="48">
        <f>ROW(A205)</f>
        <v>205</v>
      </c>
      <c r="C210"/>
      <c r="D210"/>
      <c r="E210"/>
      <c r="F210"/>
      <c r="G210"/>
      <c r="H210"/>
    </row>
    <row r="211" spans="2:8" ht="18" customHeight="1" x14ac:dyDescent="0.25">
      <c r="B211" s="48">
        <f>ROW(A206)</f>
        <v>206</v>
      </c>
      <c r="C211"/>
      <c r="D211"/>
      <c r="E211"/>
      <c r="F211"/>
      <c r="G211"/>
      <c r="H211"/>
    </row>
    <row r="212" spans="2:8" ht="18" customHeight="1" x14ac:dyDescent="0.25">
      <c r="B212" s="48">
        <f>ROW(A207)</f>
        <v>207</v>
      </c>
      <c r="C212"/>
      <c r="D212"/>
      <c r="E212"/>
      <c r="F212"/>
      <c r="G212"/>
      <c r="H212"/>
    </row>
    <row r="213" spans="2:8" ht="18" customHeight="1" x14ac:dyDescent="0.25">
      <c r="B213" s="48">
        <f>ROW(A208)</f>
        <v>208</v>
      </c>
      <c r="C213"/>
      <c r="D213"/>
      <c r="E213"/>
      <c r="F213"/>
      <c r="G213"/>
      <c r="H213"/>
    </row>
    <row r="214" spans="2:8" ht="18" customHeight="1" x14ac:dyDescent="0.25">
      <c r="B214" s="48">
        <f>ROW(A209)</f>
        <v>209</v>
      </c>
      <c r="C214"/>
      <c r="D214"/>
      <c r="E214"/>
      <c r="F214"/>
      <c r="G214"/>
      <c r="H214"/>
    </row>
    <row r="215" spans="2:8" ht="18" customHeight="1" x14ac:dyDescent="0.25">
      <c r="B215" s="48">
        <f>ROW(A210)</f>
        <v>210</v>
      </c>
      <c r="C215"/>
      <c r="D215"/>
      <c r="E215"/>
      <c r="F215"/>
      <c r="G215"/>
      <c r="H215"/>
    </row>
    <row r="216" spans="2:8" ht="18" customHeight="1" x14ac:dyDescent="0.25">
      <c r="B216" s="48">
        <f>ROW(A211)</f>
        <v>211</v>
      </c>
      <c r="C216"/>
      <c r="D216"/>
      <c r="E216"/>
      <c r="F216"/>
      <c r="G216"/>
      <c r="H216"/>
    </row>
    <row r="217" spans="2:8" ht="18" customHeight="1" x14ac:dyDescent="0.25">
      <c r="B217" s="48">
        <f>ROW(A212)</f>
        <v>212</v>
      </c>
      <c r="C217"/>
      <c r="D217"/>
      <c r="E217"/>
      <c r="F217"/>
      <c r="G217"/>
      <c r="H217"/>
    </row>
    <row r="218" spans="2:8" ht="18" customHeight="1" x14ac:dyDescent="0.25">
      <c r="B218" s="48">
        <f>ROW(A213)</f>
        <v>213</v>
      </c>
      <c r="C218"/>
      <c r="D218"/>
      <c r="E218"/>
      <c r="F218"/>
      <c r="G218"/>
      <c r="H218"/>
    </row>
    <row r="219" spans="2:8" ht="18" customHeight="1" x14ac:dyDescent="0.25">
      <c r="B219" s="48">
        <f>ROW(A214)</f>
        <v>214</v>
      </c>
      <c r="C219"/>
      <c r="D219"/>
      <c r="E219"/>
      <c r="F219"/>
      <c r="G219"/>
      <c r="H219"/>
    </row>
    <row r="220" spans="2:8" ht="18" customHeight="1" x14ac:dyDescent="0.25">
      <c r="B220" s="48">
        <f>ROW(A215)</f>
        <v>215</v>
      </c>
      <c r="C220"/>
      <c r="D220"/>
      <c r="E220"/>
      <c r="F220"/>
      <c r="G220"/>
      <c r="H220"/>
    </row>
    <row r="221" spans="2:8" ht="18" customHeight="1" x14ac:dyDescent="0.25">
      <c r="B221" s="48">
        <f>ROW(A216)</f>
        <v>216</v>
      </c>
      <c r="C221"/>
      <c r="D221"/>
      <c r="E221"/>
      <c r="F221"/>
      <c r="G221"/>
      <c r="H221"/>
    </row>
    <row r="222" spans="2:8" ht="18" customHeight="1" x14ac:dyDescent="0.25">
      <c r="B222" s="48">
        <f>ROW(A217)</f>
        <v>217</v>
      </c>
      <c r="C222"/>
      <c r="D222"/>
      <c r="E222"/>
      <c r="F222"/>
      <c r="G222"/>
      <c r="H222"/>
    </row>
    <row r="223" spans="2:8" ht="18" customHeight="1" x14ac:dyDescent="0.25">
      <c r="B223" s="48">
        <f>ROW(A218)</f>
        <v>218</v>
      </c>
      <c r="C223"/>
      <c r="D223"/>
      <c r="E223"/>
      <c r="F223"/>
      <c r="G223"/>
      <c r="H223"/>
    </row>
    <row r="224" spans="2:8" ht="18" customHeight="1" x14ac:dyDescent="0.25">
      <c r="B224" s="48">
        <f>ROW(A219)</f>
        <v>219</v>
      </c>
      <c r="C224"/>
      <c r="D224"/>
      <c r="E224"/>
      <c r="F224"/>
      <c r="G224"/>
      <c r="H224"/>
    </row>
    <row r="225" spans="2:8" ht="18" customHeight="1" x14ac:dyDescent="0.25">
      <c r="B225" s="48">
        <f>ROW(A220)</f>
        <v>220</v>
      </c>
      <c r="C225"/>
      <c r="D225"/>
      <c r="E225"/>
      <c r="F225"/>
      <c r="G225"/>
      <c r="H225"/>
    </row>
    <row r="226" spans="2:8" ht="18" customHeight="1" x14ac:dyDescent="0.25">
      <c r="B226" s="48">
        <f>ROW(A221)</f>
        <v>221</v>
      </c>
      <c r="C226"/>
      <c r="D226"/>
      <c r="E226"/>
      <c r="F226"/>
      <c r="G226"/>
      <c r="H226"/>
    </row>
    <row r="227" spans="2:8" ht="18" customHeight="1" x14ac:dyDescent="0.25">
      <c r="B227" s="48">
        <f>ROW(A222)</f>
        <v>222</v>
      </c>
      <c r="C227"/>
      <c r="D227"/>
      <c r="E227"/>
      <c r="F227"/>
      <c r="G227"/>
      <c r="H227"/>
    </row>
    <row r="228" spans="2:8" ht="18" customHeight="1" x14ac:dyDescent="0.25">
      <c r="B228" s="48">
        <f>ROW(A223)</f>
        <v>223</v>
      </c>
      <c r="C228"/>
      <c r="D228"/>
      <c r="E228"/>
      <c r="F228"/>
      <c r="G228"/>
      <c r="H228"/>
    </row>
    <row r="229" spans="2:8" ht="18" customHeight="1" x14ac:dyDescent="0.25">
      <c r="B229" s="48">
        <f>ROW(A224)</f>
        <v>224</v>
      </c>
      <c r="C229"/>
      <c r="D229"/>
      <c r="E229"/>
      <c r="F229"/>
      <c r="G229"/>
      <c r="H229"/>
    </row>
    <row r="230" spans="2:8" ht="18" customHeight="1" x14ac:dyDescent="0.25">
      <c r="B230" s="48">
        <f>ROW(A225)</f>
        <v>225</v>
      </c>
      <c r="C230"/>
      <c r="D230"/>
      <c r="E230"/>
      <c r="F230"/>
      <c r="G230"/>
      <c r="H230"/>
    </row>
    <row r="231" spans="2:8" ht="18" customHeight="1" x14ac:dyDescent="0.25">
      <c r="B231" s="48">
        <f>ROW(A226)</f>
        <v>226</v>
      </c>
      <c r="C231"/>
      <c r="D231"/>
      <c r="E231"/>
      <c r="F231"/>
      <c r="G231"/>
      <c r="H231"/>
    </row>
    <row r="232" spans="2:8" ht="18" customHeight="1" x14ac:dyDescent="0.25">
      <c r="B232" s="48">
        <f>ROW(A227)</f>
        <v>227</v>
      </c>
      <c r="C232"/>
      <c r="D232"/>
      <c r="E232"/>
      <c r="F232"/>
      <c r="G232"/>
      <c r="H232"/>
    </row>
    <row r="233" spans="2:8" ht="18" customHeight="1" x14ac:dyDescent="0.25">
      <c r="B233" s="48">
        <f>ROW(A228)</f>
        <v>228</v>
      </c>
      <c r="C233"/>
      <c r="D233"/>
      <c r="E233"/>
      <c r="F233"/>
      <c r="G233"/>
      <c r="H233"/>
    </row>
    <row r="234" spans="2:8" ht="18" customHeight="1" x14ac:dyDescent="0.25">
      <c r="B234" s="48">
        <f>ROW(A229)</f>
        <v>229</v>
      </c>
      <c r="C234"/>
      <c r="D234"/>
      <c r="E234"/>
      <c r="F234"/>
      <c r="G234"/>
      <c r="H234"/>
    </row>
    <row r="235" spans="2:8" ht="18" customHeight="1" x14ac:dyDescent="0.25">
      <c r="B235" s="48">
        <f>ROW(A230)</f>
        <v>230</v>
      </c>
      <c r="C235"/>
      <c r="D235"/>
      <c r="E235"/>
      <c r="F235"/>
      <c r="G235"/>
      <c r="H235"/>
    </row>
    <row r="236" spans="2:8" ht="18" customHeight="1" x14ac:dyDescent="0.25">
      <c r="B236" s="48">
        <f>ROW(A231)</f>
        <v>231</v>
      </c>
      <c r="C236"/>
      <c r="D236"/>
      <c r="E236"/>
      <c r="F236"/>
      <c r="G236"/>
      <c r="H236"/>
    </row>
    <row r="237" spans="2:8" ht="18" customHeight="1" x14ac:dyDescent="0.25">
      <c r="B237" s="48">
        <f>ROW(A232)</f>
        <v>232</v>
      </c>
      <c r="C237"/>
      <c r="D237"/>
      <c r="E237"/>
      <c r="F237"/>
      <c r="G237"/>
      <c r="H237"/>
    </row>
    <row r="238" spans="2:8" ht="18" customHeight="1" x14ac:dyDescent="0.25">
      <c r="B238" s="48">
        <f>ROW(A233)</f>
        <v>233</v>
      </c>
      <c r="C238"/>
      <c r="D238"/>
      <c r="E238"/>
      <c r="F238"/>
      <c r="G238"/>
      <c r="H238"/>
    </row>
    <row r="239" spans="2:8" ht="18" customHeight="1" x14ac:dyDescent="0.25">
      <c r="B239" s="48">
        <f>ROW(A234)</f>
        <v>234</v>
      </c>
      <c r="C239"/>
      <c r="D239"/>
      <c r="E239"/>
      <c r="F239"/>
      <c r="G239"/>
      <c r="H239"/>
    </row>
    <row r="240" spans="2:8" ht="18" customHeight="1" x14ac:dyDescent="0.25">
      <c r="B240" s="48">
        <f>ROW(A235)</f>
        <v>235</v>
      </c>
      <c r="C240"/>
      <c r="D240"/>
      <c r="E240"/>
      <c r="F240"/>
      <c r="G240"/>
      <c r="H240"/>
    </row>
    <row r="241" spans="2:8" ht="18" customHeight="1" x14ac:dyDescent="0.25">
      <c r="B241" s="48">
        <f>ROW(A236)</f>
        <v>236</v>
      </c>
      <c r="C241"/>
      <c r="D241"/>
      <c r="E241"/>
      <c r="F241"/>
      <c r="G241"/>
      <c r="H241"/>
    </row>
  </sheetData>
  <mergeCells count="1">
    <mergeCell ref="B2:F4"/>
  </mergeCells>
  <phoneticPr fontId="1" type="noConversion"/>
  <conditionalFormatting sqref="A1:XFD1 A242:XFD1048576 I6:P25 A2:P5 Q2:XFD25 A6:C241 I26:XFD241">
    <cfRule type="containsBlanks" dxfId="48" priority="2">
      <formula>LEN(TRIM(A1))=0</formula>
    </cfRule>
  </conditionalFormatting>
  <conditionalFormatting sqref="B1:B1048576">
    <cfRule type="notContainsBlanks" dxfId="47" priority="1">
      <formula>LEN(TRIM(B1))&gt;0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3"/>
  <dimension ref="B2:T32"/>
  <sheetViews>
    <sheetView zoomScale="85" zoomScaleNormal="85" workbookViewId="0">
      <pane ySplit="5" topLeftCell="A6" activePane="bottomLeft" state="frozen"/>
      <selection pane="bottomLeft"/>
    </sheetView>
  </sheetViews>
  <sheetFormatPr defaultColWidth="9" defaultRowHeight="18" customHeight="1" x14ac:dyDescent="0.25"/>
  <cols>
    <col min="1" max="1" width="3.6640625" style="15" customWidth="1"/>
    <col min="2" max="2" width="5.21875" style="43" bestFit="1" customWidth="1"/>
    <col min="3" max="3" width="11.21875" style="31" bestFit="1" customWidth="1"/>
    <col min="4" max="5" width="6" style="32" bestFit="1" customWidth="1"/>
    <col min="6" max="6" width="10.21875" style="33" bestFit="1" customWidth="1"/>
    <col min="7" max="7" width="10.21875" style="35" bestFit="1" customWidth="1"/>
    <col min="8" max="8" width="10.21875" style="34" bestFit="1" customWidth="1"/>
    <col min="9" max="9" width="9" style="31" bestFit="1" customWidth="1"/>
    <col min="10" max="18" width="9" style="15"/>
    <col min="19" max="19" width="15.109375" style="15" bestFit="1" customWidth="1"/>
    <col min="20" max="20" width="98.33203125" style="15" bestFit="1" customWidth="1"/>
    <col min="21" max="21" width="15.109375" style="15" bestFit="1" customWidth="1"/>
    <col min="22" max="22" width="44.109375" style="15" bestFit="1" customWidth="1"/>
    <col min="23" max="16384" width="9" style="15"/>
  </cols>
  <sheetData>
    <row r="2" spans="2:20" ht="18" customHeight="1" x14ac:dyDescent="0.25">
      <c r="B2" s="351" t="s">
        <v>201</v>
      </c>
      <c r="C2" s="352"/>
      <c r="D2" s="352"/>
      <c r="E2" s="352"/>
      <c r="F2" s="352"/>
      <c r="G2" s="49"/>
      <c r="H2" s="52"/>
      <c r="S2" s="357" t="s">
        <v>121</v>
      </c>
      <c r="T2" s="358"/>
    </row>
    <row r="3" spans="2:20" ht="18" customHeight="1" x14ac:dyDescent="0.25">
      <c r="B3" s="353"/>
      <c r="C3" s="354"/>
      <c r="D3" s="354"/>
      <c r="E3" s="354"/>
      <c r="F3" s="354"/>
      <c r="G3" s="50" t="s">
        <v>122</v>
      </c>
      <c r="H3" s="54">
        <f>COUNTA(C:C)-1</f>
        <v>1</v>
      </c>
      <c r="S3" s="359"/>
      <c r="T3" s="360"/>
    </row>
    <row r="4" spans="2:20" ht="18" customHeight="1" x14ac:dyDescent="0.25">
      <c r="B4" s="355"/>
      <c r="C4" s="356"/>
      <c r="D4" s="356"/>
      <c r="E4" s="356"/>
      <c r="F4" s="356"/>
      <c r="G4" s="51"/>
      <c r="H4" s="53"/>
      <c r="S4" s="359"/>
      <c r="T4" s="360"/>
    </row>
    <row r="5" spans="2:20" ht="13.8" x14ac:dyDescent="0.25">
      <c r="B5" s="29" t="s">
        <v>123</v>
      </c>
      <c r="C5" s="37" t="s">
        <v>124</v>
      </c>
      <c r="D5" s="38" t="s">
        <v>118</v>
      </c>
      <c r="E5" s="38" t="s">
        <v>117</v>
      </c>
      <c r="F5" s="305" t="s">
        <v>127</v>
      </c>
      <c r="G5" s="305" t="s">
        <v>120</v>
      </c>
      <c r="H5" s="111" t="s">
        <v>128</v>
      </c>
      <c r="I5"/>
      <c r="S5" s="361"/>
      <c r="T5" s="362"/>
    </row>
    <row r="6" spans="2:20" ht="18" customHeight="1" x14ac:dyDescent="0.25">
      <c r="B6" s="42">
        <f>ROW(A1)</f>
        <v>1</v>
      </c>
      <c r="C6" s="30" t="s">
        <v>55</v>
      </c>
      <c r="D6" s="32">
        <v>8</v>
      </c>
      <c r="E6" s="32">
        <v>8</v>
      </c>
      <c r="F6" s="304">
        <v>160</v>
      </c>
      <c r="G6" s="304">
        <v>20</v>
      </c>
      <c r="H6" s="34">
        <v>5</v>
      </c>
      <c r="I6" s="15"/>
      <c r="S6" s="36" t="s">
        <v>56</v>
      </c>
      <c r="T6" s="36" t="s">
        <v>71</v>
      </c>
    </row>
    <row r="7" spans="2:20" ht="18" customHeight="1" x14ac:dyDescent="0.25">
      <c r="B7" s="42"/>
      <c r="C7"/>
      <c r="D7"/>
      <c r="E7"/>
      <c r="F7"/>
      <c r="G7"/>
      <c r="H7"/>
      <c r="I7" s="15"/>
      <c r="S7" s="39" t="s">
        <v>54</v>
      </c>
      <c r="T7" s="39" t="s">
        <v>81</v>
      </c>
    </row>
    <row r="8" spans="2:20" ht="18" customHeight="1" x14ac:dyDescent="0.25">
      <c r="B8" s="42"/>
      <c r="C8"/>
      <c r="D8"/>
      <c r="E8"/>
      <c r="F8"/>
      <c r="G8"/>
      <c r="H8"/>
      <c r="I8" s="15"/>
      <c r="S8" s="39" t="s">
        <v>57</v>
      </c>
      <c r="T8" s="39" t="s">
        <v>74</v>
      </c>
    </row>
    <row r="9" spans="2:20" ht="18" customHeight="1" x14ac:dyDescent="0.25">
      <c r="B9" s="42"/>
      <c r="C9"/>
      <c r="D9"/>
      <c r="E9"/>
      <c r="F9"/>
      <c r="G9"/>
      <c r="H9"/>
      <c r="I9" s="15"/>
      <c r="S9" s="39" t="s">
        <v>9</v>
      </c>
      <c r="T9" s="39" t="s">
        <v>82</v>
      </c>
    </row>
    <row r="10" spans="2:20" ht="18" customHeight="1" x14ac:dyDescent="0.25">
      <c r="B10" s="42"/>
      <c r="C10"/>
      <c r="D10"/>
      <c r="E10"/>
      <c r="F10"/>
      <c r="G10"/>
      <c r="H10"/>
      <c r="I10" s="15"/>
      <c r="S10" s="39" t="s">
        <v>58</v>
      </c>
      <c r="T10" s="39" t="s">
        <v>80</v>
      </c>
    </row>
    <row r="11" spans="2:20" ht="18" customHeight="1" x14ac:dyDescent="0.25">
      <c r="B11" s="42"/>
      <c r="C11"/>
      <c r="D11"/>
      <c r="E11"/>
      <c r="F11"/>
      <c r="G11"/>
      <c r="H11"/>
      <c r="I11" s="15"/>
      <c r="S11" s="39" t="s">
        <v>204</v>
      </c>
      <c r="T11" s="39"/>
    </row>
    <row r="12" spans="2:20" ht="18" customHeight="1" x14ac:dyDescent="0.25">
      <c r="B12" s="42"/>
      <c r="C12"/>
      <c r="D12"/>
      <c r="E12"/>
      <c r="F12"/>
      <c r="G12"/>
      <c r="H12"/>
      <c r="I12" s="15"/>
      <c r="S12" s="39" t="s">
        <v>59</v>
      </c>
      <c r="T12" s="39" t="s">
        <v>86</v>
      </c>
    </row>
    <row r="13" spans="2:20" ht="18" customHeight="1" x14ac:dyDescent="0.25">
      <c r="B13" s="42"/>
      <c r="C13"/>
      <c r="D13"/>
      <c r="E13"/>
      <c r="F13"/>
      <c r="G13"/>
      <c r="H13"/>
      <c r="I13" s="15"/>
      <c r="S13" s="39" t="s">
        <v>60</v>
      </c>
      <c r="T13" s="39"/>
    </row>
    <row r="14" spans="2:20" ht="18" customHeight="1" x14ac:dyDescent="0.25">
      <c r="B14" s="42"/>
      <c r="C14"/>
      <c r="D14"/>
      <c r="E14"/>
      <c r="F14"/>
      <c r="G14"/>
      <c r="H14"/>
      <c r="I14" s="15"/>
      <c r="S14" s="39" t="s">
        <v>36</v>
      </c>
      <c r="T14" s="39"/>
    </row>
    <row r="15" spans="2:20" ht="18" customHeight="1" x14ac:dyDescent="0.25">
      <c r="B15" s="42"/>
      <c r="C15"/>
      <c r="D15"/>
      <c r="E15"/>
      <c r="F15"/>
      <c r="G15"/>
      <c r="H15"/>
      <c r="I15" s="15"/>
      <c r="S15" s="39" t="s">
        <v>8</v>
      </c>
      <c r="T15" s="39" t="s">
        <v>208</v>
      </c>
    </row>
    <row r="16" spans="2:20" ht="18" customHeight="1" x14ac:dyDescent="0.25">
      <c r="B16" s="42"/>
      <c r="C16"/>
      <c r="D16"/>
      <c r="E16"/>
      <c r="F16"/>
      <c r="G16"/>
      <c r="H16"/>
      <c r="I16" s="15"/>
      <c r="S16" s="39" t="s">
        <v>23</v>
      </c>
      <c r="T16" s="39" t="s">
        <v>77</v>
      </c>
    </row>
    <row r="17" spans="2:20" ht="18" customHeight="1" x14ac:dyDescent="0.25">
      <c r="B17" s="42"/>
      <c r="C17"/>
      <c r="D17"/>
      <c r="E17"/>
      <c r="F17"/>
      <c r="G17"/>
      <c r="H17"/>
      <c r="I17" s="15"/>
      <c r="S17" s="39" t="s">
        <v>79</v>
      </c>
      <c r="T17" s="39"/>
    </row>
    <row r="18" spans="2:20" ht="18" customHeight="1" x14ac:dyDescent="0.25">
      <c r="B18" s="42"/>
      <c r="C18"/>
      <c r="D18"/>
      <c r="E18"/>
      <c r="F18"/>
      <c r="G18"/>
      <c r="H18"/>
      <c r="I18" s="15"/>
      <c r="S18" s="39" t="s">
        <v>76</v>
      </c>
      <c r="T18" s="39" t="s">
        <v>75</v>
      </c>
    </row>
    <row r="19" spans="2:20" ht="18" customHeight="1" x14ac:dyDescent="0.25">
      <c r="B19" s="42"/>
      <c r="C19"/>
      <c r="D19"/>
      <c r="E19"/>
      <c r="F19"/>
      <c r="G19"/>
      <c r="H19"/>
      <c r="I19" s="15"/>
      <c r="S19" s="39" t="s">
        <v>61</v>
      </c>
      <c r="T19" s="39" t="s">
        <v>84</v>
      </c>
    </row>
    <row r="20" spans="2:20" ht="18" customHeight="1" x14ac:dyDescent="0.25">
      <c r="B20" s="42"/>
      <c r="C20"/>
      <c r="D20"/>
      <c r="E20"/>
      <c r="F20"/>
      <c r="G20"/>
      <c r="H20"/>
      <c r="I20" s="15"/>
      <c r="S20" s="39" t="s">
        <v>62</v>
      </c>
      <c r="T20" s="39"/>
    </row>
    <row r="21" spans="2:20" ht="18" customHeight="1" x14ac:dyDescent="0.25">
      <c r="B21" s="42">
        <f t="shared" ref="B6:B28" si="0">ROW(A16)</f>
        <v>16</v>
      </c>
      <c r="C21"/>
      <c r="D21"/>
      <c r="E21"/>
      <c r="F21"/>
      <c r="G21"/>
      <c r="H21"/>
      <c r="I21" s="15"/>
      <c r="S21" s="39" t="s">
        <v>63</v>
      </c>
      <c r="T21" s="39" t="s">
        <v>72</v>
      </c>
    </row>
    <row r="22" spans="2:20" ht="18" customHeight="1" x14ac:dyDescent="0.25">
      <c r="B22" s="44">
        <f t="shared" si="0"/>
        <v>17</v>
      </c>
      <c r="C22"/>
      <c r="D22"/>
      <c r="E22"/>
      <c r="F22"/>
      <c r="G22"/>
      <c r="H22"/>
      <c r="I22" s="15"/>
      <c r="S22" s="39" t="s">
        <v>64</v>
      </c>
      <c r="T22" s="39" t="s">
        <v>83</v>
      </c>
    </row>
    <row r="23" spans="2:20" ht="18" customHeight="1" x14ac:dyDescent="0.25">
      <c r="B23" s="45">
        <f t="shared" si="0"/>
        <v>18</v>
      </c>
      <c r="C23"/>
      <c r="D23"/>
      <c r="E23"/>
      <c r="F23"/>
      <c r="G23"/>
      <c r="H23"/>
      <c r="I23" s="15"/>
      <c r="S23" s="39" t="s">
        <v>65</v>
      </c>
      <c r="T23" s="39"/>
    </row>
    <row r="24" spans="2:20" ht="18" customHeight="1" x14ac:dyDescent="0.25">
      <c r="B24" s="45">
        <f t="shared" si="0"/>
        <v>19</v>
      </c>
      <c r="C24"/>
      <c r="D24"/>
      <c r="E24"/>
      <c r="F24"/>
      <c r="G24"/>
      <c r="H24"/>
      <c r="I24" s="15"/>
      <c r="S24" s="39" t="s">
        <v>66</v>
      </c>
      <c r="T24" s="39"/>
    </row>
    <row r="25" spans="2:20" ht="18" customHeight="1" x14ac:dyDescent="0.25">
      <c r="B25" s="45">
        <f t="shared" si="0"/>
        <v>20</v>
      </c>
      <c r="C25"/>
      <c r="D25"/>
      <c r="E25"/>
      <c r="F25"/>
      <c r="G25"/>
      <c r="H25"/>
      <c r="I25" s="15"/>
      <c r="S25" s="39" t="s">
        <v>67</v>
      </c>
      <c r="T25" s="39" t="s">
        <v>69</v>
      </c>
    </row>
    <row r="26" spans="2:20" ht="18" customHeight="1" x14ac:dyDescent="0.25">
      <c r="B26" s="45">
        <f t="shared" si="0"/>
        <v>21</v>
      </c>
      <c r="C26"/>
      <c r="D26"/>
      <c r="E26"/>
      <c r="F26"/>
      <c r="G26"/>
      <c r="H26"/>
      <c r="I26" s="15"/>
      <c r="S26" s="39" t="s">
        <v>68</v>
      </c>
      <c r="T26" s="39" t="s">
        <v>70</v>
      </c>
    </row>
    <row r="27" spans="2:20" ht="18" customHeight="1" x14ac:dyDescent="0.25">
      <c r="B27" s="45">
        <f t="shared" si="0"/>
        <v>22</v>
      </c>
      <c r="C27"/>
      <c r="D27"/>
      <c r="E27"/>
      <c r="F27"/>
      <c r="G27"/>
      <c r="H27"/>
      <c r="I27" s="15"/>
      <c r="S27" s="40" t="s">
        <v>41</v>
      </c>
      <c r="T27" s="39"/>
    </row>
    <row r="28" spans="2:20" ht="18" customHeight="1" x14ac:dyDescent="0.25">
      <c r="B28" s="43">
        <f t="shared" si="0"/>
        <v>23</v>
      </c>
      <c r="C28"/>
      <c r="D28"/>
      <c r="E28"/>
      <c r="F28"/>
      <c r="G28"/>
      <c r="H28"/>
      <c r="I28" s="15"/>
      <c r="S28" s="40" t="s">
        <v>20</v>
      </c>
      <c r="T28" s="41" t="s">
        <v>78</v>
      </c>
    </row>
    <row r="29" spans="2:20" ht="18" customHeight="1" x14ac:dyDescent="0.25">
      <c r="C29" s="15"/>
      <c r="F29" s="295"/>
      <c r="G29" s="295"/>
      <c r="S29" s="40" t="s">
        <v>85</v>
      </c>
      <c r="T29" s="39" t="s">
        <v>73</v>
      </c>
    </row>
    <row r="30" spans="2:20" ht="18" customHeight="1" x14ac:dyDescent="0.25">
      <c r="C30" s="15"/>
      <c r="G30" s="33"/>
      <c r="S30" s="40" t="s">
        <v>94</v>
      </c>
      <c r="T30" s="39"/>
    </row>
    <row r="31" spans="2:20" ht="18" customHeight="1" x14ac:dyDescent="0.25">
      <c r="C31" s="15"/>
      <c r="G31" s="33"/>
      <c r="S31" s="40" t="s">
        <v>196</v>
      </c>
      <c r="T31" s="39" t="s">
        <v>195</v>
      </c>
    </row>
    <row r="32" spans="2:20" ht="18" customHeight="1" x14ac:dyDescent="0.25">
      <c r="C32" s="15"/>
      <c r="G32" s="33"/>
    </row>
  </sheetData>
  <mergeCells count="2">
    <mergeCell ref="B2:F4"/>
    <mergeCell ref="S2:T5"/>
  </mergeCells>
  <phoneticPr fontId="1" type="noConversion"/>
  <conditionalFormatting sqref="A6:B6 A1:XFD5 A7:C28 I6:XFD28 A29:XFD1048576">
    <cfRule type="containsBlanks" dxfId="46" priority="2">
      <formula>LEN(TRIM(A1))=0</formula>
    </cfRule>
  </conditionalFormatting>
  <conditionalFormatting sqref="B1:B1048576">
    <cfRule type="notContainsBlanks" dxfId="45" priority="1">
      <formula>LEN(TRIM(B1))&gt;0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5"/>
  <dimension ref="B1:L653"/>
  <sheetViews>
    <sheetView zoomScale="85" zoomScaleNormal="85" workbookViewId="0">
      <pane ySplit="5" topLeftCell="A6" activePane="bottomLeft" state="frozen"/>
      <selection pane="bottomLeft"/>
    </sheetView>
  </sheetViews>
  <sheetFormatPr defaultColWidth="9" defaultRowHeight="18" customHeight="1" x14ac:dyDescent="0.25"/>
  <cols>
    <col min="1" max="1" width="3.6640625" style="15" customWidth="1"/>
    <col min="2" max="2" width="5.21875" style="45" bestFit="1" customWidth="1"/>
    <col min="3" max="3" width="16.88671875" style="15" bestFit="1" customWidth="1"/>
    <col min="4" max="4" width="10.21875" style="15" bestFit="1" customWidth="1"/>
    <col min="5" max="5" width="12.44140625" style="15" bestFit="1" customWidth="1"/>
    <col min="6" max="6" width="10.21875" style="117" bestFit="1" customWidth="1"/>
    <col min="7" max="9" width="10.21875" style="15" bestFit="1" customWidth="1"/>
    <col min="10" max="10" width="9" style="15"/>
    <col min="11" max="11" width="9" style="47" customWidth="1"/>
    <col min="12" max="12" width="15.109375" style="47" bestFit="1" customWidth="1"/>
    <col min="13" max="16384" width="9" style="15"/>
  </cols>
  <sheetData>
    <row r="1" spans="2:12" customFormat="1" ht="18" customHeight="1" x14ac:dyDescent="0.25">
      <c r="B1" s="112"/>
      <c r="F1" s="116"/>
      <c r="K1" s="5"/>
      <c r="L1" s="5"/>
    </row>
    <row r="2" spans="2:12" customFormat="1" ht="18" customHeight="1" x14ac:dyDescent="0.25">
      <c r="B2" s="351" t="s">
        <v>203</v>
      </c>
      <c r="C2" s="352"/>
      <c r="D2" s="352"/>
      <c r="E2" s="352"/>
      <c r="F2" s="352"/>
      <c r="G2" s="49"/>
      <c r="H2" s="115"/>
      <c r="I2" s="82"/>
      <c r="K2" s="177">
        <v>1</v>
      </c>
      <c r="L2" s="178">
        <f>SUMIF(E:E,"&lt;&gt;""",D:D)/SUM(E:E)</f>
        <v>2</v>
      </c>
    </row>
    <row r="3" spans="2:12" customFormat="1" ht="18" customHeight="1" x14ac:dyDescent="0.25">
      <c r="B3" s="353"/>
      <c r="C3" s="354"/>
      <c r="D3" s="354"/>
      <c r="E3" s="354"/>
      <c r="F3" s="354"/>
      <c r="G3" s="50" t="s">
        <v>133</v>
      </c>
      <c r="H3" s="114">
        <f>COUNTA(C:C)-1</f>
        <v>1</v>
      </c>
      <c r="I3" s="83"/>
      <c r="K3" s="5"/>
      <c r="L3" s="5"/>
    </row>
    <row r="4" spans="2:12" customFormat="1" ht="18" customHeight="1" x14ac:dyDescent="0.25">
      <c r="B4" s="355"/>
      <c r="C4" s="356"/>
      <c r="D4" s="356"/>
      <c r="E4" s="356"/>
      <c r="F4" s="356"/>
      <c r="G4" s="175"/>
      <c r="H4" s="176"/>
      <c r="I4" s="84"/>
      <c r="K4" s="5"/>
      <c r="L4" s="5"/>
    </row>
    <row r="5" spans="2:12" customFormat="1" ht="13.8" x14ac:dyDescent="0.25">
      <c r="B5" s="113" t="s">
        <v>87</v>
      </c>
      <c r="C5" s="11" t="s">
        <v>132</v>
      </c>
      <c r="D5" s="38" t="s">
        <v>155</v>
      </c>
      <c r="E5" s="308" t="s">
        <v>134</v>
      </c>
      <c r="F5" s="308" t="s">
        <v>153</v>
      </c>
      <c r="G5" s="305" t="s">
        <v>127</v>
      </c>
      <c r="H5" s="305" t="s">
        <v>120</v>
      </c>
      <c r="I5" s="111" t="s">
        <v>128</v>
      </c>
      <c r="K5" s="5"/>
      <c r="L5" s="5"/>
    </row>
    <row r="6" spans="2:12" customFormat="1" ht="18" customHeight="1" x14ac:dyDescent="0.25">
      <c r="B6" s="42">
        <f>ROW(A1)</f>
        <v>1</v>
      </c>
      <c r="C6" s="30" t="s">
        <v>233</v>
      </c>
      <c r="D6" s="32">
        <v>8</v>
      </c>
      <c r="E6" s="31">
        <v>4</v>
      </c>
      <c r="F6" s="117">
        <v>2</v>
      </c>
      <c r="G6" s="304">
        <v>160</v>
      </c>
      <c r="H6" s="304">
        <v>20</v>
      </c>
      <c r="I6" s="34">
        <v>5</v>
      </c>
      <c r="K6" s="5"/>
      <c r="L6" s="5"/>
    </row>
    <row r="7" spans="2:12" customFormat="1" ht="18" customHeight="1" x14ac:dyDescent="0.25">
      <c r="B7" s="42"/>
      <c r="K7" s="47"/>
      <c r="L7" s="5"/>
    </row>
    <row r="8" spans="2:12" customFormat="1" ht="18" customHeight="1" x14ac:dyDescent="0.25">
      <c r="B8" s="42"/>
      <c r="K8" s="47"/>
      <c r="L8" s="5"/>
    </row>
    <row r="9" spans="2:12" customFormat="1" ht="18" customHeight="1" x14ac:dyDescent="0.25">
      <c r="B9" s="42"/>
      <c r="K9" s="5"/>
      <c r="L9" s="5"/>
    </row>
    <row r="10" spans="2:12" customFormat="1" ht="18" customHeight="1" x14ac:dyDescent="0.25">
      <c r="B10" s="42"/>
      <c r="K10" s="5"/>
      <c r="L10" s="5"/>
    </row>
    <row r="11" spans="2:12" customFormat="1" ht="18" customHeight="1" x14ac:dyDescent="0.25">
      <c r="B11" s="42"/>
      <c r="K11" s="5"/>
      <c r="L11" s="5"/>
    </row>
    <row r="12" spans="2:12" customFormat="1" ht="18" customHeight="1" x14ac:dyDescent="0.25">
      <c r="B12" s="42"/>
      <c r="K12" s="5"/>
      <c r="L12" s="5"/>
    </row>
    <row r="13" spans="2:12" customFormat="1" ht="18" customHeight="1" x14ac:dyDescent="0.25">
      <c r="B13" s="42"/>
      <c r="K13" s="5"/>
      <c r="L13" s="5"/>
    </row>
    <row r="14" spans="2:12" customFormat="1" ht="18" customHeight="1" x14ac:dyDescent="0.25">
      <c r="B14" s="42"/>
      <c r="K14" s="5"/>
      <c r="L14" s="5"/>
    </row>
    <row r="15" spans="2:12" customFormat="1" ht="18" customHeight="1" x14ac:dyDescent="0.25">
      <c r="B15" s="42"/>
      <c r="K15" s="5"/>
      <c r="L15" s="5"/>
    </row>
    <row r="16" spans="2:12" customFormat="1" ht="18" customHeight="1" x14ac:dyDescent="0.25">
      <c r="B16" s="42"/>
      <c r="K16" s="5"/>
      <c r="L16" s="5"/>
    </row>
    <row r="17" spans="2:12" customFormat="1" ht="18" customHeight="1" x14ac:dyDescent="0.25">
      <c r="B17" s="42"/>
      <c r="K17" s="5"/>
      <c r="L17" s="5"/>
    </row>
    <row r="18" spans="2:12" customFormat="1" ht="18" customHeight="1" x14ac:dyDescent="0.25">
      <c r="B18" s="42">
        <f>ROW(A13)</f>
        <v>13</v>
      </c>
      <c r="K18" s="5"/>
      <c r="L18" s="5"/>
    </row>
    <row r="19" spans="2:12" customFormat="1" ht="18" customHeight="1" x14ac:dyDescent="0.25">
      <c r="B19" s="42">
        <f>ROW(A14)</f>
        <v>14</v>
      </c>
      <c r="K19" s="5"/>
      <c r="L19" s="5"/>
    </row>
    <row r="20" spans="2:12" customFormat="1" ht="18" customHeight="1" x14ac:dyDescent="0.25">
      <c r="B20" s="42">
        <f>ROW(A15)</f>
        <v>15</v>
      </c>
      <c r="K20" s="5"/>
      <c r="L20" s="5"/>
    </row>
    <row r="21" spans="2:12" customFormat="1" ht="18" customHeight="1" x14ac:dyDescent="0.25">
      <c r="B21" s="42">
        <f>ROW(A16)</f>
        <v>16</v>
      </c>
      <c r="K21" s="5"/>
      <c r="L21" s="5"/>
    </row>
    <row r="22" spans="2:12" customFormat="1" ht="18" customHeight="1" x14ac:dyDescent="0.25">
      <c r="B22" s="44">
        <f>ROW(A17)</f>
        <v>17</v>
      </c>
      <c r="K22" s="5"/>
      <c r="L22" s="5"/>
    </row>
    <row r="23" spans="2:12" customFormat="1" ht="18" customHeight="1" x14ac:dyDescent="0.25">
      <c r="B23" s="45">
        <f>ROW(A18)</f>
        <v>18</v>
      </c>
      <c r="K23" s="5"/>
      <c r="L23" s="5"/>
    </row>
    <row r="24" spans="2:12" customFormat="1" ht="18" customHeight="1" x14ac:dyDescent="0.25">
      <c r="B24" s="45">
        <f>ROW(A19)</f>
        <v>19</v>
      </c>
      <c r="K24" s="5"/>
      <c r="L24" s="5"/>
    </row>
    <row r="25" spans="2:12" customFormat="1" ht="18" customHeight="1" x14ac:dyDescent="0.25">
      <c r="B25" s="45">
        <f>ROW(A20)</f>
        <v>20</v>
      </c>
      <c r="K25" s="5"/>
      <c r="L25" s="5"/>
    </row>
    <row r="26" spans="2:12" customFormat="1" ht="18" customHeight="1" x14ac:dyDescent="0.25">
      <c r="B26" s="45">
        <f>ROW(A21)</f>
        <v>21</v>
      </c>
      <c r="K26" s="5"/>
      <c r="L26" s="5"/>
    </row>
    <row r="27" spans="2:12" customFormat="1" ht="18" customHeight="1" x14ac:dyDescent="0.25">
      <c r="B27" s="45">
        <f>ROW(A22)</f>
        <v>22</v>
      </c>
      <c r="K27" s="5"/>
      <c r="L27" s="5"/>
    </row>
    <row r="28" spans="2:12" customFormat="1" ht="18" customHeight="1" x14ac:dyDescent="0.25">
      <c r="B28" s="112">
        <f>ROW(A23)</f>
        <v>23</v>
      </c>
      <c r="K28" s="5"/>
      <c r="L28" s="5"/>
    </row>
    <row r="29" spans="2:12" customFormat="1" ht="18" customHeight="1" x14ac:dyDescent="0.25">
      <c r="B29" s="112">
        <f>ROW(A24)</f>
        <v>24</v>
      </c>
      <c r="K29" s="5"/>
      <c r="L29" s="5"/>
    </row>
    <row r="30" spans="2:12" customFormat="1" ht="18" customHeight="1" x14ac:dyDescent="0.25">
      <c r="B30" s="112">
        <f>ROW(A25)</f>
        <v>25</v>
      </c>
      <c r="K30" s="5"/>
      <c r="L30" s="5"/>
    </row>
    <row r="31" spans="2:12" customFormat="1" ht="18" customHeight="1" x14ac:dyDescent="0.25">
      <c r="B31" s="112">
        <f>ROW(A26)</f>
        <v>26</v>
      </c>
      <c r="K31" s="5"/>
      <c r="L31" s="5"/>
    </row>
    <row r="32" spans="2:12" customFormat="1" ht="18" customHeight="1" x14ac:dyDescent="0.25">
      <c r="B32" s="112">
        <f>ROW(A27)</f>
        <v>27</v>
      </c>
      <c r="K32" s="5"/>
      <c r="L32" s="5"/>
    </row>
    <row r="33" spans="2:12" customFormat="1" ht="18" customHeight="1" x14ac:dyDescent="0.25">
      <c r="B33" s="112">
        <f>ROW(A28)</f>
        <v>28</v>
      </c>
      <c r="K33" s="5"/>
      <c r="L33" s="5"/>
    </row>
    <row r="34" spans="2:12" customFormat="1" ht="18" customHeight="1" x14ac:dyDescent="0.25">
      <c r="B34" s="112">
        <f>ROW(A29)</f>
        <v>29</v>
      </c>
      <c r="K34" s="5"/>
      <c r="L34" s="5"/>
    </row>
    <row r="35" spans="2:12" customFormat="1" ht="18" customHeight="1" x14ac:dyDescent="0.25">
      <c r="B35" s="112">
        <f>ROW(A30)</f>
        <v>30</v>
      </c>
      <c r="K35" s="5"/>
      <c r="L35" s="5"/>
    </row>
    <row r="36" spans="2:12" customFormat="1" ht="18" customHeight="1" x14ac:dyDescent="0.25">
      <c r="B36" s="112">
        <f>ROW(A31)</f>
        <v>31</v>
      </c>
      <c r="K36" s="5"/>
      <c r="L36" s="5"/>
    </row>
    <row r="37" spans="2:12" customFormat="1" ht="18" customHeight="1" x14ac:dyDescent="0.25">
      <c r="B37" s="112">
        <f>ROW(A32)</f>
        <v>32</v>
      </c>
      <c r="K37" s="5"/>
      <c r="L37" s="5"/>
    </row>
    <row r="38" spans="2:12" customFormat="1" ht="18" customHeight="1" x14ac:dyDescent="0.25">
      <c r="B38" s="112">
        <f>ROW(A33)</f>
        <v>33</v>
      </c>
      <c r="K38" s="5"/>
      <c r="L38" s="5"/>
    </row>
    <row r="39" spans="2:12" customFormat="1" ht="18" customHeight="1" x14ac:dyDescent="0.25">
      <c r="B39" s="112">
        <f>ROW(A34)</f>
        <v>34</v>
      </c>
      <c r="K39" s="5"/>
      <c r="L39" s="5"/>
    </row>
    <row r="40" spans="2:12" customFormat="1" ht="18" customHeight="1" x14ac:dyDescent="0.25">
      <c r="B40" s="112">
        <f>ROW(A35)</f>
        <v>35</v>
      </c>
      <c r="K40" s="5"/>
      <c r="L40" s="5"/>
    </row>
    <row r="41" spans="2:12" customFormat="1" ht="18" customHeight="1" x14ac:dyDescent="0.25">
      <c r="B41" s="112">
        <f>ROW(A36)</f>
        <v>36</v>
      </c>
      <c r="K41" s="5"/>
      <c r="L41" s="5"/>
    </row>
    <row r="42" spans="2:12" customFormat="1" ht="18" customHeight="1" x14ac:dyDescent="0.25">
      <c r="B42" s="112">
        <f>ROW(A37)</f>
        <v>37</v>
      </c>
      <c r="K42" s="5"/>
      <c r="L42" s="5"/>
    </row>
    <row r="43" spans="2:12" customFormat="1" ht="18" customHeight="1" x14ac:dyDescent="0.25">
      <c r="B43" s="112">
        <f>ROW(A38)</f>
        <v>38</v>
      </c>
      <c r="K43" s="5"/>
      <c r="L43" s="5"/>
    </row>
    <row r="44" spans="2:12" customFormat="1" ht="18" customHeight="1" x14ac:dyDescent="0.25">
      <c r="B44" s="112">
        <f>ROW(A39)</f>
        <v>39</v>
      </c>
      <c r="K44" s="5"/>
      <c r="L44" s="5"/>
    </row>
    <row r="45" spans="2:12" customFormat="1" ht="18" customHeight="1" x14ac:dyDescent="0.25">
      <c r="B45" s="112">
        <f>ROW(A40)</f>
        <v>40</v>
      </c>
      <c r="K45" s="5"/>
      <c r="L45" s="5"/>
    </row>
    <row r="46" spans="2:12" customFormat="1" ht="18" customHeight="1" x14ac:dyDescent="0.25">
      <c r="B46" s="112">
        <f>ROW(A41)</f>
        <v>41</v>
      </c>
      <c r="K46" s="5"/>
      <c r="L46" s="5"/>
    </row>
    <row r="47" spans="2:12" customFormat="1" ht="18" customHeight="1" x14ac:dyDescent="0.25">
      <c r="B47" s="112">
        <f>ROW(A42)</f>
        <v>42</v>
      </c>
      <c r="K47" s="5"/>
      <c r="L47" s="5"/>
    </row>
    <row r="48" spans="2:12" customFormat="1" ht="18" customHeight="1" x14ac:dyDescent="0.25">
      <c r="B48" s="112">
        <f>ROW(A43)</f>
        <v>43</v>
      </c>
      <c r="K48" s="5"/>
      <c r="L48" s="5"/>
    </row>
    <row r="49" spans="2:12" customFormat="1" ht="18" customHeight="1" x14ac:dyDescent="0.25">
      <c r="B49" s="112">
        <f>ROW(A44)</f>
        <v>44</v>
      </c>
      <c r="K49" s="5"/>
      <c r="L49" s="5"/>
    </row>
    <row r="50" spans="2:12" customFormat="1" ht="18" customHeight="1" x14ac:dyDescent="0.25">
      <c r="B50" s="112">
        <f>ROW(A45)</f>
        <v>45</v>
      </c>
      <c r="K50" s="5"/>
      <c r="L50" s="5"/>
    </row>
    <row r="51" spans="2:12" customFormat="1" ht="18" customHeight="1" x14ac:dyDescent="0.25">
      <c r="B51" s="112">
        <f>ROW(A46)</f>
        <v>46</v>
      </c>
      <c r="K51" s="5"/>
      <c r="L51" s="5"/>
    </row>
    <row r="52" spans="2:12" customFormat="1" ht="18" customHeight="1" x14ac:dyDescent="0.25">
      <c r="B52" s="112">
        <f>ROW(A47)</f>
        <v>47</v>
      </c>
      <c r="K52" s="5"/>
      <c r="L52" s="5"/>
    </row>
    <row r="53" spans="2:12" customFormat="1" ht="18" customHeight="1" x14ac:dyDescent="0.25">
      <c r="B53" s="112">
        <f>ROW(A48)</f>
        <v>48</v>
      </c>
      <c r="K53" s="5"/>
      <c r="L53" s="5"/>
    </row>
    <row r="54" spans="2:12" customFormat="1" ht="18" customHeight="1" x14ac:dyDescent="0.25">
      <c r="B54" s="112">
        <f>ROW(A49)</f>
        <v>49</v>
      </c>
      <c r="K54" s="5"/>
      <c r="L54" s="5"/>
    </row>
    <row r="55" spans="2:12" customFormat="1" ht="18" customHeight="1" x14ac:dyDescent="0.25">
      <c r="B55" s="112">
        <f>ROW(A50)</f>
        <v>50</v>
      </c>
      <c r="K55" s="5"/>
      <c r="L55" s="5"/>
    </row>
    <row r="56" spans="2:12" customFormat="1" ht="18" customHeight="1" x14ac:dyDescent="0.25">
      <c r="B56" s="112">
        <f>ROW(A51)</f>
        <v>51</v>
      </c>
      <c r="K56" s="5"/>
      <c r="L56" s="5"/>
    </row>
    <row r="57" spans="2:12" customFormat="1" ht="18" customHeight="1" x14ac:dyDescent="0.25">
      <c r="B57" s="112">
        <f>ROW(A52)</f>
        <v>52</v>
      </c>
      <c r="K57" s="5"/>
      <c r="L57" s="5"/>
    </row>
    <row r="58" spans="2:12" customFormat="1" ht="18" customHeight="1" x14ac:dyDescent="0.25">
      <c r="B58" s="112">
        <f>ROW(A53)</f>
        <v>53</v>
      </c>
      <c r="K58" s="5"/>
      <c r="L58" s="5"/>
    </row>
    <row r="59" spans="2:12" customFormat="1" ht="18" customHeight="1" x14ac:dyDescent="0.25">
      <c r="B59" s="112">
        <f>ROW(A54)</f>
        <v>54</v>
      </c>
      <c r="K59" s="5"/>
      <c r="L59" s="5"/>
    </row>
    <row r="60" spans="2:12" customFormat="1" ht="18" customHeight="1" x14ac:dyDescent="0.25">
      <c r="B60" s="112">
        <f>ROW(A55)</f>
        <v>55</v>
      </c>
      <c r="K60" s="5"/>
      <c r="L60" s="5"/>
    </row>
    <row r="61" spans="2:12" customFormat="1" ht="18" customHeight="1" x14ac:dyDescent="0.25">
      <c r="B61" s="112">
        <f>ROW(A56)</f>
        <v>56</v>
      </c>
      <c r="K61" s="5"/>
      <c r="L61" s="5"/>
    </row>
    <row r="62" spans="2:12" customFormat="1" ht="18" customHeight="1" x14ac:dyDescent="0.25">
      <c r="B62" s="112">
        <f>ROW(A57)</f>
        <v>57</v>
      </c>
      <c r="K62" s="5"/>
      <c r="L62" s="5"/>
    </row>
    <row r="63" spans="2:12" customFormat="1" ht="18" customHeight="1" x14ac:dyDescent="0.25">
      <c r="B63" s="112">
        <f>ROW(A58)</f>
        <v>58</v>
      </c>
      <c r="K63" s="5"/>
      <c r="L63" s="5"/>
    </row>
    <row r="64" spans="2:12" customFormat="1" ht="18" customHeight="1" x14ac:dyDescent="0.25">
      <c r="B64" s="112">
        <f>ROW(A59)</f>
        <v>59</v>
      </c>
      <c r="K64" s="5"/>
      <c r="L64" s="5"/>
    </row>
    <row r="65" spans="2:12" customFormat="1" ht="18" customHeight="1" x14ac:dyDescent="0.25">
      <c r="B65" s="112">
        <f>ROW(A60)</f>
        <v>60</v>
      </c>
      <c r="K65" s="5"/>
      <c r="L65" s="5"/>
    </row>
    <row r="66" spans="2:12" customFormat="1" ht="18" customHeight="1" x14ac:dyDescent="0.25">
      <c r="B66" s="112">
        <f>ROW(A61)</f>
        <v>61</v>
      </c>
      <c r="K66" s="5"/>
      <c r="L66" s="5"/>
    </row>
    <row r="67" spans="2:12" customFormat="1" ht="18" customHeight="1" x14ac:dyDescent="0.25">
      <c r="B67" s="112">
        <f>ROW(A62)</f>
        <v>62</v>
      </c>
      <c r="K67" s="5"/>
      <c r="L67" s="5"/>
    </row>
    <row r="68" spans="2:12" customFormat="1" ht="18" customHeight="1" x14ac:dyDescent="0.25">
      <c r="B68" s="112">
        <f>ROW(A63)</f>
        <v>63</v>
      </c>
      <c r="K68" s="5"/>
      <c r="L68" s="5"/>
    </row>
    <row r="69" spans="2:12" customFormat="1" ht="18" customHeight="1" x14ac:dyDescent="0.25">
      <c r="B69" s="112">
        <f>ROW(A64)</f>
        <v>64</v>
      </c>
      <c r="K69" s="5"/>
      <c r="L69" s="5"/>
    </row>
    <row r="70" spans="2:12" customFormat="1" ht="18" customHeight="1" x14ac:dyDescent="0.25">
      <c r="B70" s="112">
        <f>ROW(A65)</f>
        <v>65</v>
      </c>
      <c r="K70" s="5"/>
      <c r="L70" s="5"/>
    </row>
    <row r="71" spans="2:12" customFormat="1" ht="18" customHeight="1" x14ac:dyDescent="0.25">
      <c r="B71" s="112">
        <f>ROW(A66)</f>
        <v>66</v>
      </c>
      <c r="K71" s="5"/>
      <c r="L71" s="5"/>
    </row>
    <row r="72" spans="2:12" customFormat="1" ht="18" customHeight="1" x14ac:dyDescent="0.25">
      <c r="B72" s="112">
        <f>ROW(A67)</f>
        <v>67</v>
      </c>
      <c r="K72" s="5"/>
      <c r="L72" s="5"/>
    </row>
    <row r="73" spans="2:12" customFormat="1" ht="18" customHeight="1" x14ac:dyDescent="0.25">
      <c r="B73" s="112">
        <f>ROW(A68)</f>
        <v>68</v>
      </c>
      <c r="K73" s="5"/>
      <c r="L73" s="5"/>
    </row>
    <row r="74" spans="2:12" customFormat="1" ht="18" customHeight="1" x14ac:dyDescent="0.25">
      <c r="B74" s="112">
        <f>ROW(A69)</f>
        <v>69</v>
      </c>
      <c r="K74" s="5"/>
      <c r="L74" s="5"/>
    </row>
    <row r="75" spans="2:12" customFormat="1" ht="18" customHeight="1" x14ac:dyDescent="0.25">
      <c r="B75" s="112">
        <f>ROW(A70)</f>
        <v>70</v>
      </c>
      <c r="K75" s="5"/>
      <c r="L75" s="5"/>
    </row>
    <row r="76" spans="2:12" customFormat="1" ht="18" customHeight="1" x14ac:dyDescent="0.25">
      <c r="B76" s="112">
        <f>ROW(A71)</f>
        <v>71</v>
      </c>
      <c r="K76" s="5"/>
      <c r="L76" s="5"/>
    </row>
    <row r="77" spans="2:12" customFormat="1" ht="18" customHeight="1" x14ac:dyDescent="0.25">
      <c r="B77" s="112">
        <f>ROW(A72)</f>
        <v>72</v>
      </c>
      <c r="K77" s="5"/>
      <c r="L77" s="5"/>
    </row>
    <row r="78" spans="2:12" customFormat="1" ht="18" customHeight="1" x14ac:dyDescent="0.25">
      <c r="B78" s="112">
        <f>ROW(A73)</f>
        <v>73</v>
      </c>
      <c r="K78" s="5"/>
      <c r="L78" s="5"/>
    </row>
    <row r="79" spans="2:12" customFormat="1" ht="18" customHeight="1" x14ac:dyDescent="0.25">
      <c r="B79" s="112">
        <f>ROW(A74)</f>
        <v>74</v>
      </c>
      <c r="K79" s="5"/>
      <c r="L79" s="5"/>
    </row>
    <row r="80" spans="2:12" customFormat="1" ht="18" customHeight="1" x14ac:dyDescent="0.25">
      <c r="B80" s="112">
        <f>ROW(A75)</f>
        <v>75</v>
      </c>
      <c r="K80" s="5"/>
      <c r="L80" s="5"/>
    </row>
    <row r="81" spans="2:12" customFormat="1" ht="18" customHeight="1" x14ac:dyDescent="0.25">
      <c r="B81" s="112">
        <f>ROW(A76)</f>
        <v>76</v>
      </c>
      <c r="K81" s="5"/>
      <c r="L81" s="5"/>
    </row>
    <row r="82" spans="2:12" customFormat="1" ht="18" customHeight="1" x14ac:dyDescent="0.25">
      <c r="B82" s="112">
        <f>ROW(A77)</f>
        <v>77</v>
      </c>
      <c r="K82" s="5"/>
      <c r="L82" s="5"/>
    </row>
    <row r="83" spans="2:12" customFormat="1" ht="18" customHeight="1" x14ac:dyDescent="0.25">
      <c r="B83" s="112">
        <f>ROW(A78)</f>
        <v>78</v>
      </c>
      <c r="K83" s="5"/>
      <c r="L83" s="5"/>
    </row>
    <row r="84" spans="2:12" customFormat="1" ht="18" customHeight="1" x14ac:dyDescent="0.25">
      <c r="B84" s="112">
        <f>ROW(A79)</f>
        <v>79</v>
      </c>
      <c r="K84" s="5"/>
      <c r="L84" s="5"/>
    </row>
    <row r="85" spans="2:12" customFormat="1" ht="18" customHeight="1" x14ac:dyDescent="0.25">
      <c r="B85" s="112">
        <f>ROW(A80)</f>
        <v>80</v>
      </c>
      <c r="K85" s="5"/>
      <c r="L85" s="5"/>
    </row>
    <row r="86" spans="2:12" customFormat="1" ht="18" customHeight="1" x14ac:dyDescent="0.25">
      <c r="B86" s="112">
        <f>ROW(A81)</f>
        <v>81</v>
      </c>
      <c r="K86" s="5"/>
      <c r="L86" s="5"/>
    </row>
    <row r="87" spans="2:12" customFormat="1" ht="18" customHeight="1" x14ac:dyDescent="0.25">
      <c r="B87" s="112">
        <f>ROW(A82)</f>
        <v>82</v>
      </c>
      <c r="K87" s="5"/>
      <c r="L87" s="5"/>
    </row>
    <row r="88" spans="2:12" customFormat="1" ht="18" customHeight="1" x14ac:dyDescent="0.25">
      <c r="B88" s="112">
        <f>ROW(A83)</f>
        <v>83</v>
      </c>
      <c r="K88" s="5"/>
      <c r="L88" s="5"/>
    </row>
    <row r="89" spans="2:12" customFormat="1" ht="18" customHeight="1" x14ac:dyDescent="0.25">
      <c r="B89" s="112">
        <f>ROW(A84)</f>
        <v>84</v>
      </c>
      <c r="K89" s="5"/>
      <c r="L89" s="5"/>
    </row>
    <row r="90" spans="2:12" customFormat="1" ht="18" customHeight="1" x14ac:dyDescent="0.25">
      <c r="B90" s="112">
        <f>ROW(A85)</f>
        <v>85</v>
      </c>
      <c r="K90" s="5"/>
      <c r="L90" s="5"/>
    </row>
    <row r="91" spans="2:12" customFormat="1" ht="18" customHeight="1" x14ac:dyDescent="0.25">
      <c r="B91" s="112">
        <f>ROW(A86)</f>
        <v>86</v>
      </c>
      <c r="K91" s="5"/>
      <c r="L91" s="5"/>
    </row>
    <row r="92" spans="2:12" customFormat="1" ht="18" customHeight="1" x14ac:dyDescent="0.25">
      <c r="B92" s="112">
        <f>ROW(A87)</f>
        <v>87</v>
      </c>
      <c r="K92" s="5"/>
      <c r="L92" s="5"/>
    </row>
    <row r="93" spans="2:12" customFormat="1" ht="18" customHeight="1" x14ac:dyDescent="0.25">
      <c r="B93" s="112">
        <f>ROW(A88)</f>
        <v>88</v>
      </c>
      <c r="K93" s="5"/>
      <c r="L93" s="5"/>
    </row>
    <row r="94" spans="2:12" customFormat="1" ht="18" customHeight="1" x14ac:dyDescent="0.25">
      <c r="B94" s="112">
        <f>ROW(A89)</f>
        <v>89</v>
      </c>
      <c r="K94" s="5"/>
      <c r="L94" s="5"/>
    </row>
    <row r="95" spans="2:12" customFormat="1" ht="18" customHeight="1" x14ac:dyDescent="0.25">
      <c r="B95" s="112">
        <f>ROW(A90)</f>
        <v>90</v>
      </c>
      <c r="K95" s="5"/>
      <c r="L95" s="5"/>
    </row>
    <row r="96" spans="2:12" customFormat="1" ht="18" customHeight="1" x14ac:dyDescent="0.25">
      <c r="B96" s="112">
        <f>ROW(A91)</f>
        <v>91</v>
      </c>
      <c r="K96" s="5"/>
      <c r="L96" s="5"/>
    </row>
    <row r="97" spans="2:12" customFormat="1" ht="18" customHeight="1" x14ac:dyDescent="0.25">
      <c r="B97" s="112">
        <f>ROW(A92)</f>
        <v>92</v>
      </c>
      <c r="K97" s="5"/>
      <c r="L97" s="5"/>
    </row>
    <row r="98" spans="2:12" customFormat="1" ht="18" customHeight="1" x14ac:dyDescent="0.25">
      <c r="B98" s="112">
        <f>ROW(A93)</f>
        <v>93</v>
      </c>
      <c r="K98" s="5"/>
      <c r="L98" s="5"/>
    </row>
    <row r="99" spans="2:12" customFormat="1" ht="18" customHeight="1" x14ac:dyDescent="0.25">
      <c r="B99" s="112">
        <f>ROW(A94)</f>
        <v>94</v>
      </c>
      <c r="K99" s="5"/>
      <c r="L99" s="5"/>
    </row>
    <row r="100" spans="2:12" customFormat="1" ht="18" customHeight="1" x14ac:dyDescent="0.25">
      <c r="B100" s="112">
        <f>ROW(A95)</f>
        <v>95</v>
      </c>
      <c r="K100" s="5"/>
      <c r="L100" s="5"/>
    </row>
    <row r="101" spans="2:12" customFormat="1" ht="18" customHeight="1" x14ac:dyDescent="0.25">
      <c r="B101" s="112">
        <f>ROW(A96)</f>
        <v>96</v>
      </c>
      <c r="K101" s="5"/>
      <c r="L101" s="5"/>
    </row>
    <row r="102" spans="2:12" customFormat="1" ht="18" customHeight="1" x14ac:dyDescent="0.25">
      <c r="B102" s="112">
        <f>ROW(A97)</f>
        <v>97</v>
      </c>
      <c r="K102" s="5"/>
      <c r="L102" s="5"/>
    </row>
    <row r="103" spans="2:12" customFormat="1" ht="18" customHeight="1" x14ac:dyDescent="0.25">
      <c r="B103" s="112">
        <f>ROW(A98)</f>
        <v>98</v>
      </c>
      <c r="K103" s="5"/>
      <c r="L103" s="5"/>
    </row>
    <row r="104" spans="2:12" customFormat="1" ht="18" customHeight="1" x14ac:dyDescent="0.25">
      <c r="B104" s="112">
        <f>ROW(A99)</f>
        <v>99</v>
      </c>
      <c r="K104" s="5"/>
      <c r="L104" s="5"/>
    </row>
    <row r="105" spans="2:12" customFormat="1" ht="18" customHeight="1" x14ac:dyDescent="0.25">
      <c r="B105" s="112">
        <f>ROW(A100)</f>
        <v>100</v>
      </c>
      <c r="K105" s="5"/>
      <c r="L105" s="5"/>
    </row>
    <row r="106" spans="2:12" customFormat="1" ht="18" customHeight="1" x14ac:dyDescent="0.25">
      <c r="B106" s="112">
        <f>ROW(A101)</f>
        <v>101</v>
      </c>
      <c r="K106" s="5"/>
      <c r="L106" s="5"/>
    </row>
    <row r="107" spans="2:12" customFormat="1" ht="18" customHeight="1" x14ac:dyDescent="0.25">
      <c r="B107" s="112">
        <f>ROW(A102)</f>
        <v>102</v>
      </c>
      <c r="K107" s="5"/>
      <c r="L107" s="5"/>
    </row>
    <row r="108" spans="2:12" customFormat="1" ht="18" customHeight="1" x14ac:dyDescent="0.25">
      <c r="B108" s="112">
        <f>ROW(A103)</f>
        <v>103</v>
      </c>
      <c r="K108" s="5"/>
      <c r="L108" s="5"/>
    </row>
    <row r="109" spans="2:12" customFormat="1" ht="18" customHeight="1" x14ac:dyDescent="0.25">
      <c r="B109" s="112">
        <f>ROW(A104)</f>
        <v>104</v>
      </c>
      <c r="K109" s="5"/>
      <c r="L109" s="5"/>
    </row>
    <row r="110" spans="2:12" customFormat="1" ht="18" customHeight="1" x14ac:dyDescent="0.25">
      <c r="B110" s="112">
        <f>ROW(A105)</f>
        <v>105</v>
      </c>
      <c r="K110" s="5"/>
      <c r="L110" s="5"/>
    </row>
    <row r="111" spans="2:12" customFormat="1" ht="18" customHeight="1" x14ac:dyDescent="0.25">
      <c r="B111" s="112">
        <f>ROW(A106)</f>
        <v>106</v>
      </c>
      <c r="K111" s="5"/>
      <c r="L111" s="5"/>
    </row>
    <row r="112" spans="2:12" customFormat="1" ht="18" customHeight="1" x14ac:dyDescent="0.25">
      <c r="B112" s="112">
        <f>ROW(A107)</f>
        <v>107</v>
      </c>
      <c r="K112" s="5"/>
      <c r="L112" s="5"/>
    </row>
    <row r="113" spans="2:12" customFormat="1" ht="18" customHeight="1" x14ac:dyDescent="0.25">
      <c r="B113" s="112">
        <f>ROW(A108)</f>
        <v>108</v>
      </c>
      <c r="K113" s="5"/>
      <c r="L113" s="5"/>
    </row>
    <row r="114" spans="2:12" customFormat="1" ht="18" customHeight="1" x14ac:dyDescent="0.25">
      <c r="B114" s="112">
        <f>ROW(A109)</f>
        <v>109</v>
      </c>
      <c r="K114" s="5"/>
      <c r="L114" s="5"/>
    </row>
    <row r="115" spans="2:12" customFormat="1" ht="18" customHeight="1" x14ac:dyDescent="0.25">
      <c r="B115" s="112">
        <f>ROW(A110)</f>
        <v>110</v>
      </c>
      <c r="K115" s="5"/>
      <c r="L115" s="5"/>
    </row>
    <row r="116" spans="2:12" customFormat="1" ht="18" customHeight="1" x14ac:dyDescent="0.25">
      <c r="B116" s="112">
        <f>ROW(A111)</f>
        <v>111</v>
      </c>
      <c r="K116" s="5"/>
      <c r="L116" s="5"/>
    </row>
    <row r="117" spans="2:12" customFormat="1" ht="18" customHeight="1" x14ac:dyDescent="0.25">
      <c r="B117" s="112">
        <f>ROW(A112)</f>
        <v>112</v>
      </c>
      <c r="K117" s="5"/>
      <c r="L117" s="5"/>
    </row>
    <row r="118" spans="2:12" customFormat="1" ht="18" customHeight="1" x14ac:dyDescent="0.25">
      <c r="B118" s="112">
        <f>ROW(A113)</f>
        <v>113</v>
      </c>
      <c r="K118" s="5"/>
      <c r="L118" s="5"/>
    </row>
    <row r="119" spans="2:12" customFormat="1" ht="18" customHeight="1" x14ac:dyDescent="0.25">
      <c r="B119" s="112">
        <f>ROW(A114)</f>
        <v>114</v>
      </c>
      <c r="K119" s="5"/>
      <c r="L119" s="5"/>
    </row>
    <row r="120" spans="2:12" customFormat="1" ht="18" customHeight="1" x14ac:dyDescent="0.25">
      <c r="B120" s="112">
        <f>ROW(A115)</f>
        <v>115</v>
      </c>
      <c r="K120" s="5"/>
      <c r="L120" s="5"/>
    </row>
    <row r="121" spans="2:12" customFormat="1" ht="18" customHeight="1" x14ac:dyDescent="0.25">
      <c r="B121" s="112">
        <f>ROW(A116)</f>
        <v>116</v>
      </c>
      <c r="K121" s="5"/>
      <c r="L121" s="5"/>
    </row>
    <row r="122" spans="2:12" customFormat="1" ht="18" customHeight="1" x14ac:dyDescent="0.25">
      <c r="B122" s="112">
        <f>ROW(A117)</f>
        <v>117</v>
      </c>
      <c r="K122" s="5"/>
      <c r="L122" s="5"/>
    </row>
    <row r="123" spans="2:12" customFormat="1" ht="18" customHeight="1" x14ac:dyDescent="0.25">
      <c r="B123" s="112">
        <f>ROW(A118)</f>
        <v>118</v>
      </c>
      <c r="K123" s="5"/>
      <c r="L123" s="5"/>
    </row>
    <row r="124" spans="2:12" customFormat="1" ht="18" customHeight="1" x14ac:dyDescent="0.25">
      <c r="B124" s="112">
        <f>ROW(A119)</f>
        <v>119</v>
      </c>
      <c r="K124" s="5"/>
      <c r="L124" s="5"/>
    </row>
    <row r="125" spans="2:12" customFormat="1" ht="18" customHeight="1" x14ac:dyDescent="0.25">
      <c r="B125" s="112">
        <f>ROW(A120)</f>
        <v>120</v>
      </c>
      <c r="K125" s="5"/>
      <c r="L125" s="5"/>
    </row>
    <row r="126" spans="2:12" customFormat="1" ht="18" customHeight="1" x14ac:dyDescent="0.25">
      <c r="B126" s="112">
        <f>ROW(A121)</f>
        <v>121</v>
      </c>
      <c r="K126" s="5"/>
      <c r="L126" s="5"/>
    </row>
    <row r="127" spans="2:12" customFormat="1" ht="18" customHeight="1" x14ac:dyDescent="0.25">
      <c r="B127" s="112">
        <f>ROW(A122)</f>
        <v>122</v>
      </c>
      <c r="K127" s="5"/>
      <c r="L127" s="5"/>
    </row>
    <row r="128" spans="2:12" customFormat="1" ht="18" customHeight="1" x14ac:dyDescent="0.25">
      <c r="B128" s="112">
        <f>ROW(A123)</f>
        <v>123</v>
      </c>
      <c r="K128" s="5"/>
      <c r="L128" s="5"/>
    </row>
    <row r="129" spans="2:12" customFormat="1" ht="18" customHeight="1" x14ac:dyDescent="0.25">
      <c r="B129" s="112">
        <f>ROW(A124)</f>
        <v>124</v>
      </c>
      <c r="K129" s="5"/>
      <c r="L129" s="5"/>
    </row>
    <row r="130" spans="2:12" customFormat="1" ht="18" customHeight="1" x14ac:dyDescent="0.25">
      <c r="B130" s="112">
        <f>ROW(A125)</f>
        <v>125</v>
      </c>
      <c r="K130" s="5"/>
      <c r="L130" s="5"/>
    </row>
    <row r="131" spans="2:12" customFormat="1" ht="18" customHeight="1" x14ac:dyDescent="0.25">
      <c r="B131" s="112">
        <f>ROW(A126)</f>
        <v>126</v>
      </c>
      <c r="K131" s="5"/>
      <c r="L131" s="5"/>
    </row>
    <row r="132" spans="2:12" customFormat="1" ht="18" customHeight="1" x14ac:dyDescent="0.25">
      <c r="B132" s="112">
        <f>ROW(A127)</f>
        <v>127</v>
      </c>
      <c r="K132" s="5"/>
      <c r="L132" s="5"/>
    </row>
    <row r="133" spans="2:12" customFormat="1" ht="18" customHeight="1" x14ac:dyDescent="0.25">
      <c r="B133" s="112">
        <f>ROW(A128)</f>
        <v>128</v>
      </c>
      <c r="K133" s="5"/>
      <c r="L133" s="5"/>
    </row>
    <row r="134" spans="2:12" customFormat="1" ht="18" customHeight="1" x14ac:dyDescent="0.25">
      <c r="B134" s="112">
        <f>ROW(A129)</f>
        <v>129</v>
      </c>
      <c r="K134" s="5"/>
      <c r="L134" s="5"/>
    </row>
    <row r="135" spans="2:12" customFormat="1" ht="18" customHeight="1" x14ac:dyDescent="0.25">
      <c r="B135" s="112">
        <f>ROW(A130)</f>
        <v>130</v>
      </c>
      <c r="K135" s="5"/>
      <c r="L135" s="5"/>
    </row>
    <row r="136" spans="2:12" customFormat="1" ht="18" customHeight="1" x14ac:dyDescent="0.25">
      <c r="B136" s="112">
        <f>ROW(A131)</f>
        <v>131</v>
      </c>
      <c r="K136" s="5"/>
      <c r="L136" s="5"/>
    </row>
    <row r="137" spans="2:12" customFormat="1" ht="18" customHeight="1" x14ac:dyDescent="0.25">
      <c r="B137" s="112">
        <f>ROW(A132)</f>
        <v>132</v>
      </c>
      <c r="K137" s="5"/>
      <c r="L137" s="5"/>
    </row>
    <row r="138" spans="2:12" customFormat="1" ht="18" customHeight="1" x14ac:dyDescent="0.25">
      <c r="B138" s="112">
        <f>ROW(A133)</f>
        <v>133</v>
      </c>
      <c r="K138" s="5"/>
      <c r="L138" s="5"/>
    </row>
    <row r="139" spans="2:12" customFormat="1" ht="18" customHeight="1" x14ac:dyDescent="0.25">
      <c r="B139" s="112">
        <f>ROW(A134)</f>
        <v>134</v>
      </c>
      <c r="K139" s="5"/>
      <c r="L139" s="5"/>
    </row>
    <row r="140" spans="2:12" customFormat="1" ht="18" customHeight="1" x14ac:dyDescent="0.25">
      <c r="B140" s="112">
        <f>ROW(A135)</f>
        <v>135</v>
      </c>
      <c r="K140" s="5"/>
      <c r="L140" s="5"/>
    </row>
    <row r="141" spans="2:12" customFormat="1" ht="18" customHeight="1" x14ac:dyDescent="0.25">
      <c r="B141" s="112">
        <f>ROW(A136)</f>
        <v>136</v>
      </c>
      <c r="K141" s="5"/>
      <c r="L141" s="5"/>
    </row>
    <row r="142" spans="2:12" customFormat="1" ht="18" customHeight="1" x14ac:dyDescent="0.25">
      <c r="B142" s="112">
        <f>ROW(A137)</f>
        <v>137</v>
      </c>
      <c r="K142" s="5"/>
      <c r="L142" s="5"/>
    </row>
    <row r="143" spans="2:12" customFormat="1" ht="18" customHeight="1" x14ac:dyDescent="0.25">
      <c r="B143" s="112">
        <f>ROW(A138)</f>
        <v>138</v>
      </c>
      <c r="K143" s="5"/>
      <c r="L143" s="5"/>
    </row>
    <row r="144" spans="2:12" customFormat="1" ht="18" customHeight="1" x14ac:dyDescent="0.25">
      <c r="B144" s="112">
        <f>ROW(A139)</f>
        <v>139</v>
      </c>
      <c r="K144" s="5"/>
      <c r="L144" s="5"/>
    </row>
    <row r="145" spans="2:12" customFormat="1" ht="18" customHeight="1" x14ac:dyDescent="0.25">
      <c r="B145" s="112">
        <f>ROW(A140)</f>
        <v>140</v>
      </c>
      <c r="K145" s="5"/>
      <c r="L145" s="5"/>
    </row>
    <row r="146" spans="2:12" customFormat="1" ht="18" customHeight="1" x14ac:dyDescent="0.25">
      <c r="B146" s="112">
        <f>ROW(A141)</f>
        <v>141</v>
      </c>
      <c r="K146" s="5"/>
      <c r="L146" s="5"/>
    </row>
    <row r="147" spans="2:12" customFormat="1" ht="18" customHeight="1" x14ac:dyDescent="0.25">
      <c r="B147" s="112">
        <f>ROW(A142)</f>
        <v>142</v>
      </c>
      <c r="K147" s="5"/>
      <c r="L147" s="5"/>
    </row>
    <row r="148" spans="2:12" customFormat="1" ht="18" customHeight="1" x14ac:dyDescent="0.25">
      <c r="B148" s="112">
        <f>ROW(A143)</f>
        <v>143</v>
      </c>
      <c r="K148" s="5"/>
      <c r="L148" s="5"/>
    </row>
    <row r="149" spans="2:12" customFormat="1" ht="18" customHeight="1" x14ac:dyDescent="0.25">
      <c r="B149" s="112">
        <f>ROW(A144)</f>
        <v>144</v>
      </c>
      <c r="K149" s="5"/>
      <c r="L149" s="5"/>
    </row>
    <row r="150" spans="2:12" customFormat="1" ht="18" customHeight="1" x14ac:dyDescent="0.25">
      <c r="B150" s="112">
        <f>ROW(A145)</f>
        <v>145</v>
      </c>
      <c r="K150" s="5"/>
      <c r="L150" s="5"/>
    </row>
    <row r="151" spans="2:12" customFormat="1" ht="18" customHeight="1" x14ac:dyDescent="0.25">
      <c r="B151" s="112">
        <f>ROW(A146)</f>
        <v>146</v>
      </c>
      <c r="K151" s="5"/>
      <c r="L151" s="5"/>
    </row>
    <row r="152" spans="2:12" customFormat="1" ht="18" customHeight="1" x14ac:dyDescent="0.25">
      <c r="B152" s="112">
        <f>ROW(A147)</f>
        <v>147</v>
      </c>
      <c r="K152" s="5"/>
      <c r="L152" s="5"/>
    </row>
    <row r="153" spans="2:12" customFormat="1" ht="18" customHeight="1" x14ac:dyDescent="0.25">
      <c r="B153" s="112">
        <f>ROW(A148)</f>
        <v>148</v>
      </c>
      <c r="K153" s="5"/>
      <c r="L153" s="5"/>
    </row>
    <row r="154" spans="2:12" customFormat="1" ht="18" customHeight="1" x14ac:dyDescent="0.25">
      <c r="B154" s="112">
        <f>ROW(A149)</f>
        <v>149</v>
      </c>
      <c r="K154" s="5"/>
      <c r="L154" s="5"/>
    </row>
    <row r="155" spans="2:12" customFormat="1" ht="18" customHeight="1" x14ac:dyDescent="0.25">
      <c r="B155" s="112">
        <f>ROW(A150)</f>
        <v>150</v>
      </c>
      <c r="K155" s="5"/>
      <c r="L155" s="5"/>
    </row>
    <row r="156" spans="2:12" customFormat="1" ht="18" customHeight="1" x14ac:dyDescent="0.25">
      <c r="B156" s="112">
        <f>ROW(A151)</f>
        <v>151</v>
      </c>
      <c r="K156" s="5"/>
      <c r="L156" s="5"/>
    </row>
    <row r="157" spans="2:12" customFormat="1" ht="18" customHeight="1" x14ac:dyDescent="0.25">
      <c r="B157" s="112">
        <f>ROW(A152)</f>
        <v>152</v>
      </c>
      <c r="K157" s="5"/>
      <c r="L157" s="5"/>
    </row>
    <row r="158" spans="2:12" customFormat="1" ht="18" customHeight="1" x14ac:dyDescent="0.25">
      <c r="B158" s="112">
        <f>ROW(A153)</f>
        <v>153</v>
      </c>
      <c r="K158" s="5"/>
      <c r="L158" s="5"/>
    </row>
    <row r="159" spans="2:12" customFormat="1" ht="18" customHeight="1" x14ac:dyDescent="0.25">
      <c r="B159" s="112">
        <f>ROW(A154)</f>
        <v>154</v>
      </c>
      <c r="K159" s="5"/>
      <c r="L159" s="5"/>
    </row>
    <row r="160" spans="2:12" customFormat="1" ht="18" customHeight="1" x14ac:dyDescent="0.25">
      <c r="B160" s="112">
        <f>ROW(A155)</f>
        <v>155</v>
      </c>
      <c r="K160" s="5"/>
      <c r="L160" s="5"/>
    </row>
    <row r="161" spans="2:12" customFormat="1" ht="18" customHeight="1" x14ac:dyDescent="0.25">
      <c r="B161" s="112">
        <f>ROW(A156)</f>
        <v>156</v>
      </c>
      <c r="K161" s="5"/>
      <c r="L161" s="5"/>
    </row>
    <row r="162" spans="2:12" customFormat="1" ht="18" customHeight="1" x14ac:dyDescent="0.25">
      <c r="B162" s="112">
        <f>ROW(A157)</f>
        <v>157</v>
      </c>
      <c r="K162" s="5"/>
      <c r="L162" s="5"/>
    </row>
    <row r="163" spans="2:12" customFormat="1" ht="18" customHeight="1" x14ac:dyDescent="0.25">
      <c r="B163" s="112">
        <f>ROW(A158)</f>
        <v>158</v>
      </c>
      <c r="K163" s="5"/>
      <c r="L163" s="5"/>
    </row>
    <row r="164" spans="2:12" customFormat="1" ht="18" customHeight="1" x14ac:dyDescent="0.25">
      <c r="B164" s="112">
        <f>ROW(A159)</f>
        <v>159</v>
      </c>
      <c r="K164" s="5"/>
      <c r="L164" s="5"/>
    </row>
    <row r="165" spans="2:12" customFormat="1" ht="18" customHeight="1" x14ac:dyDescent="0.25">
      <c r="B165" s="112">
        <f>ROW(A160)</f>
        <v>160</v>
      </c>
      <c r="K165" s="5"/>
      <c r="L165" s="5"/>
    </row>
    <row r="166" spans="2:12" customFormat="1" ht="18" customHeight="1" x14ac:dyDescent="0.25">
      <c r="B166" s="112">
        <f>ROW(A161)</f>
        <v>161</v>
      </c>
      <c r="K166" s="5"/>
      <c r="L166" s="5"/>
    </row>
    <row r="167" spans="2:12" customFormat="1" ht="18" customHeight="1" x14ac:dyDescent="0.25">
      <c r="B167" s="112">
        <f>ROW(A162)</f>
        <v>162</v>
      </c>
      <c r="K167" s="5"/>
      <c r="L167" s="5"/>
    </row>
    <row r="168" spans="2:12" customFormat="1" ht="18" customHeight="1" x14ac:dyDescent="0.25">
      <c r="B168" s="112">
        <f>ROW(A163)</f>
        <v>163</v>
      </c>
      <c r="K168" s="5"/>
      <c r="L168" s="5"/>
    </row>
    <row r="169" spans="2:12" customFormat="1" ht="18" customHeight="1" x14ac:dyDescent="0.25">
      <c r="B169" s="112">
        <f>ROW(A164)</f>
        <v>164</v>
      </c>
      <c r="K169" s="5"/>
      <c r="L169" s="5"/>
    </row>
    <row r="170" spans="2:12" customFormat="1" ht="18" customHeight="1" x14ac:dyDescent="0.25">
      <c r="B170" s="112">
        <f>ROW(A165)</f>
        <v>165</v>
      </c>
      <c r="K170" s="5"/>
      <c r="L170" s="5"/>
    </row>
    <row r="171" spans="2:12" customFormat="1" ht="18" customHeight="1" x14ac:dyDescent="0.25">
      <c r="B171" s="112">
        <f>ROW(A166)</f>
        <v>166</v>
      </c>
      <c r="K171" s="5"/>
      <c r="L171" s="5"/>
    </row>
    <row r="172" spans="2:12" customFormat="1" ht="18" customHeight="1" x14ac:dyDescent="0.25">
      <c r="B172" s="112">
        <f>ROW(A167)</f>
        <v>167</v>
      </c>
      <c r="K172" s="5"/>
      <c r="L172" s="5"/>
    </row>
    <row r="173" spans="2:12" customFormat="1" ht="18" customHeight="1" x14ac:dyDescent="0.25">
      <c r="B173" s="112">
        <f>ROW(A168)</f>
        <v>168</v>
      </c>
      <c r="K173" s="5"/>
      <c r="L173" s="5"/>
    </row>
    <row r="174" spans="2:12" customFormat="1" ht="18" customHeight="1" x14ac:dyDescent="0.25">
      <c r="B174" s="112">
        <f>ROW(A169)</f>
        <v>169</v>
      </c>
      <c r="K174" s="5"/>
      <c r="L174" s="5"/>
    </row>
    <row r="175" spans="2:12" customFormat="1" ht="18" customHeight="1" x14ac:dyDescent="0.25">
      <c r="B175" s="112">
        <f>ROW(A170)</f>
        <v>170</v>
      </c>
      <c r="K175" s="5"/>
      <c r="L175" s="5"/>
    </row>
    <row r="176" spans="2:12" customFormat="1" ht="18" customHeight="1" x14ac:dyDescent="0.25">
      <c r="B176" s="112">
        <f>ROW(A171)</f>
        <v>171</v>
      </c>
      <c r="K176" s="5"/>
      <c r="L176" s="5"/>
    </row>
    <row r="177" spans="2:12" customFormat="1" ht="18" customHeight="1" x14ac:dyDescent="0.25">
      <c r="B177" s="112">
        <f>ROW(A172)</f>
        <v>172</v>
      </c>
      <c r="K177" s="5"/>
      <c r="L177" s="5"/>
    </row>
    <row r="178" spans="2:12" customFormat="1" ht="18" customHeight="1" x14ac:dyDescent="0.25">
      <c r="B178" s="112">
        <f>ROW(A173)</f>
        <v>173</v>
      </c>
      <c r="K178" s="5"/>
      <c r="L178" s="5"/>
    </row>
    <row r="179" spans="2:12" customFormat="1" ht="18" customHeight="1" x14ac:dyDescent="0.25">
      <c r="B179" s="112">
        <f>ROW(A174)</f>
        <v>174</v>
      </c>
      <c r="K179" s="5"/>
      <c r="L179" s="5"/>
    </row>
    <row r="180" spans="2:12" customFormat="1" ht="18" customHeight="1" x14ac:dyDescent="0.25">
      <c r="B180" s="112">
        <f>ROW(A175)</f>
        <v>175</v>
      </c>
      <c r="K180" s="5"/>
      <c r="L180" s="5"/>
    </row>
    <row r="181" spans="2:12" customFormat="1" ht="18" customHeight="1" x14ac:dyDescent="0.25">
      <c r="B181" s="112">
        <f>ROW(A176)</f>
        <v>176</v>
      </c>
      <c r="K181" s="5"/>
      <c r="L181" s="5"/>
    </row>
    <row r="182" spans="2:12" customFormat="1" ht="18" customHeight="1" x14ac:dyDescent="0.25">
      <c r="B182" s="112">
        <f>ROW(A177)</f>
        <v>177</v>
      </c>
      <c r="K182" s="5"/>
      <c r="L182" s="5"/>
    </row>
    <row r="183" spans="2:12" customFormat="1" ht="18" customHeight="1" x14ac:dyDescent="0.25">
      <c r="B183" s="112">
        <f>ROW(A178)</f>
        <v>178</v>
      </c>
      <c r="K183" s="5"/>
      <c r="L183" s="5"/>
    </row>
    <row r="184" spans="2:12" customFormat="1" ht="18" customHeight="1" x14ac:dyDescent="0.25">
      <c r="B184" s="112">
        <f>ROW(A179)</f>
        <v>179</v>
      </c>
      <c r="K184" s="5"/>
      <c r="L184" s="5"/>
    </row>
    <row r="185" spans="2:12" customFormat="1" ht="18" customHeight="1" x14ac:dyDescent="0.25">
      <c r="B185" s="112">
        <f>ROW(A180)</f>
        <v>180</v>
      </c>
      <c r="K185" s="5"/>
      <c r="L185" s="5"/>
    </row>
    <row r="186" spans="2:12" customFormat="1" ht="18" customHeight="1" x14ac:dyDescent="0.25">
      <c r="B186" s="112">
        <f>ROW(A181)</f>
        <v>181</v>
      </c>
      <c r="K186" s="5"/>
      <c r="L186" s="5"/>
    </row>
    <row r="187" spans="2:12" customFormat="1" ht="18" customHeight="1" x14ac:dyDescent="0.25">
      <c r="B187" s="112">
        <f>ROW(A182)</f>
        <v>182</v>
      </c>
      <c r="K187" s="5"/>
      <c r="L187" s="5"/>
    </row>
    <row r="188" spans="2:12" customFormat="1" ht="18" customHeight="1" x14ac:dyDescent="0.25">
      <c r="B188" s="112">
        <f>ROW(A183)</f>
        <v>183</v>
      </c>
      <c r="K188" s="5"/>
      <c r="L188" s="5"/>
    </row>
    <row r="189" spans="2:12" customFormat="1" ht="18" customHeight="1" x14ac:dyDescent="0.25">
      <c r="B189" s="112">
        <f>ROW(A184)</f>
        <v>184</v>
      </c>
      <c r="K189" s="5"/>
      <c r="L189" s="5"/>
    </row>
    <row r="190" spans="2:12" customFormat="1" ht="18" customHeight="1" x14ac:dyDescent="0.25">
      <c r="B190" s="112">
        <f>ROW(A185)</f>
        <v>185</v>
      </c>
      <c r="K190" s="5"/>
      <c r="L190" s="5"/>
    </row>
    <row r="191" spans="2:12" customFormat="1" ht="18" customHeight="1" x14ac:dyDescent="0.25">
      <c r="B191" s="112">
        <f>ROW(A186)</f>
        <v>186</v>
      </c>
      <c r="K191" s="5"/>
      <c r="L191" s="5"/>
    </row>
    <row r="192" spans="2:12" customFormat="1" ht="18" customHeight="1" x14ac:dyDescent="0.25">
      <c r="B192" s="112">
        <f>ROW(A187)</f>
        <v>187</v>
      </c>
      <c r="K192" s="5"/>
      <c r="L192" s="5"/>
    </row>
    <row r="193" spans="2:12" customFormat="1" ht="18" customHeight="1" x14ac:dyDescent="0.25">
      <c r="B193" s="112">
        <f>ROW(A188)</f>
        <v>188</v>
      </c>
      <c r="K193" s="5"/>
      <c r="L193" s="5"/>
    </row>
    <row r="194" spans="2:12" customFormat="1" ht="18" customHeight="1" x14ac:dyDescent="0.25">
      <c r="B194" s="112">
        <f>ROW(A189)</f>
        <v>189</v>
      </c>
      <c r="K194" s="5"/>
      <c r="L194" s="5"/>
    </row>
    <row r="195" spans="2:12" customFormat="1" ht="18" customHeight="1" x14ac:dyDescent="0.25">
      <c r="B195" s="112">
        <f>ROW(A190)</f>
        <v>190</v>
      </c>
      <c r="K195" s="5"/>
      <c r="L195" s="5"/>
    </row>
    <row r="196" spans="2:12" customFormat="1" ht="18" customHeight="1" x14ac:dyDescent="0.25">
      <c r="B196" s="112">
        <f>ROW(A191)</f>
        <v>191</v>
      </c>
      <c r="K196" s="5"/>
      <c r="L196" s="5"/>
    </row>
    <row r="197" spans="2:12" customFormat="1" ht="18" customHeight="1" x14ac:dyDescent="0.25">
      <c r="B197" s="112">
        <f>ROW(A192)</f>
        <v>192</v>
      </c>
      <c r="K197" s="5"/>
      <c r="L197" s="5"/>
    </row>
    <row r="198" spans="2:12" customFormat="1" ht="18" customHeight="1" x14ac:dyDescent="0.25">
      <c r="B198" s="112">
        <f>ROW(A193)</f>
        <v>193</v>
      </c>
      <c r="K198" s="5"/>
      <c r="L198" s="5"/>
    </row>
    <row r="199" spans="2:12" customFormat="1" ht="18" customHeight="1" x14ac:dyDescent="0.25">
      <c r="B199" s="112">
        <f>ROW(A194)</f>
        <v>194</v>
      </c>
      <c r="K199" s="5"/>
      <c r="L199" s="5"/>
    </row>
    <row r="200" spans="2:12" customFormat="1" ht="18" customHeight="1" x14ac:dyDescent="0.25">
      <c r="B200" s="112">
        <f>ROW(A195)</f>
        <v>195</v>
      </c>
      <c r="K200" s="5"/>
      <c r="L200" s="5"/>
    </row>
    <row r="201" spans="2:12" customFormat="1" ht="18" customHeight="1" x14ac:dyDescent="0.25">
      <c r="B201" s="112">
        <f>ROW(A196)</f>
        <v>196</v>
      </c>
      <c r="K201" s="5"/>
      <c r="L201" s="5"/>
    </row>
    <row r="202" spans="2:12" customFormat="1" ht="18" customHeight="1" x14ac:dyDescent="0.25">
      <c r="B202" s="112">
        <f>ROW(A197)</f>
        <v>197</v>
      </c>
      <c r="K202" s="5"/>
      <c r="L202" s="5"/>
    </row>
    <row r="203" spans="2:12" customFormat="1" ht="18" customHeight="1" x14ac:dyDescent="0.25">
      <c r="B203" s="112">
        <f>ROW(A198)</f>
        <v>198</v>
      </c>
      <c r="K203" s="5"/>
      <c r="L203" s="5"/>
    </row>
    <row r="204" spans="2:12" customFormat="1" ht="18" customHeight="1" x14ac:dyDescent="0.25">
      <c r="B204" s="112">
        <f>ROW(A199)</f>
        <v>199</v>
      </c>
      <c r="K204" s="5"/>
      <c r="L204" s="5"/>
    </row>
    <row r="205" spans="2:12" customFormat="1" ht="18" customHeight="1" x14ac:dyDescent="0.25">
      <c r="B205" s="112">
        <f>ROW(A200)</f>
        <v>200</v>
      </c>
      <c r="K205" s="5"/>
      <c r="L205" s="5"/>
    </row>
    <row r="206" spans="2:12" customFormat="1" ht="18" customHeight="1" x14ac:dyDescent="0.25">
      <c r="B206" s="112">
        <f>ROW(A201)</f>
        <v>201</v>
      </c>
      <c r="K206" s="5"/>
      <c r="L206" s="5"/>
    </row>
    <row r="207" spans="2:12" customFormat="1" ht="18" customHeight="1" x14ac:dyDescent="0.25">
      <c r="B207" s="112">
        <f>ROW(A202)</f>
        <v>202</v>
      </c>
      <c r="K207" s="5"/>
      <c r="L207" s="5"/>
    </row>
    <row r="208" spans="2:12" customFormat="1" ht="18" customHeight="1" x14ac:dyDescent="0.25">
      <c r="B208" s="112">
        <f>ROW(A203)</f>
        <v>203</v>
      </c>
      <c r="K208" s="5"/>
      <c r="L208" s="5"/>
    </row>
    <row r="209" spans="2:12" customFormat="1" ht="18" customHeight="1" x14ac:dyDescent="0.25">
      <c r="B209" s="112">
        <f>ROW(A204)</f>
        <v>204</v>
      </c>
      <c r="K209" s="5"/>
      <c r="L209" s="5"/>
    </row>
    <row r="210" spans="2:12" customFormat="1" ht="18" customHeight="1" x14ac:dyDescent="0.25">
      <c r="B210" s="112">
        <f>ROW(A205)</f>
        <v>205</v>
      </c>
      <c r="K210" s="5"/>
      <c r="L210" s="5"/>
    </row>
    <row r="211" spans="2:12" customFormat="1" ht="18" customHeight="1" x14ac:dyDescent="0.25">
      <c r="B211" s="112">
        <f>ROW(A206)</f>
        <v>206</v>
      </c>
      <c r="K211" s="5"/>
      <c r="L211" s="5"/>
    </row>
    <row r="212" spans="2:12" customFormat="1" ht="18" customHeight="1" x14ac:dyDescent="0.25">
      <c r="B212" s="112">
        <f>ROW(A207)</f>
        <v>207</v>
      </c>
      <c r="K212" s="5"/>
      <c r="L212" s="5"/>
    </row>
    <row r="213" spans="2:12" customFormat="1" ht="18" customHeight="1" x14ac:dyDescent="0.25">
      <c r="B213" s="112">
        <f>ROW(A208)</f>
        <v>208</v>
      </c>
      <c r="K213" s="5"/>
      <c r="L213" s="5"/>
    </row>
    <row r="214" spans="2:12" customFormat="1" ht="18" customHeight="1" x14ac:dyDescent="0.25">
      <c r="B214" s="112">
        <f>ROW(A209)</f>
        <v>209</v>
      </c>
      <c r="K214" s="5"/>
      <c r="L214" s="5"/>
    </row>
    <row r="215" spans="2:12" customFormat="1" ht="18" customHeight="1" x14ac:dyDescent="0.25">
      <c r="B215" s="112">
        <f>ROW(A210)</f>
        <v>210</v>
      </c>
      <c r="K215" s="5"/>
      <c r="L215" s="5"/>
    </row>
    <row r="216" spans="2:12" customFormat="1" ht="18" customHeight="1" x14ac:dyDescent="0.25">
      <c r="B216" s="112">
        <f>ROW(A211)</f>
        <v>211</v>
      </c>
      <c r="K216" s="5"/>
      <c r="L216" s="5"/>
    </row>
    <row r="217" spans="2:12" customFormat="1" ht="18" customHeight="1" x14ac:dyDescent="0.25">
      <c r="B217" s="112">
        <f>ROW(A212)</f>
        <v>212</v>
      </c>
      <c r="K217" s="5"/>
      <c r="L217" s="5"/>
    </row>
    <row r="218" spans="2:12" customFormat="1" ht="18" customHeight="1" x14ac:dyDescent="0.25">
      <c r="B218" s="112">
        <f>ROW(A213)</f>
        <v>213</v>
      </c>
      <c r="K218" s="5"/>
      <c r="L218" s="5"/>
    </row>
    <row r="219" spans="2:12" customFormat="1" ht="18" customHeight="1" x14ac:dyDescent="0.25">
      <c r="B219" s="112">
        <f>ROW(A214)</f>
        <v>214</v>
      </c>
      <c r="K219" s="5"/>
      <c r="L219" s="5"/>
    </row>
    <row r="220" spans="2:12" customFormat="1" ht="18" customHeight="1" x14ac:dyDescent="0.25">
      <c r="B220" s="112">
        <f>ROW(A215)</f>
        <v>215</v>
      </c>
      <c r="K220" s="5"/>
      <c r="L220" s="5"/>
    </row>
    <row r="221" spans="2:12" customFormat="1" ht="18" customHeight="1" x14ac:dyDescent="0.25">
      <c r="B221" s="112">
        <f>ROW(A216)</f>
        <v>216</v>
      </c>
      <c r="K221" s="5"/>
      <c r="L221" s="5"/>
    </row>
    <row r="222" spans="2:12" customFormat="1" ht="18" customHeight="1" x14ac:dyDescent="0.25">
      <c r="B222" s="112">
        <f>ROW(A217)</f>
        <v>217</v>
      </c>
      <c r="K222" s="5"/>
      <c r="L222" s="5"/>
    </row>
    <row r="223" spans="2:12" customFormat="1" ht="18" customHeight="1" x14ac:dyDescent="0.25">
      <c r="B223" s="112">
        <f>ROW(A218)</f>
        <v>218</v>
      </c>
      <c r="K223" s="5"/>
      <c r="L223" s="5"/>
    </row>
    <row r="224" spans="2:12" customFormat="1" ht="18" customHeight="1" x14ac:dyDescent="0.25">
      <c r="B224" s="112">
        <f>ROW(A219)</f>
        <v>219</v>
      </c>
      <c r="K224" s="5"/>
      <c r="L224" s="5"/>
    </row>
    <row r="225" spans="2:12" customFormat="1" ht="18" customHeight="1" x14ac:dyDescent="0.25">
      <c r="B225" s="112">
        <f>ROW(A220)</f>
        <v>220</v>
      </c>
      <c r="K225" s="5"/>
      <c r="L225" s="5"/>
    </row>
    <row r="226" spans="2:12" customFormat="1" ht="18" customHeight="1" x14ac:dyDescent="0.25">
      <c r="B226" s="112">
        <f>ROW(A221)</f>
        <v>221</v>
      </c>
      <c r="K226" s="5"/>
      <c r="L226" s="5"/>
    </row>
    <row r="227" spans="2:12" customFormat="1" ht="18" customHeight="1" x14ac:dyDescent="0.25">
      <c r="B227" s="112">
        <f>ROW(A222)</f>
        <v>222</v>
      </c>
      <c r="K227" s="5"/>
      <c r="L227" s="5"/>
    </row>
    <row r="228" spans="2:12" customFormat="1" ht="18" customHeight="1" x14ac:dyDescent="0.25">
      <c r="B228" s="112">
        <f>ROW(A223)</f>
        <v>223</v>
      </c>
      <c r="K228" s="5"/>
      <c r="L228" s="5"/>
    </row>
    <row r="229" spans="2:12" customFormat="1" ht="18" customHeight="1" x14ac:dyDescent="0.25">
      <c r="B229" s="112">
        <f>ROW(A224)</f>
        <v>224</v>
      </c>
      <c r="K229" s="5"/>
      <c r="L229" s="5"/>
    </row>
    <row r="230" spans="2:12" customFormat="1" ht="18" customHeight="1" x14ac:dyDescent="0.25">
      <c r="B230" s="112">
        <f>ROW(A225)</f>
        <v>225</v>
      </c>
      <c r="K230" s="5"/>
      <c r="L230" s="5"/>
    </row>
    <row r="231" spans="2:12" customFormat="1" ht="18" customHeight="1" x14ac:dyDescent="0.25">
      <c r="B231" s="112">
        <f>ROW(A226)</f>
        <v>226</v>
      </c>
      <c r="K231" s="5"/>
      <c r="L231" s="5"/>
    </row>
    <row r="232" spans="2:12" customFormat="1" ht="18" customHeight="1" x14ac:dyDescent="0.25">
      <c r="B232" s="112">
        <f>ROW(A227)</f>
        <v>227</v>
      </c>
      <c r="K232" s="5"/>
      <c r="L232" s="5"/>
    </row>
    <row r="233" spans="2:12" customFormat="1" ht="18" customHeight="1" x14ac:dyDescent="0.25">
      <c r="B233" s="112">
        <f>ROW(A228)</f>
        <v>228</v>
      </c>
      <c r="K233" s="5"/>
      <c r="L233" s="5"/>
    </row>
    <row r="234" spans="2:12" customFormat="1" ht="18" customHeight="1" x14ac:dyDescent="0.25">
      <c r="B234" s="112">
        <f>ROW(A229)</f>
        <v>229</v>
      </c>
      <c r="K234" s="5"/>
      <c r="L234" s="5"/>
    </row>
    <row r="235" spans="2:12" customFormat="1" ht="18" customHeight="1" x14ac:dyDescent="0.25">
      <c r="B235" s="112">
        <f>ROW(A230)</f>
        <v>230</v>
      </c>
      <c r="K235" s="5"/>
      <c r="L235" s="5"/>
    </row>
    <row r="236" spans="2:12" customFormat="1" ht="18" customHeight="1" x14ac:dyDescent="0.25">
      <c r="B236" s="112">
        <f>ROW(A231)</f>
        <v>231</v>
      </c>
      <c r="K236" s="5"/>
      <c r="L236" s="5"/>
    </row>
    <row r="237" spans="2:12" customFormat="1" ht="18" customHeight="1" x14ac:dyDescent="0.25">
      <c r="B237" s="112">
        <f>ROW(A232)</f>
        <v>232</v>
      </c>
      <c r="K237" s="5"/>
      <c r="L237" s="5"/>
    </row>
    <row r="238" spans="2:12" customFormat="1" ht="18" customHeight="1" x14ac:dyDescent="0.25">
      <c r="B238" s="112">
        <f>ROW(A233)</f>
        <v>233</v>
      </c>
      <c r="K238" s="5"/>
      <c r="L238" s="5"/>
    </row>
    <row r="239" spans="2:12" customFormat="1" ht="18" customHeight="1" x14ac:dyDescent="0.25">
      <c r="B239" s="112">
        <f>ROW(A234)</f>
        <v>234</v>
      </c>
      <c r="K239" s="5"/>
      <c r="L239" s="5"/>
    </row>
    <row r="240" spans="2:12" customFormat="1" ht="18" customHeight="1" x14ac:dyDescent="0.25">
      <c r="B240" s="112">
        <f>ROW(A235)</f>
        <v>235</v>
      </c>
      <c r="K240" s="5"/>
      <c r="L240" s="5"/>
    </row>
    <row r="241" spans="2:12" customFormat="1" ht="18" customHeight="1" x14ac:dyDescent="0.25">
      <c r="B241" s="112">
        <f>ROW(A236)</f>
        <v>236</v>
      </c>
      <c r="K241" s="5"/>
      <c r="L241" s="5"/>
    </row>
    <row r="242" spans="2:12" customFormat="1" ht="18" customHeight="1" x14ac:dyDescent="0.25">
      <c r="B242" s="112">
        <f>ROW(A237)</f>
        <v>237</v>
      </c>
      <c r="K242" s="5"/>
      <c r="L242" s="5"/>
    </row>
    <row r="243" spans="2:12" customFormat="1" ht="18" customHeight="1" x14ac:dyDescent="0.25">
      <c r="B243" s="112">
        <f>ROW(A238)</f>
        <v>238</v>
      </c>
      <c r="K243" s="5"/>
      <c r="L243" s="5"/>
    </row>
    <row r="244" spans="2:12" customFormat="1" ht="18" customHeight="1" x14ac:dyDescent="0.25">
      <c r="B244" s="112">
        <f>ROW(A239)</f>
        <v>239</v>
      </c>
      <c r="K244" s="5"/>
      <c r="L244" s="5"/>
    </row>
    <row r="245" spans="2:12" customFormat="1" ht="18" customHeight="1" x14ac:dyDescent="0.25">
      <c r="B245" s="112">
        <f>ROW(A240)</f>
        <v>240</v>
      </c>
      <c r="K245" s="5"/>
      <c r="L245" s="5"/>
    </row>
    <row r="246" spans="2:12" customFormat="1" ht="18" customHeight="1" x14ac:dyDescent="0.25">
      <c r="B246" s="112">
        <f>ROW(A241)</f>
        <v>241</v>
      </c>
      <c r="K246" s="5"/>
      <c r="L246" s="5"/>
    </row>
    <row r="247" spans="2:12" customFormat="1" ht="18" customHeight="1" x14ac:dyDescent="0.25">
      <c r="B247" s="112">
        <f>ROW(A242)</f>
        <v>242</v>
      </c>
      <c r="K247" s="5"/>
      <c r="L247" s="5"/>
    </row>
    <row r="248" spans="2:12" customFormat="1" ht="18" customHeight="1" x14ac:dyDescent="0.25">
      <c r="B248" s="112">
        <f>ROW(A243)</f>
        <v>243</v>
      </c>
      <c r="K248" s="5"/>
      <c r="L248" s="5"/>
    </row>
    <row r="249" spans="2:12" customFormat="1" ht="18" customHeight="1" x14ac:dyDescent="0.25">
      <c r="B249" s="112">
        <f>ROW(A244)</f>
        <v>244</v>
      </c>
      <c r="K249" s="5"/>
      <c r="L249" s="5"/>
    </row>
    <row r="250" spans="2:12" customFormat="1" ht="18" customHeight="1" x14ac:dyDescent="0.25">
      <c r="B250" s="112">
        <f>ROW(A245)</f>
        <v>245</v>
      </c>
      <c r="K250" s="5"/>
      <c r="L250" s="5"/>
    </row>
    <row r="251" spans="2:12" customFormat="1" ht="18" customHeight="1" x14ac:dyDescent="0.25">
      <c r="B251" s="112">
        <f>ROW(A246)</f>
        <v>246</v>
      </c>
      <c r="K251" s="5"/>
      <c r="L251" s="5"/>
    </row>
    <row r="252" spans="2:12" customFormat="1" ht="18" customHeight="1" x14ac:dyDescent="0.25">
      <c r="B252" s="112">
        <f>ROW(A247)</f>
        <v>247</v>
      </c>
      <c r="K252" s="5"/>
      <c r="L252" s="5"/>
    </row>
    <row r="253" spans="2:12" customFormat="1" ht="18" customHeight="1" x14ac:dyDescent="0.25">
      <c r="B253" s="112">
        <f>ROW(A248)</f>
        <v>248</v>
      </c>
      <c r="K253" s="5"/>
      <c r="L253" s="5"/>
    </row>
    <row r="254" spans="2:12" customFormat="1" ht="18" customHeight="1" x14ac:dyDescent="0.25">
      <c r="B254" s="112">
        <f>ROW(A249)</f>
        <v>249</v>
      </c>
      <c r="K254" s="5"/>
      <c r="L254" s="5"/>
    </row>
    <row r="255" spans="2:12" customFormat="1" ht="18" customHeight="1" x14ac:dyDescent="0.25">
      <c r="B255" s="112">
        <f>ROW(A250)</f>
        <v>250</v>
      </c>
      <c r="K255" s="5"/>
      <c r="L255" s="5"/>
    </row>
    <row r="256" spans="2:12" customFormat="1" ht="18" customHeight="1" x14ac:dyDescent="0.25">
      <c r="B256" s="112">
        <f>ROW(A251)</f>
        <v>251</v>
      </c>
      <c r="K256" s="5"/>
      <c r="L256" s="5"/>
    </row>
    <row r="257" spans="2:12" customFormat="1" ht="18" customHeight="1" x14ac:dyDescent="0.25">
      <c r="B257" s="112">
        <f>ROW(A252)</f>
        <v>252</v>
      </c>
      <c r="K257" s="5"/>
      <c r="L257" s="5"/>
    </row>
    <row r="258" spans="2:12" customFormat="1" ht="18" customHeight="1" x14ac:dyDescent="0.25">
      <c r="B258" s="112">
        <f>ROW(A253)</f>
        <v>253</v>
      </c>
      <c r="K258" s="5"/>
      <c r="L258" s="5"/>
    </row>
    <row r="259" spans="2:12" customFormat="1" ht="18" customHeight="1" x14ac:dyDescent="0.25">
      <c r="B259" s="112">
        <f>ROW(A254)</f>
        <v>254</v>
      </c>
      <c r="K259" s="5"/>
      <c r="L259" s="5"/>
    </row>
    <row r="260" spans="2:12" customFormat="1" ht="18" customHeight="1" x14ac:dyDescent="0.25">
      <c r="B260" s="112">
        <f>ROW(A255)</f>
        <v>255</v>
      </c>
      <c r="K260" s="5"/>
      <c r="L260" s="5"/>
    </row>
    <row r="261" spans="2:12" customFormat="1" ht="18" customHeight="1" x14ac:dyDescent="0.25">
      <c r="B261" s="112">
        <f>ROW(A256)</f>
        <v>256</v>
      </c>
      <c r="K261" s="5"/>
      <c r="L261" s="5"/>
    </row>
    <row r="262" spans="2:12" customFormat="1" ht="18" customHeight="1" x14ac:dyDescent="0.25">
      <c r="B262" s="112">
        <f>ROW(A257)</f>
        <v>257</v>
      </c>
      <c r="K262" s="5"/>
      <c r="L262" s="5"/>
    </row>
    <row r="263" spans="2:12" customFormat="1" ht="18" customHeight="1" x14ac:dyDescent="0.25">
      <c r="B263" s="112">
        <f>ROW(A258)</f>
        <v>258</v>
      </c>
      <c r="K263" s="5"/>
      <c r="L263" s="5"/>
    </row>
    <row r="264" spans="2:12" customFormat="1" ht="18" customHeight="1" x14ac:dyDescent="0.25">
      <c r="B264" s="112">
        <f>ROW(A259)</f>
        <v>259</v>
      </c>
      <c r="K264" s="5"/>
      <c r="L264" s="5"/>
    </row>
    <row r="265" spans="2:12" customFormat="1" ht="18" customHeight="1" x14ac:dyDescent="0.25">
      <c r="B265" s="112">
        <f>ROW(A260)</f>
        <v>260</v>
      </c>
      <c r="K265" s="5"/>
      <c r="L265" s="5"/>
    </row>
    <row r="266" spans="2:12" customFormat="1" ht="18" customHeight="1" x14ac:dyDescent="0.25">
      <c r="B266" s="112">
        <f>ROW(A261)</f>
        <v>261</v>
      </c>
      <c r="K266" s="5"/>
      <c r="L266" s="5"/>
    </row>
    <row r="267" spans="2:12" customFormat="1" ht="18" customHeight="1" x14ac:dyDescent="0.25">
      <c r="B267" s="112">
        <f>ROW(A262)</f>
        <v>262</v>
      </c>
      <c r="K267" s="5"/>
      <c r="L267" s="5"/>
    </row>
    <row r="268" spans="2:12" customFormat="1" ht="18" customHeight="1" x14ac:dyDescent="0.25">
      <c r="B268" s="112">
        <f>ROW(A263)</f>
        <v>263</v>
      </c>
      <c r="K268" s="5"/>
      <c r="L268" s="5"/>
    </row>
    <row r="269" spans="2:12" customFormat="1" ht="18" customHeight="1" x14ac:dyDescent="0.25">
      <c r="B269" s="112">
        <f>ROW(A264)</f>
        <v>264</v>
      </c>
      <c r="K269" s="5"/>
      <c r="L269" s="5"/>
    </row>
    <row r="270" spans="2:12" customFormat="1" ht="18" customHeight="1" x14ac:dyDescent="0.25">
      <c r="B270" s="112">
        <f>ROW(A265)</f>
        <v>265</v>
      </c>
      <c r="K270" s="5"/>
      <c r="L270" s="5"/>
    </row>
    <row r="271" spans="2:12" customFormat="1" ht="18" customHeight="1" x14ac:dyDescent="0.25">
      <c r="B271" s="112">
        <f>ROW(A266)</f>
        <v>266</v>
      </c>
      <c r="K271" s="5"/>
      <c r="L271" s="5"/>
    </row>
    <row r="272" spans="2:12" customFormat="1" ht="18" customHeight="1" x14ac:dyDescent="0.25">
      <c r="B272" s="112">
        <f>ROW(A267)</f>
        <v>267</v>
      </c>
      <c r="K272" s="5"/>
      <c r="L272" s="5"/>
    </row>
    <row r="273" spans="2:12" customFormat="1" ht="18" customHeight="1" x14ac:dyDescent="0.25">
      <c r="B273" s="112">
        <f>ROW(A268)</f>
        <v>268</v>
      </c>
      <c r="K273" s="5"/>
      <c r="L273" s="5"/>
    </row>
    <row r="274" spans="2:12" customFormat="1" ht="18" customHeight="1" x14ac:dyDescent="0.25">
      <c r="B274" s="112">
        <f>ROW(A269)</f>
        <v>269</v>
      </c>
      <c r="K274" s="5"/>
      <c r="L274" s="5"/>
    </row>
    <row r="275" spans="2:12" customFormat="1" ht="18" customHeight="1" x14ac:dyDescent="0.25">
      <c r="B275" s="112">
        <f>ROW(A270)</f>
        <v>270</v>
      </c>
      <c r="K275" s="5"/>
      <c r="L275" s="5"/>
    </row>
    <row r="276" spans="2:12" customFormat="1" ht="18" customHeight="1" x14ac:dyDescent="0.25">
      <c r="B276" s="112">
        <f>ROW(A271)</f>
        <v>271</v>
      </c>
      <c r="K276" s="5"/>
      <c r="L276" s="5"/>
    </row>
    <row r="277" spans="2:12" customFormat="1" ht="18" customHeight="1" x14ac:dyDescent="0.25">
      <c r="B277" s="112">
        <f>ROW(A272)</f>
        <v>272</v>
      </c>
      <c r="K277" s="5"/>
      <c r="L277" s="5"/>
    </row>
    <row r="278" spans="2:12" customFormat="1" ht="18" customHeight="1" x14ac:dyDescent="0.25">
      <c r="B278" s="112">
        <f>ROW(A273)</f>
        <v>273</v>
      </c>
      <c r="K278" s="5"/>
      <c r="L278" s="5"/>
    </row>
    <row r="279" spans="2:12" customFormat="1" ht="18" customHeight="1" x14ac:dyDescent="0.25">
      <c r="B279" s="112">
        <f>ROW(A274)</f>
        <v>274</v>
      </c>
      <c r="K279" s="5"/>
      <c r="L279" s="5"/>
    </row>
    <row r="280" spans="2:12" customFormat="1" ht="18" customHeight="1" x14ac:dyDescent="0.25">
      <c r="B280" s="112">
        <f>ROW(A275)</f>
        <v>275</v>
      </c>
      <c r="K280" s="5"/>
      <c r="L280" s="5"/>
    </row>
    <row r="281" spans="2:12" customFormat="1" ht="18" customHeight="1" x14ac:dyDescent="0.25">
      <c r="B281" s="112">
        <f>ROW(A276)</f>
        <v>276</v>
      </c>
      <c r="K281" s="5"/>
      <c r="L281" s="5"/>
    </row>
    <row r="282" spans="2:12" customFormat="1" ht="18" customHeight="1" x14ac:dyDescent="0.25">
      <c r="B282" s="112">
        <f>ROW(A277)</f>
        <v>277</v>
      </c>
      <c r="K282" s="5"/>
      <c r="L282" s="5"/>
    </row>
    <row r="283" spans="2:12" customFormat="1" ht="18" customHeight="1" x14ac:dyDescent="0.25">
      <c r="B283" s="112">
        <f>ROW(A278)</f>
        <v>278</v>
      </c>
      <c r="K283" s="5"/>
      <c r="L283" s="5"/>
    </row>
    <row r="284" spans="2:12" customFormat="1" ht="18" customHeight="1" x14ac:dyDescent="0.25">
      <c r="B284" s="112">
        <f>ROW(A279)</f>
        <v>279</v>
      </c>
      <c r="K284" s="5"/>
      <c r="L284" s="5"/>
    </row>
    <row r="285" spans="2:12" customFormat="1" ht="18" customHeight="1" x14ac:dyDescent="0.25">
      <c r="B285" s="112">
        <f>ROW(A280)</f>
        <v>280</v>
      </c>
      <c r="K285" s="5"/>
      <c r="L285" s="5"/>
    </row>
    <row r="286" spans="2:12" customFormat="1" ht="18" customHeight="1" x14ac:dyDescent="0.25">
      <c r="B286" s="112">
        <f>ROW(A281)</f>
        <v>281</v>
      </c>
      <c r="K286" s="5"/>
      <c r="L286" s="5"/>
    </row>
    <row r="287" spans="2:12" customFormat="1" ht="18" customHeight="1" x14ac:dyDescent="0.25">
      <c r="B287" s="112">
        <f>ROW(A282)</f>
        <v>282</v>
      </c>
      <c r="K287" s="5"/>
      <c r="L287" s="5"/>
    </row>
    <row r="288" spans="2:12" customFormat="1" ht="18" customHeight="1" x14ac:dyDescent="0.25">
      <c r="B288" s="112">
        <f>ROW(A283)</f>
        <v>283</v>
      </c>
      <c r="K288" s="5"/>
      <c r="L288" s="5"/>
    </row>
    <row r="289" spans="2:12" customFormat="1" ht="18" customHeight="1" x14ac:dyDescent="0.25">
      <c r="B289" s="112">
        <f>ROW(A284)</f>
        <v>284</v>
      </c>
      <c r="K289" s="5"/>
      <c r="L289" s="5"/>
    </row>
    <row r="290" spans="2:12" customFormat="1" ht="18" customHeight="1" x14ac:dyDescent="0.25">
      <c r="B290" s="112">
        <f>ROW(A285)</f>
        <v>285</v>
      </c>
      <c r="K290" s="5"/>
      <c r="L290" s="5"/>
    </row>
    <row r="291" spans="2:12" customFormat="1" ht="18" customHeight="1" x14ac:dyDescent="0.25">
      <c r="B291" s="112">
        <f>ROW(A286)</f>
        <v>286</v>
      </c>
      <c r="K291" s="5"/>
      <c r="L291" s="5"/>
    </row>
    <row r="292" spans="2:12" customFormat="1" ht="18" customHeight="1" x14ac:dyDescent="0.25">
      <c r="B292" s="112">
        <f>ROW(A287)</f>
        <v>287</v>
      </c>
      <c r="K292" s="5"/>
      <c r="L292" s="5"/>
    </row>
    <row r="293" spans="2:12" customFormat="1" ht="18" customHeight="1" x14ac:dyDescent="0.25">
      <c r="B293" s="112">
        <f>ROW(A288)</f>
        <v>288</v>
      </c>
      <c r="K293" s="5"/>
      <c r="L293" s="5"/>
    </row>
    <row r="294" spans="2:12" customFormat="1" ht="18" customHeight="1" x14ac:dyDescent="0.25">
      <c r="B294" s="112">
        <f>ROW(A289)</f>
        <v>289</v>
      </c>
      <c r="K294" s="5"/>
      <c r="L294" s="5"/>
    </row>
    <row r="295" spans="2:12" customFormat="1" ht="18" customHeight="1" x14ac:dyDescent="0.25">
      <c r="B295" s="112">
        <f>ROW(A290)</f>
        <v>290</v>
      </c>
      <c r="K295" s="5"/>
      <c r="L295" s="5"/>
    </row>
    <row r="296" spans="2:12" customFormat="1" ht="18" customHeight="1" x14ac:dyDescent="0.25">
      <c r="B296" s="112">
        <f>ROW(A291)</f>
        <v>291</v>
      </c>
      <c r="K296" s="5"/>
      <c r="L296" s="5"/>
    </row>
    <row r="297" spans="2:12" customFormat="1" ht="18" customHeight="1" x14ac:dyDescent="0.25">
      <c r="B297" s="112">
        <f>ROW(A292)</f>
        <v>292</v>
      </c>
      <c r="K297" s="5"/>
      <c r="L297" s="5"/>
    </row>
    <row r="298" spans="2:12" customFormat="1" ht="18" customHeight="1" x14ac:dyDescent="0.25">
      <c r="B298" s="112">
        <f>ROW(A293)</f>
        <v>293</v>
      </c>
      <c r="K298" s="5"/>
      <c r="L298" s="5"/>
    </row>
    <row r="299" spans="2:12" customFormat="1" ht="18" customHeight="1" x14ac:dyDescent="0.25">
      <c r="B299" s="112">
        <f>ROW(A294)</f>
        <v>294</v>
      </c>
      <c r="K299" s="5"/>
      <c r="L299" s="5"/>
    </row>
    <row r="300" spans="2:12" customFormat="1" ht="18" customHeight="1" x14ac:dyDescent="0.25">
      <c r="B300" s="112">
        <f>ROW(A295)</f>
        <v>295</v>
      </c>
      <c r="K300" s="5"/>
      <c r="L300" s="5"/>
    </row>
    <row r="301" spans="2:12" customFormat="1" ht="18" customHeight="1" x14ac:dyDescent="0.25">
      <c r="B301" s="112">
        <f>ROW(A296)</f>
        <v>296</v>
      </c>
      <c r="K301" s="5"/>
      <c r="L301" s="5"/>
    </row>
    <row r="302" spans="2:12" customFormat="1" ht="18" customHeight="1" x14ac:dyDescent="0.25">
      <c r="B302" s="112">
        <f>ROW(A297)</f>
        <v>297</v>
      </c>
      <c r="K302" s="5"/>
      <c r="L302" s="5"/>
    </row>
    <row r="303" spans="2:12" customFormat="1" ht="18" customHeight="1" x14ac:dyDescent="0.25">
      <c r="B303" s="112">
        <f>ROW(A298)</f>
        <v>298</v>
      </c>
      <c r="K303" s="5"/>
      <c r="L303" s="5"/>
    </row>
    <row r="304" spans="2:12" customFormat="1" ht="18" customHeight="1" x14ac:dyDescent="0.25">
      <c r="B304" s="112">
        <f>ROW(A299)</f>
        <v>299</v>
      </c>
      <c r="K304" s="5"/>
      <c r="L304" s="5"/>
    </row>
    <row r="305" spans="2:12" customFormat="1" ht="18" customHeight="1" x14ac:dyDescent="0.25">
      <c r="B305" s="112">
        <f>ROW(A300)</f>
        <v>300</v>
      </c>
      <c r="K305" s="5"/>
      <c r="L305" s="5"/>
    </row>
    <row r="306" spans="2:12" ht="18" customHeight="1" x14ac:dyDescent="0.25">
      <c r="B306" s="45">
        <f>ROW(A301)</f>
        <v>301</v>
      </c>
      <c r="C306"/>
      <c r="D306"/>
      <c r="E306"/>
      <c r="F306"/>
      <c r="G306"/>
      <c r="H306"/>
      <c r="I306"/>
    </row>
    <row r="307" spans="2:12" ht="18" customHeight="1" x14ac:dyDescent="0.25">
      <c r="B307" s="45">
        <f>ROW(A302)</f>
        <v>302</v>
      </c>
      <c r="C307"/>
      <c r="D307"/>
      <c r="E307"/>
      <c r="F307"/>
      <c r="G307"/>
      <c r="H307"/>
      <c r="I307"/>
    </row>
    <row r="308" spans="2:12" ht="18" customHeight="1" x14ac:dyDescent="0.25">
      <c r="B308" s="45">
        <f>ROW(A303)</f>
        <v>303</v>
      </c>
      <c r="C308"/>
      <c r="D308"/>
      <c r="E308"/>
      <c r="F308"/>
      <c r="G308"/>
      <c r="H308"/>
      <c r="I308"/>
    </row>
    <row r="309" spans="2:12" ht="18" customHeight="1" x14ac:dyDescent="0.25">
      <c r="B309" s="45">
        <f>ROW(A304)</f>
        <v>304</v>
      </c>
      <c r="C309"/>
      <c r="D309"/>
      <c r="E309"/>
      <c r="F309"/>
      <c r="G309"/>
      <c r="H309"/>
      <c r="I309"/>
    </row>
    <row r="310" spans="2:12" ht="18" customHeight="1" x14ac:dyDescent="0.25">
      <c r="B310" s="45">
        <f>ROW(A305)</f>
        <v>305</v>
      </c>
      <c r="C310"/>
      <c r="D310"/>
      <c r="E310"/>
      <c r="F310"/>
      <c r="G310"/>
      <c r="H310"/>
      <c r="I310"/>
    </row>
    <row r="311" spans="2:12" ht="18" customHeight="1" x14ac:dyDescent="0.25">
      <c r="B311" s="45">
        <f>ROW(A306)</f>
        <v>306</v>
      </c>
      <c r="C311"/>
      <c r="D311"/>
      <c r="E311"/>
      <c r="F311"/>
      <c r="G311"/>
      <c r="H311"/>
      <c r="I311"/>
    </row>
    <row r="312" spans="2:12" ht="18" customHeight="1" x14ac:dyDescent="0.25">
      <c r="B312" s="45">
        <f>ROW(A307)</f>
        <v>307</v>
      </c>
      <c r="C312"/>
      <c r="D312"/>
      <c r="E312"/>
      <c r="F312"/>
      <c r="G312"/>
      <c r="H312"/>
      <c r="I312"/>
    </row>
    <row r="313" spans="2:12" ht="18" customHeight="1" x14ac:dyDescent="0.25">
      <c r="B313" s="45">
        <f>ROW(A308)</f>
        <v>308</v>
      </c>
      <c r="C313"/>
      <c r="D313"/>
      <c r="E313"/>
      <c r="F313"/>
      <c r="G313"/>
      <c r="H313"/>
      <c r="I313"/>
    </row>
    <row r="314" spans="2:12" ht="18" customHeight="1" x14ac:dyDescent="0.25">
      <c r="B314" s="45">
        <f>ROW(A309)</f>
        <v>309</v>
      </c>
      <c r="C314"/>
      <c r="D314"/>
      <c r="E314"/>
      <c r="F314"/>
      <c r="G314"/>
      <c r="H314"/>
      <c r="I314"/>
    </row>
    <row r="315" spans="2:12" ht="18" customHeight="1" x14ac:dyDescent="0.25">
      <c r="B315" s="45">
        <f>ROW(A310)</f>
        <v>310</v>
      </c>
      <c r="C315"/>
      <c r="D315"/>
      <c r="E315"/>
      <c r="F315"/>
      <c r="G315"/>
      <c r="H315"/>
      <c r="I315"/>
    </row>
    <row r="316" spans="2:12" ht="18" customHeight="1" x14ac:dyDescent="0.25">
      <c r="B316" s="45">
        <f>ROW(A311)</f>
        <v>311</v>
      </c>
      <c r="C316"/>
      <c r="D316"/>
      <c r="E316"/>
      <c r="F316"/>
      <c r="G316"/>
      <c r="H316"/>
      <c r="I316"/>
    </row>
    <row r="317" spans="2:12" ht="18" customHeight="1" x14ac:dyDescent="0.25">
      <c r="B317" s="45">
        <f>ROW(A312)</f>
        <v>312</v>
      </c>
      <c r="C317"/>
      <c r="D317"/>
      <c r="E317"/>
      <c r="F317"/>
      <c r="G317"/>
      <c r="H317"/>
      <c r="I317"/>
    </row>
    <row r="318" spans="2:12" ht="18" customHeight="1" x14ac:dyDescent="0.25">
      <c r="B318" s="45">
        <f>ROW(A313)</f>
        <v>313</v>
      </c>
      <c r="C318"/>
      <c r="D318"/>
      <c r="E318"/>
      <c r="F318"/>
      <c r="G318"/>
      <c r="H318"/>
      <c r="I318"/>
    </row>
    <row r="319" spans="2:12" ht="18" customHeight="1" x14ac:dyDescent="0.25">
      <c r="B319" s="45">
        <f>ROW(A314)</f>
        <v>314</v>
      </c>
      <c r="C319"/>
      <c r="D319"/>
      <c r="E319"/>
      <c r="F319"/>
      <c r="G319"/>
      <c r="H319"/>
      <c r="I319"/>
    </row>
    <row r="320" spans="2:12" ht="18" customHeight="1" x14ac:dyDescent="0.25">
      <c r="B320" s="45">
        <f>ROW(A315)</f>
        <v>315</v>
      </c>
      <c r="C320"/>
      <c r="D320"/>
      <c r="E320"/>
      <c r="F320"/>
      <c r="G320"/>
      <c r="H320"/>
      <c r="I320"/>
    </row>
    <row r="321" spans="2:9" ht="18" customHeight="1" x14ac:dyDescent="0.25">
      <c r="B321" s="45">
        <f>ROW(A316)</f>
        <v>316</v>
      </c>
      <c r="C321"/>
      <c r="D321"/>
      <c r="E321"/>
      <c r="F321"/>
      <c r="G321"/>
      <c r="H321"/>
      <c r="I321"/>
    </row>
    <row r="322" spans="2:9" ht="18" customHeight="1" x14ac:dyDescent="0.25">
      <c r="B322" s="45">
        <f>ROW(A317)</f>
        <v>317</v>
      </c>
      <c r="C322"/>
      <c r="D322"/>
      <c r="E322"/>
      <c r="F322"/>
      <c r="G322"/>
      <c r="H322"/>
      <c r="I322"/>
    </row>
    <row r="323" spans="2:9" ht="18" customHeight="1" x14ac:dyDescent="0.25">
      <c r="B323" s="45">
        <f>ROW(A318)</f>
        <v>318</v>
      </c>
      <c r="C323"/>
      <c r="D323"/>
      <c r="E323"/>
      <c r="F323"/>
      <c r="G323"/>
      <c r="H323"/>
      <c r="I323"/>
    </row>
    <row r="324" spans="2:9" ht="18" customHeight="1" x14ac:dyDescent="0.25">
      <c r="B324" s="45">
        <f>ROW(A319)</f>
        <v>319</v>
      </c>
      <c r="C324"/>
      <c r="D324"/>
      <c r="E324"/>
      <c r="F324"/>
      <c r="G324"/>
      <c r="H324"/>
      <c r="I324"/>
    </row>
    <row r="325" spans="2:9" ht="18" customHeight="1" x14ac:dyDescent="0.25">
      <c r="B325" s="45">
        <f>ROW(A320)</f>
        <v>320</v>
      </c>
      <c r="C325"/>
      <c r="D325"/>
      <c r="E325"/>
      <c r="F325"/>
      <c r="G325"/>
      <c r="H325"/>
      <c r="I325"/>
    </row>
    <row r="326" spans="2:9" ht="18" customHeight="1" x14ac:dyDescent="0.25">
      <c r="B326" s="45">
        <f>ROW(A321)</f>
        <v>321</v>
      </c>
      <c r="C326"/>
      <c r="D326"/>
      <c r="E326"/>
      <c r="F326"/>
      <c r="G326"/>
      <c r="H326"/>
      <c r="I326"/>
    </row>
    <row r="327" spans="2:9" ht="18" customHeight="1" x14ac:dyDescent="0.25">
      <c r="B327" s="45">
        <f>ROW(A322)</f>
        <v>322</v>
      </c>
      <c r="C327"/>
      <c r="D327"/>
      <c r="E327"/>
      <c r="F327"/>
      <c r="G327"/>
      <c r="H327"/>
      <c r="I327"/>
    </row>
    <row r="328" spans="2:9" ht="18" customHeight="1" x14ac:dyDescent="0.25">
      <c r="B328" s="45">
        <f>ROW(A323)</f>
        <v>323</v>
      </c>
      <c r="C328"/>
      <c r="D328"/>
      <c r="E328"/>
      <c r="F328"/>
      <c r="G328"/>
      <c r="H328"/>
      <c r="I328"/>
    </row>
    <row r="329" spans="2:9" ht="18" customHeight="1" x14ac:dyDescent="0.25">
      <c r="B329" s="45">
        <f>ROW(A324)</f>
        <v>324</v>
      </c>
      <c r="C329"/>
      <c r="D329"/>
      <c r="E329"/>
      <c r="F329"/>
      <c r="G329"/>
      <c r="H329"/>
      <c r="I329"/>
    </row>
    <row r="330" spans="2:9" ht="18" customHeight="1" x14ac:dyDescent="0.25">
      <c r="B330" s="45">
        <f>ROW(A325)</f>
        <v>325</v>
      </c>
      <c r="C330"/>
      <c r="D330"/>
      <c r="E330"/>
      <c r="F330"/>
      <c r="G330"/>
      <c r="H330"/>
      <c r="I330"/>
    </row>
    <row r="331" spans="2:9" ht="18" customHeight="1" x14ac:dyDescent="0.25">
      <c r="B331" s="45">
        <f>ROW(A326)</f>
        <v>326</v>
      </c>
      <c r="C331"/>
      <c r="D331"/>
      <c r="E331"/>
      <c r="F331"/>
      <c r="G331"/>
      <c r="H331"/>
      <c r="I331"/>
    </row>
    <row r="332" spans="2:9" ht="18" customHeight="1" x14ac:dyDescent="0.25">
      <c r="B332" s="45">
        <f>ROW(A327)</f>
        <v>327</v>
      </c>
      <c r="C332"/>
      <c r="D332"/>
      <c r="E332"/>
      <c r="F332"/>
      <c r="G332"/>
      <c r="H332"/>
      <c r="I332"/>
    </row>
    <row r="333" spans="2:9" ht="18" customHeight="1" x14ac:dyDescent="0.25">
      <c r="B333" s="45">
        <f>ROW(A328)</f>
        <v>328</v>
      </c>
      <c r="C333"/>
      <c r="D333"/>
      <c r="E333"/>
      <c r="F333"/>
      <c r="G333"/>
      <c r="H333"/>
      <c r="I333"/>
    </row>
    <row r="334" spans="2:9" ht="18" customHeight="1" x14ac:dyDescent="0.25">
      <c r="B334" s="45">
        <f>ROW(A329)</f>
        <v>329</v>
      </c>
      <c r="C334"/>
      <c r="D334"/>
      <c r="E334"/>
      <c r="F334"/>
      <c r="G334"/>
      <c r="H334"/>
      <c r="I334"/>
    </row>
    <row r="335" spans="2:9" ht="18" customHeight="1" x14ac:dyDescent="0.25">
      <c r="B335" s="45">
        <f>ROW(A330)</f>
        <v>330</v>
      </c>
      <c r="C335"/>
      <c r="D335"/>
      <c r="E335"/>
      <c r="F335"/>
      <c r="G335"/>
      <c r="H335"/>
      <c r="I335"/>
    </row>
    <row r="336" spans="2:9" ht="18" customHeight="1" x14ac:dyDescent="0.25">
      <c r="B336" s="45">
        <f>ROW(A331)</f>
        <v>331</v>
      </c>
      <c r="C336"/>
      <c r="D336"/>
      <c r="E336"/>
      <c r="F336"/>
      <c r="G336"/>
      <c r="H336"/>
      <c r="I336"/>
    </row>
    <row r="337" spans="2:9" ht="18" customHeight="1" x14ac:dyDescent="0.25">
      <c r="B337" s="45">
        <f>ROW(A332)</f>
        <v>332</v>
      </c>
      <c r="C337"/>
      <c r="D337"/>
      <c r="E337"/>
      <c r="F337"/>
      <c r="G337"/>
      <c r="H337"/>
      <c r="I337"/>
    </row>
    <row r="338" spans="2:9" ht="18" customHeight="1" x14ac:dyDescent="0.25">
      <c r="B338" s="45">
        <f>ROW(A333)</f>
        <v>333</v>
      </c>
      <c r="C338"/>
      <c r="D338"/>
      <c r="E338"/>
      <c r="F338"/>
      <c r="G338"/>
      <c r="H338"/>
      <c r="I338"/>
    </row>
    <row r="339" spans="2:9" ht="18" customHeight="1" x14ac:dyDescent="0.25">
      <c r="B339" s="45">
        <f>ROW(A334)</f>
        <v>334</v>
      </c>
      <c r="C339"/>
      <c r="D339"/>
      <c r="E339"/>
      <c r="F339"/>
      <c r="G339"/>
      <c r="H339"/>
      <c r="I339"/>
    </row>
    <row r="340" spans="2:9" ht="18" customHeight="1" x14ac:dyDescent="0.25">
      <c r="B340" s="45">
        <f>ROW(A335)</f>
        <v>335</v>
      </c>
      <c r="C340"/>
      <c r="D340"/>
      <c r="E340"/>
      <c r="F340"/>
      <c r="G340"/>
      <c r="H340"/>
      <c r="I340"/>
    </row>
    <row r="341" spans="2:9" ht="18" customHeight="1" x14ac:dyDescent="0.25">
      <c r="B341" s="45">
        <f>ROW(A336)</f>
        <v>336</v>
      </c>
      <c r="C341"/>
      <c r="D341"/>
      <c r="E341"/>
      <c r="F341"/>
      <c r="G341"/>
      <c r="H341"/>
      <c r="I341"/>
    </row>
    <row r="342" spans="2:9" ht="18" customHeight="1" x14ac:dyDescent="0.25">
      <c r="B342" s="45">
        <f>ROW(A337)</f>
        <v>337</v>
      </c>
      <c r="C342"/>
      <c r="D342"/>
      <c r="E342"/>
      <c r="F342"/>
      <c r="G342"/>
      <c r="H342"/>
      <c r="I342"/>
    </row>
    <row r="343" spans="2:9" ht="18" customHeight="1" x14ac:dyDescent="0.25">
      <c r="B343" s="45">
        <f>ROW(A338)</f>
        <v>338</v>
      </c>
      <c r="C343"/>
      <c r="D343"/>
      <c r="E343"/>
      <c r="F343"/>
      <c r="G343"/>
      <c r="H343"/>
      <c r="I343"/>
    </row>
    <row r="344" spans="2:9" ht="18" customHeight="1" x14ac:dyDescent="0.25">
      <c r="B344" s="45">
        <f>ROW(A339)</f>
        <v>339</v>
      </c>
      <c r="C344"/>
      <c r="D344"/>
      <c r="E344"/>
      <c r="F344"/>
      <c r="G344"/>
      <c r="H344"/>
      <c r="I344"/>
    </row>
    <row r="345" spans="2:9" ht="18" customHeight="1" x14ac:dyDescent="0.25">
      <c r="B345" s="45">
        <f>ROW(A340)</f>
        <v>340</v>
      </c>
      <c r="C345"/>
      <c r="D345"/>
      <c r="E345"/>
      <c r="F345"/>
      <c r="G345"/>
      <c r="H345"/>
      <c r="I345"/>
    </row>
    <row r="346" spans="2:9" ht="18" customHeight="1" x14ac:dyDescent="0.25">
      <c r="B346" s="45">
        <f>ROW(A341)</f>
        <v>341</v>
      </c>
      <c r="C346"/>
      <c r="D346"/>
      <c r="E346"/>
      <c r="F346"/>
      <c r="G346"/>
      <c r="H346"/>
      <c r="I346"/>
    </row>
    <row r="347" spans="2:9" ht="18" customHeight="1" x14ac:dyDescent="0.25">
      <c r="B347" s="45">
        <f>ROW(A342)</f>
        <v>342</v>
      </c>
      <c r="C347"/>
      <c r="D347"/>
      <c r="E347"/>
      <c r="F347"/>
      <c r="G347"/>
      <c r="H347"/>
      <c r="I347"/>
    </row>
    <row r="348" spans="2:9" ht="18" customHeight="1" x14ac:dyDescent="0.25">
      <c r="B348" s="45">
        <f>ROW(A343)</f>
        <v>343</v>
      </c>
      <c r="C348"/>
      <c r="D348"/>
      <c r="E348"/>
      <c r="F348"/>
      <c r="G348"/>
      <c r="H348"/>
      <c r="I348"/>
    </row>
    <row r="349" spans="2:9" ht="18" customHeight="1" x14ac:dyDescent="0.25">
      <c r="B349" s="45">
        <f>ROW(A344)</f>
        <v>344</v>
      </c>
      <c r="C349"/>
      <c r="D349"/>
      <c r="E349"/>
      <c r="F349"/>
      <c r="G349"/>
      <c r="H349"/>
      <c r="I349"/>
    </row>
    <row r="350" spans="2:9" ht="18" customHeight="1" x14ac:dyDescent="0.25">
      <c r="B350" s="45">
        <f>ROW(A345)</f>
        <v>345</v>
      </c>
      <c r="C350"/>
      <c r="D350"/>
      <c r="E350"/>
      <c r="F350"/>
      <c r="G350"/>
      <c r="H350"/>
      <c r="I350"/>
    </row>
    <row r="351" spans="2:9" ht="18" customHeight="1" x14ac:dyDescent="0.25">
      <c r="B351" s="45">
        <f>ROW(A346)</f>
        <v>346</v>
      </c>
      <c r="C351"/>
      <c r="D351"/>
      <c r="E351"/>
      <c r="F351"/>
      <c r="G351"/>
      <c r="H351"/>
      <c r="I351"/>
    </row>
    <row r="352" spans="2:9" ht="18" customHeight="1" x14ac:dyDescent="0.25">
      <c r="B352" s="45">
        <f>ROW(A347)</f>
        <v>347</v>
      </c>
      <c r="C352"/>
      <c r="D352"/>
      <c r="E352"/>
      <c r="F352"/>
      <c r="G352"/>
      <c r="H352"/>
      <c r="I352"/>
    </row>
    <row r="353" spans="2:9" ht="18" customHeight="1" x14ac:dyDescent="0.25">
      <c r="B353" s="45">
        <f>ROW(A348)</f>
        <v>348</v>
      </c>
      <c r="C353"/>
      <c r="D353"/>
      <c r="E353"/>
      <c r="F353"/>
      <c r="G353"/>
      <c r="H353"/>
      <c r="I353"/>
    </row>
    <row r="354" spans="2:9" ht="18" customHeight="1" x14ac:dyDescent="0.25">
      <c r="B354" s="45">
        <f>ROW(A349)</f>
        <v>349</v>
      </c>
      <c r="C354"/>
      <c r="D354"/>
      <c r="E354"/>
      <c r="F354"/>
      <c r="G354"/>
      <c r="H354"/>
      <c r="I354"/>
    </row>
    <row r="355" spans="2:9" ht="18" customHeight="1" x14ac:dyDescent="0.25">
      <c r="B355" s="45">
        <f>ROW(A350)</f>
        <v>350</v>
      </c>
      <c r="C355"/>
      <c r="D355"/>
      <c r="E355"/>
      <c r="F355"/>
      <c r="G355"/>
      <c r="H355"/>
      <c r="I355"/>
    </row>
    <row r="356" spans="2:9" ht="18" customHeight="1" x14ac:dyDescent="0.25">
      <c r="B356" s="45">
        <f>ROW(A351)</f>
        <v>351</v>
      </c>
      <c r="C356"/>
      <c r="D356"/>
      <c r="E356"/>
      <c r="F356"/>
      <c r="G356"/>
      <c r="H356"/>
      <c r="I356"/>
    </row>
    <row r="357" spans="2:9" ht="18" customHeight="1" x14ac:dyDescent="0.25">
      <c r="B357" s="45">
        <f>ROW(A352)</f>
        <v>352</v>
      </c>
      <c r="C357"/>
      <c r="D357"/>
      <c r="E357"/>
      <c r="F357"/>
      <c r="G357"/>
      <c r="H357"/>
      <c r="I357"/>
    </row>
    <row r="358" spans="2:9" ht="18" customHeight="1" x14ac:dyDescent="0.25">
      <c r="B358" s="45">
        <f>ROW(A353)</f>
        <v>353</v>
      </c>
      <c r="C358"/>
      <c r="D358"/>
      <c r="E358"/>
      <c r="F358"/>
      <c r="G358"/>
      <c r="H358"/>
      <c r="I358"/>
    </row>
    <row r="359" spans="2:9" ht="18" customHeight="1" x14ac:dyDescent="0.25">
      <c r="B359" s="45">
        <f>ROW(A354)</f>
        <v>354</v>
      </c>
      <c r="C359"/>
      <c r="D359"/>
      <c r="E359"/>
      <c r="F359"/>
      <c r="G359"/>
      <c r="H359"/>
      <c r="I359"/>
    </row>
    <row r="360" spans="2:9" ht="18" customHeight="1" x14ac:dyDescent="0.25">
      <c r="B360" s="45">
        <f>ROW(A355)</f>
        <v>355</v>
      </c>
      <c r="C360"/>
      <c r="D360"/>
      <c r="E360"/>
      <c r="F360"/>
      <c r="G360"/>
      <c r="H360"/>
      <c r="I360"/>
    </row>
    <row r="361" spans="2:9" ht="18" customHeight="1" x14ac:dyDescent="0.25">
      <c r="B361" s="45">
        <f>ROW(A356)</f>
        <v>356</v>
      </c>
      <c r="C361"/>
      <c r="D361"/>
      <c r="E361"/>
      <c r="F361"/>
      <c r="G361"/>
      <c r="H361"/>
      <c r="I361"/>
    </row>
    <row r="362" spans="2:9" ht="18" customHeight="1" x14ac:dyDescent="0.25">
      <c r="B362" s="45">
        <f>ROW(A357)</f>
        <v>357</v>
      </c>
      <c r="C362"/>
      <c r="D362"/>
      <c r="E362"/>
      <c r="F362"/>
      <c r="G362"/>
      <c r="H362"/>
      <c r="I362"/>
    </row>
    <row r="363" spans="2:9" ht="18" customHeight="1" x14ac:dyDescent="0.25">
      <c r="B363" s="45">
        <f>ROW(A358)</f>
        <v>358</v>
      </c>
      <c r="C363"/>
      <c r="D363"/>
      <c r="E363"/>
      <c r="F363"/>
      <c r="G363"/>
      <c r="H363"/>
      <c r="I363"/>
    </row>
    <row r="364" spans="2:9" ht="18" customHeight="1" x14ac:dyDescent="0.25">
      <c r="B364" s="45">
        <f>ROW(A359)</f>
        <v>359</v>
      </c>
      <c r="C364"/>
      <c r="D364"/>
      <c r="E364"/>
      <c r="F364"/>
      <c r="G364"/>
      <c r="H364"/>
      <c r="I364"/>
    </row>
    <row r="365" spans="2:9" ht="18" customHeight="1" x14ac:dyDescent="0.25">
      <c r="B365" s="45">
        <f>ROW(A360)</f>
        <v>360</v>
      </c>
      <c r="C365"/>
      <c r="D365"/>
      <c r="E365"/>
      <c r="F365"/>
      <c r="G365"/>
      <c r="H365"/>
      <c r="I365"/>
    </row>
    <row r="366" spans="2:9" ht="18" customHeight="1" x14ac:dyDescent="0.25">
      <c r="B366" s="45">
        <f>ROW(A361)</f>
        <v>361</v>
      </c>
      <c r="C366"/>
      <c r="D366"/>
      <c r="E366"/>
      <c r="F366"/>
      <c r="G366"/>
      <c r="H366"/>
      <c r="I366"/>
    </row>
    <row r="367" spans="2:9" ht="18" customHeight="1" x14ac:dyDescent="0.25">
      <c r="B367" s="45">
        <f>ROW(A362)</f>
        <v>362</v>
      </c>
      <c r="C367"/>
      <c r="D367"/>
      <c r="E367"/>
      <c r="F367"/>
      <c r="G367"/>
      <c r="H367"/>
      <c r="I367"/>
    </row>
    <row r="368" spans="2:9" ht="18" customHeight="1" x14ac:dyDescent="0.25">
      <c r="B368" s="45">
        <f>ROW(A363)</f>
        <v>363</v>
      </c>
      <c r="C368"/>
      <c r="D368"/>
      <c r="E368"/>
      <c r="F368"/>
      <c r="G368"/>
      <c r="H368"/>
      <c r="I368"/>
    </row>
    <row r="369" spans="2:9" ht="18" customHeight="1" x14ac:dyDescent="0.25">
      <c r="B369" s="45">
        <f>ROW(A364)</f>
        <v>364</v>
      </c>
      <c r="C369"/>
      <c r="D369"/>
      <c r="E369"/>
      <c r="F369"/>
      <c r="G369"/>
      <c r="H369"/>
      <c r="I369"/>
    </row>
    <row r="370" spans="2:9" ht="18" customHeight="1" x14ac:dyDescent="0.25">
      <c r="B370" s="45">
        <f>ROW(A365)</f>
        <v>365</v>
      </c>
      <c r="C370"/>
      <c r="D370"/>
      <c r="E370"/>
      <c r="F370"/>
      <c r="G370"/>
      <c r="H370"/>
      <c r="I370"/>
    </row>
    <row r="371" spans="2:9" ht="18" customHeight="1" x14ac:dyDescent="0.25">
      <c r="B371" s="45">
        <f>ROW(A366)</f>
        <v>366</v>
      </c>
      <c r="C371"/>
      <c r="D371"/>
      <c r="E371"/>
      <c r="F371"/>
      <c r="G371"/>
      <c r="H371"/>
      <c r="I371"/>
    </row>
    <row r="372" spans="2:9" ht="18" customHeight="1" x14ac:dyDescent="0.25">
      <c r="B372" s="45">
        <f>ROW(A367)</f>
        <v>367</v>
      </c>
      <c r="C372"/>
      <c r="D372"/>
      <c r="E372"/>
      <c r="F372"/>
      <c r="G372"/>
      <c r="H372"/>
      <c r="I372"/>
    </row>
    <row r="373" spans="2:9" ht="18" customHeight="1" x14ac:dyDescent="0.25">
      <c r="B373" s="45">
        <f>ROW(A368)</f>
        <v>368</v>
      </c>
      <c r="C373"/>
      <c r="D373"/>
      <c r="E373"/>
      <c r="F373"/>
      <c r="G373"/>
      <c r="H373"/>
      <c r="I373"/>
    </row>
    <row r="374" spans="2:9" ht="18" customHeight="1" x14ac:dyDescent="0.25">
      <c r="B374" s="45">
        <f>ROW(A369)</f>
        <v>369</v>
      </c>
      <c r="C374"/>
      <c r="D374"/>
      <c r="E374"/>
      <c r="F374"/>
      <c r="G374"/>
      <c r="H374"/>
      <c r="I374"/>
    </row>
    <row r="375" spans="2:9" ht="18" customHeight="1" x14ac:dyDescent="0.25">
      <c r="B375" s="45">
        <f>ROW(A370)</f>
        <v>370</v>
      </c>
      <c r="C375"/>
      <c r="D375"/>
      <c r="E375"/>
      <c r="F375"/>
      <c r="G375"/>
      <c r="H375"/>
      <c r="I375"/>
    </row>
    <row r="376" spans="2:9" ht="18" customHeight="1" x14ac:dyDescent="0.25">
      <c r="B376" s="45">
        <f>ROW(A371)</f>
        <v>371</v>
      </c>
      <c r="C376"/>
      <c r="D376"/>
      <c r="E376"/>
      <c r="F376"/>
      <c r="G376"/>
      <c r="H376"/>
      <c r="I376"/>
    </row>
    <row r="377" spans="2:9" ht="18" customHeight="1" x14ac:dyDescent="0.25">
      <c r="B377" s="45">
        <f>ROW(A372)</f>
        <v>372</v>
      </c>
      <c r="C377"/>
      <c r="D377"/>
      <c r="E377"/>
      <c r="F377"/>
      <c r="G377"/>
      <c r="H377"/>
      <c r="I377"/>
    </row>
    <row r="378" spans="2:9" ht="18" customHeight="1" x14ac:dyDescent="0.25">
      <c r="B378" s="45">
        <f>ROW(A373)</f>
        <v>373</v>
      </c>
      <c r="C378"/>
      <c r="D378"/>
      <c r="E378"/>
      <c r="F378"/>
      <c r="G378"/>
      <c r="H378"/>
      <c r="I378"/>
    </row>
    <row r="379" spans="2:9" ht="18" customHeight="1" x14ac:dyDescent="0.25">
      <c r="B379" s="45">
        <f>ROW(A374)</f>
        <v>374</v>
      </c>
      <c r="C379"/>
      <c r="D379"/>
      <c r="E379"/>
      <c r="F379"/>
      <c r="G379"/>
      <c r="H379"/>
      <c r="I379"/>
    </row>
    <row r="380" spans="2:9" ht="18" customHeight="1" x14ac:dyDescent="0.25">
      <c r="B380" s="45">
        <f>ROW(A375)</f>
        <v>375</v>
      </c>
      <c r="C380"/>
      <c r="D380"/>
      <c r="E380"/>
      <c r="F380"/>
      <c r="G380"/>
      <c r="H380"/>
      <c r="I380"/>
    </row>
    <row r="381" spans="2:9" ht="18" customHeight="1" x14ac:dyDescent="0.25">
      <c r="B381" s="45">
        <f>ROW(A376)</f>
        <v>376</v>
      </c>
      <c r="C381"/>
      <c r="D381"/>
      <c r="E381"/>
      <c r="F381"/>
      <c r="G381"/>
      <c r="H381"/>
      <c r="I381"/>
    </row>
    <row r="382" spans="2:9" ht="18" customHeight="1" x14ac:dyDescent="0.25">
      <c r="B382" s="45">
        <f>ROW(A377)</f>
        <v>377</v>
      </c>
      <c r="C382"/>
      <c r="D382"/>
      <c r="E382"/>
      <c r="F382"/>
      <c r="G382"/>
      <c r="H382"/>
      <c r="I382"/>
    </row>
    <row r="383" spans="2:9" ht="18" customHeight="1" x14ac:dyDescent="0.25">
      <c r="B383" s="45">
        <f>ROW(A378)</f>
        <v>378</v>
      </c>
      <c r="C383"/>
      <c r="D383"/>
      <c r="E383"/>
      <c r="F383"/>
      <c r="G383"/>
      <c r="H383"/>
      <c r="I383"/>
    </row>
    <row r="384" spans="2:9" ht="18" customHeight="1" x14ac:dyDescent="0.25">
      <c r="B384" s="45">
        <f>ROW(A379)</f>
        <v>379</v>
      </c>
      <c r="C384"/>
      <c r="D384"/>
      <c r="E384"/>
      <c r="F384"/>
      <c r="G384"/>
      <c r="H384"/>
      <c r="I384"/>
    </row>
    <row r="385" spans="2:9" ht="18" customHeight="1" x14ac:dyDescent="0.25">
      <c r="B385" s="45">
        <f>ROW(A380)</f>
        <v>380</v>
      </c>
      <c r="C385"/>
      <c r="D385"/>
      <c r="E385"/>
      <c r="F385"/>
      <c r="G385"/>
      <c r="H385"/>
      <c r="I385"/>
    </row>
    <row r="386" spans="2:9" ht="18" customHeight="1" x14ac:dyDescent="0.25">
      <c r="B386" s="45">
        <f>ROW(A381)</f>
        <v>381</v>
      </c>
      <c r="C386"/>
      <c r="D386"/>
      <c r="E386"/>
      <c r="F386"/>
      <c r="G386"/>
      <c r="H386"/>
      <c r="I386"/>
    </row>
    <row r="387" spans="2:9" ht="18" customHeight="1" x14ac:dyDescent="0.25">
      <c r="B387" s="45">
        <f>ROW(A382)</f>
        <v>382</v>
      </c>
      <c r="C387"/>
      <c r="D387"/>
      <c r="E387"/>
      <c r="F387"/>
      <c r="G387"/>
      <c r="H387"/>
      <c r="I387"/>
    </row>
    <row r="388" spans="2:9" ht="18" customHeight="1" x14ac:dyDescent="0.25">
      <c r="B388" s="45">
        <f>ROW(A383)</f>
        <v>383</v>
      </c>
      <c r="C388"/>
      <c r="D388"/>
      <c r="E388"/>
      <c r="F388"/>
      <c r="G388"/>
      <c r="H388"/>
      <c r="I388"/>
    </row>
    <row r="389" spans="2:9" ht="18" customHeight="1" x14ac:dyDescent="0.25">
      <c r="B389" s="45">
        <f>ROW(A384)</f>
        <v>384</v>
      </c>
      <c r="C389"/>
      <c r="D389"/>
      <c r="E389"/>
      <c r="F389"/>
      <c r="G389"/>
      <c r="H389"/>
      <c r="I389"/>
    </row>
    <row r="390" spans="2:9" ht="18" customHeight="1" x14ac:dyDescent="0.25">
      <c r="B390" s="45">
        <f>ROW(A385)</f>
        <v>385</v>
      </c>
      <c r="C390"/>
      <c r="D390"/>
      <c r="E390"/>
      <c r="F390"/>
      <c r="G390"/>
      <c r="H390"/>
      <c r="I390"/>
    </row>
    <row r="391" spans="2:9" ht="18" customHeight="1" x14ac:dyDescent="0.25">
      <c r="B391" s="45">
        <f>ROW(A386)</f>
        <v>386</v>
      </c>
      <c r="C391"/>
      <c r="D391"/>
      <c r="E391"/>
      <c r="F391"/>
      <c r="G391"/>
      <c r="H391"/>
      <c r="I391"/>
    </row>
    <row r="392" spans="2:9" ht="18" customHeight="1" x14ac:dyDescent="0.25">
      <c r="B392" s="45">
        <f>ROW(A387)</f>
        <v>387</v>
      </c>
      <c r="C392"/>
      <c r="D392"/>
      <c r="E392"/>
      <c r="F392"/>
      <c r="G392"/>
      <c r="H392"/>
      <c r="I392"/>
    </row>
    <row r="393" spans="2:9" ht="18" customHeight="1" x14ac:dyDescent="0.25">
      <c r="B393" s="45">
        <f>ROW(A388)</f>
        <v>388</v>
      </c>
      <c r="C393"/>
      <c r="D393"/>
      <c r="E393"/>
      <c r="F393"/>
      <c r="G393"/>
      <c r="H393"/>
      <c r="I393"/>
    </row>
    <row r="394" spans="2:9" ht="18" customHeight="1" x14ac:dyDescent="0.25">
      <c r="B394" s="45">
        <f>ROW(A389)</f>
        <v>389</v>
      </c>
      <c r="C394"/>
      <c r="D394"/>
      <c r="E394"/>
      <c r="F394"/>
      <c r="G394"/>
      <c r="H394"/>
      <c r="I394"/>
    </row>
    <row r="395" spans="2:9" ht="18" customHeight="1" x14ac:dyDescent="0.25">
      <c r="B395" s="45">
        <f>ROW(A390)</f>
        <v>390</v>
      </c>
      <c r="C395"/>
      <c r="D395"/>
      <c r="E395"/>
      <c r="F395"/>
      <c r="G395"/>
      <c r="H395"/>
      <c r="I395"/>
    </row>
    <row r="396" spans="2:9" ht="18" customHeight="1" x14ac:dyDescent="0.25">
      <c r="B396" s="45">
        <f>ROW(A391)</f>
        <v>391</v>
      </c>
      <c r="C396"/>
      <c r="D396"/>
      <c r="E396"/>
      <c r="F396"/>
      <c r="G396"/>
      <c r="H396"/>
      <c r="I396"/>
    </row>
    <row r="397" spans="2:9" ht="18" customHeight="1" x14ac:dyDescent="0.25">
      <c r="B397" s="45">
        <f>ROW(A392)</f>
        <v>392</v>
      </c>
      <c r="C397"/>
      <c r="D397"/>
      <c r="E397"/>
      <c r="F397"/>
      <c r="G397"/>
      <c r="H397"/>
      <c r="I397"/>
    </row>
    <row r="398" spans="2:9" ht="18" customHeight="1" x14ac:dyDescent="0.25">
      <c r="B398" s="45">
        <f>ROW(A393)</f>
        <v>393</v>
      </c>
      <c r="C398"/>
      <c r="D398"/>
      <c r="E398"/>
      <c r="F398"/>
      <c r="G398"/>
      <c r="H398"/>
      <c r="I398"/>
    </row>
    <row r="399" spans="2:9" ht="18" customHeight="1" x14ac:dyDescent="0.25">
      <c r="B399" s="45">
        <f>ROW(A394)</f>
        <v>394</v>
      </c>
      <c r="C399"/>
      <c r="D399"/>
      <c r="E399"/>
      <c r="F399"/>
      <c r="G399"/>
      <c r="H399"/>
      <c r="I399"/>
    </row>
    <row r="400" spans="2:9" ht="18" customHeight="1" x14ac:dyDescent="0.25">
      <c r="B400" s="45">
        <f>ROW(A395)</f>
        <v>395</v>
      </c>
      <c r="C400"/>
      <c r="D400"/>
      <c r="E400"/>
      <c r="F400"/>
      <c r="G400"/>
      <c r="H400"/>
      <c r="I400"/>
    </row>
    <row r="401" spans="2:9" ht="18" customHeight="1" x14ac:dyDescent="0.25">
      <c r="B401" s="45">
        <f>ROW(A396)</f>
        <v>396</v>
      </c>
      <c r="C401"/>
      <c r="D401"/>
      <c r="E401"/>
      <c r="F401"/>
      <c r="G401"/>
      <c r="H401"/>
      <c r="I401"/>
    </row>
    <row r="402" spans="2:9" ht="18" customHeight="1" x14ac:dyDescent="0.25">
      <c r="B402" s="45">
        <f>ROW(A397)</f>
        <v>397</v>
      </c>
      <c r="C402"/>
      <c r="D402"/>
      <c r="E402"/>
      <c r="F402"/>
      <c r="G402"/>
      <c r="H402"/>
      <c r="I402"/>
    </row>
    <row r="403" spans="2:9" ht="18" customHeight="1" x14ac:dyDescent="0.25">
      <c r="B403" s="45">
        <f>ROW(A398)</f>
        <v>398</v>
      </c>
      <c r="C403"/>
      <c r="D403"/>
      <c r="E403"/>
      <c r="F403"/>
      <c r="G403"/>
      <c r="H403"/>
      <c r="I403"/>
    </row>
    <row r="404" spans="2:9" ht="18" customHeight="1" x14ac:dyDescent="0.25">
      <c r="B404" s="45">
        <f>ROW(A399)</f>
        <v>399</v>
      </c>
      <c r="C404"/>
      <c r="D404"/>
      <c r="E404"/>
      <c r="F404"/>
      <c r="G404"/>
      <c r="H404"/>
      <c r="I404"/>
    </row>
    <row r="405" spans="2:9" ht="18" customHeight="1" x14ac:dyDescent="0.25">
      <c r="B405" s="45">
        <f>ROW(A400)</f>
        <v>400</v>
      </c>
      <c r="C405"/>
      <c r="D405"/>
      <c r="E405"/>
      <c r="F405"/>
      <c r="G405"/>
      <c r="H405"/>
      <c r="I405"/>
    </row>
    <row r="406" spans="2:9" ht="18" customHeight="1" x14ac:dyDescent="0.25">
      <c r="B406" s="45">
        <f>ROW(A401)</f>
        <v>401</v>
      </c>
      <c r="C406"/>
      <c r="D406"/>
      <c r="E406"/>
      <c r="F406"/>
      <c r="G406"/>
      <c r="H406"/>
      <c r="I406"/>
    </row>
    <row r="407" spans="2:9" ht="18" customHeight="1" x14ac:dyDescent="0.25">
      <c r="B407" s="45">
        <f>ROW(A402)</f>
        <v>402</v>
      </c>
      <c r="C407"/>
      <c r="D407"/>
      <c r="E407"/>
      <c r="F407"/>
      <c r="G407"/>
      <c r="H407"/>
      <c r="I407"/>
    </row>
    <row r="408" spans="2:9" ht="18" customHeight="1" x14ac:dyDescent="0.25">
      <c r="B408" s="45">
        <f>ROW(A403)</f>
        <v>403</v>
      </c>
      <c r="C408"/>
      <c r="D408"/>
      <c r="E408"/>
      <c r="F408"/>
      <c r="G408"/>
      <c r="H408"/>
      <c r="I408"/>
    </row>
    <row r="409" spans="2:9" ht="18" customHeight="1" x14ac:dyDescent="0.25">
      <c r="B409" s="45">
        <f>ROW(A404)</f>
        <v>404</v>
      </c>
      <c r="C409"/>
      <c r="D409"/>
      <c r="E409"/>
      <c r="F409"/>
      <c r="G409"/>
      <c r="H409"/>
      <c r="I409"/>
    </row>
    <row r="410" spans="2:9" ht="18" customHeight="1" x14ac:dyDescent="0.25">
      <c r="B410" s="45">
        <f>ROW(A405)</f>
        <v>405</v>
      </c>
      <c r="C410"/>
      <c r="D410"/>
      <c r="E410"/>
      <c r="F410"/>
      <c r="G410"/>
      <c r="H410"/>
      <c r="I410"/>
    </row>
    <row r="411" spans="2:9" ht="18" customHeight="1" x14ac:dyDescent="0.25">
      <c r="B411" s="45">
        <f>ROW(A406)</f>
        <v>406</v>
      </c>
      <c r="C411"/>
      <c r="D411"/>
      <c r="E411"/>
      <c r="F411"/>
      <c r="G411"/>
      <c r="H411"/>
      <c r="I411"/>
    </row>
    <row r="412" spans="2:9" ht="18" customHeight="1" x14ac:dyDescent="0.25">
      <c r="B412" s="45">
        <f>ROW(A407)</f>
        <v>407</v>
      </c>
      <c r="C412"/>
      <c r="D412"/>
      <c r="E412"/>
      <c r="F412"/>
      <c r="G412"/>
      <c r="H412"/>
      <c r="I412"/>
    </row>
    <row r="413" spans="2:9" ht="18" customHeight="1" x14ac:dyDescent="0.25">
      <c r="B413" s="45">
        <f>ROW(A408)</f>
        <v>408</v>
      </c>
      <c r="C413"/>
      <c r="D413"/>
      <c r="E413"/>
      <c r="F413"/>
      <c r="G413"/>
      <c r="H413"/>
      <c r="I413"/>
    </row>
    <row r="414" spans="2:9" ht="18" customHeight="1" x14ac:dyDescent="0.25">
      <c r="B414" s="45">
        <f>ROW(A409)</f>
        <v>409</v>
      </c>
      <c r="C414"/>
      <c r="D414"/>
      <c r="E414"/>
      <c r="F414"/>
      <c r="G414"/>
      <c r="H414"/>
      <c r="I414"/>
    </row>
    <row r="415" spans="2:9" ht="18" customHeight="1" x14ac:dyDescent="0.25">
      <c r="B415" s="45">
        <f>ROW(A410)</f>
        <v>410</v>
      </c>
      <c r="C415"/>
      <c r="D415"/>
      <c r="E415"/>
      <c r="F415"/>
      <c r="G415"/>
      <c r="H415"/>
      <c r="I415"/>
    </row>
    <row r="416" spans="2:9" ht="18" customHeight="1" x14ac:dyDescent="0.25">
      <c r="B416" s="45">
        <f>ROW(A411)</f>
        <v>411</v>
      </c>
      <c r="C416"/>
      <c r="D416"/>
      <c r="E416"/>
      <c r="F416"/>
      <c r="G416"/>
      <c r="H416"/>
      <c r="I416"/>
    </row>
    <row r="417" spans="2:9" ht="18" customHeight="1" x14ac:dyDescent="0.25">
      <c r="B417" s="45">
        <f>ROW(A412)</f>
        <v>412</v>
      </c>
      <c r="C417"/>
      <c r="D417"/>
      <c r="E417"/>
      <c r="F417"/>
      <c r="G417"/>
      <c r="H417"/>
      <c r="I417"/>
    </row>
    <row r="418" spans="2:9" ht="18" customHeight="1" x14ac:dyDescent="0.25">
      <c r="B418" s="45">
        <f>ROW(A413)</f>
        <v>413</v>
      </c>
      <c r="C418"/>
      <c r="D418"/>
      <c r="E418"/>
      <c r="F418"/>
      <c r="G418"/>
      <c r="H418"/>
      <c r="I418"/>
    </row>
    <row r="419" spans="2:9" ht="18" customHeight="1" x14ac:dyDescent="0.25">
      <c r="B419" s="45">
        <f>ROW(A414)</f>
        <v>414</v>
      </c>
      <c r="C419"/>
      <c r="D419"/>
      <c r="E419"/>
      <c r="F419"/>
      <c r="G419"/>
      <c r="H419"/>
      <c r="I419"/>
    </row>
    <row r="420" spans="2:9" ht="18" customHeight="1" x14ac:dyDescent="0.25">
      <c r="B420" s="45">
        <f>ROW(A415)</f>
        <v>415</v>
      </c>
      <c r="C420"/>
      <c r="D420"/>
      <c r="E420"/>
      <c r="F420"/>
      <c r="G420"/>
      <c r="H420"/>
      <c r="I420"/>
    </row>
    <row r="421" spans="2:9" ht="18" customHeight="1" x14ac:dyDescent="0.25">
      <c r="B421" s="45">
        <f>ROW(A416)</f>
        <v>416</v>
      </c>
      <c r="C421"/>
      <c r="D421"/>
      <c r="E421"/>
      <c r="F421"/>
      <c r="G421"/>
      <c r="H421"/>
      <c r="I421"/>
    </row>
    <row r="422" spans="2:9" ht="18" customHeight="1" x14ac:dyDescent="0.25">
      <c r="B422" s="45">
        <f>ROW(A417)</f>
        <v>417</v>
      </c>
      <c r="C422"/>
      <c r="D422"/>
      <c r="E422"/>
      <c r="F422"/>
      <c r="G422"/>
      <c r="H422"/>
      <c r="I422"/>
    </row>
    <row r="423" spans="2:9" ht="18" customHeight="1" x14ac:dyDescent="0.25">
      <c r="B423" s="45">
        <f>ROW(A418)</f>
        <v>418</v>
      </c>
      <c r="C423"/>
      <c r="D423"/>
      <c r="E423"/>
      <c r="F423"/>
      <c r="G423"/>
      <c r="H423"/>
      <c r="I423"/>
    </row>
    <row r="424" spans="2:9" ht="18" customHeight="1" x14ac:dyDescent="0.25">
      <c r="B424" s="45">
        <f>ROW(A419)</f>
        <v>419</v>
      </c>
      <c r="C424"/>
      <c r="D424"/>
      <c r="E424"/>
      <c r="F424"/>
      <c r="G424"/>
      <c r="H424"/>
      <c r="I424"/>
    </row>
    <row r="425" spans="2:9" ht="18" customHeight="1" x14ac:dyDescent="0.25">
      <c r="B425" s="45">
        <f>ROW(A420)</f>
        <v>420</v>
      </c>
      <c r="C425"/>
      <c r="D425"/>
      <c r="E425"/>
      <c r="F425"/>
      <c r="G425"/>
      <c r="H425"/>
      <c r="I425"/>
    </row>
    <row r="426" spans="2:9" ht="18" customHeight="1" x14ac:dyDescent="0.25">
      <c r="B426" s="45">
        <f>ROW(A421)</f>
        <v>421</v>
      </c>
      <c r="C426"/>
      <c r="D426"/>
      <c r="E426"/>
      <c r="F426"/>
      <c r="G426"/>
      <c r="H426"/>
      <c r="I426"/>
    </row>
    <row r="427" spans="2:9" ht="18" customHeight="1" x14ac:dyDescent="0.25">
      <c r="B427" s="45">
        <f>ROW(A422)</f>
        <v>422</v>
      </c>
      <c r="C427"/>
      <c r="D427"/>
      <c r="E427"/>
      <c r="F427"/>
      <c r="G427"/>
      <c r="H427"/>
      <c r="I427"/>
    </row>
    <row r="428" spans="2:9" ht="18" customHeight="1" x14ac:dyDescent="0.25">
      <c r="B428" s="45">
        <f>ROW(A423)</f>
        <v>423</v>
      </c>
      <c r="C428"/>
      <c r="D428"/>
      <c r="E428"/>
      <c r="F428"/>
      <c r="G428"/>
      <c r="H428"/>
      <c r="I428"/>
    </row>
    <row r="429" spans="2:9" ht="18" customHeight="1" x14ac:dyDescent="0.25">
      <c r="B429" s="45">
        <f>ROW(A424)</f>
        <v>424</v>
      </c>
      <c r="C429"/>
      <c r="D429"/>
      <c r="E429"/>
      <c r="F429"/>
      <c r="G429"/>
      <c r="H429"/>
      <c r="I429"/>
    </row>
    <row r="430" spans="2:9" ht="18" customHeight="1" x14ac:dyDescent="0.25">
      <c r="B430" s="45">
        <f>ROW(A425)</f>
        <v>425</v>
      </c>
      <c r="C430"/>
      <c r="D430"/>
      <c r="E430"/>
      <c r="F430"/>
      <c r="G430"/>
      <c r="H430"/>
      <c r="I430"/>
    </row>
    <row r="431" spans="2:9" ht="18" customHeight="1" x14ac:dyDescent="0.25">
      <c r="B431" s="45">
        <f>ROW(A426)</f>
        <v>426</v>
      </c>
      <c r="C431"/>
      <c r="D431"/>
      <c r="E431"/>
      <c r="F431"/>
      <c r="G431"/>
      <c r="H431"/>
      <c r="I431"/>
    </row>
    <row r="432" spans="2:9" ht="18" customHeight="1" x14ac:dyDescent="0.25">
      <c r="B432" s="45">
        <f>ROW(A427)</f>
        <v>427</v>
      </c>
      <c r="C432"/>
      <c r="D432"/>
      <c r="E432"/>
      <c r="F432"/>
      <c r="G432"/>
      <c r="H432"/>
      <c r="I432"/>
    </row>
    <row r="433" spans="2:9" ht="18" customHeight="1" x14ac:dyDescent="0.25">
      <c r="B433" s="45">
        <f>ROW(A428)</f>
        <v>428</v>
      </c>
      <c r="C433"/>
      <c r="D433"/>
      <c r="E433"/>
      <c r="F433"/>
      <c r="G433"/>
      <c r="H433"/>
      <c r="I433"/>
    </row>
    <row r="434" spans="2:9" ht="18" customHeight="1" x14ac:dyDescent="0.25">
      <c r="B434" s="45">
        <f>ROW(A429)</f>
        <v>429</v>
      </c>
      <c r="C434"/>
      <c r="D434"/>
      <c r="E434"/>
      <c r="F434"/>
      <c r="G434"/>
      <c r="H434"/>
      <c r="I434"/>
    </row>
    <row r="435" spans="2:9" ht="18" customHeight="1" x14ac:dyDescent="0.25">
      <c r="B435" s="45">
        <f>ROW(A430)</f>
        <v>430</v>
      </c>
      <c r="C435"/>
      <c r="D435"/>
      <c r="E435"/>
      <c r="F435"/>
      <c r="G435"/>
      <c r="H435"/>
      <c r="I435"/>
    </row>
    <row r="436" spans="2:9" ht="18" customHeight="1" x14ac:dyDescent="0.25">
      <c r="B436" s="45">
        <f>ROW(A431)</f>
        <v>431</v>
      </c>
      <c r="C436"/>
      <c r="D436"/>
      <c r="E436"/>
      <c r="F436"/>
      <c r="G436"/>
      <c r="H436"/>
      <c r="I436"/>
    </row>
    <row r="437" spans="2:9" ht="18" customHeight="1" x14ac:dyDescent="0.25">
      <c r="B437" s="45">
        <f>ROW(A432)</f>
        <v>432</v>
      </c>
      <c r="C437"/>
      <c r="D437"/>
      <c r="E437"/>
      <c r="F437"/>
      <c r="G437"/>
      <c r="H437"/>
      <c r="I437"/>
    </row>
    <row r="438" spans="2:9" ht="18" customHeight="1" x14ac:dyDescent="0.25">
      <c r="B438" s="45">
        <f>ROW(A433)</f>
        <v>433</v>
      </c>
      <c r="C438"/>
      <c r="D438"/>
      <c r="E438"/>
      <c r="F438"/>
      <c r="G438"/>
      <c r="H438"/>
      <c r="I438"/>
    </row>
    <row r="439" spans="2:9" ht="18" customHeight="1" x14ac:dyDescent="0.25">
      <c r="B439" s="45">
        <f>ROW(A434)</f>
        <v>434</v>
      </c>
      <c r="C439"/>
      <c r="D439"/>
      <c r="E439"/>
      <c r="F439"/>
      <c r="G439"/>
      <c r="H439"/>
      <c r="I439"/>
    </row>
    <row r="440" spans="2:9" ht="18" customHeight="1" x14ac:dyDescent="0.25">
      <c r="B440" s="45">
        <f>ROW(A435)</f>
        <v>435</v>
      </c>
      <c r="C440"/>
      <c r="D440"/>
      <c r="E440"/>
      <c r="F440"/>
      <c r="G440"/>
      <c r="H440"/>
      <c r="I440"/>
    </row>
    <row r="441" spans="2:9" ht="18" customHeight="1" x14ac:dyDescent="0.25">
      <c r="B441" s="45">
        <f>ROW(A436)</f>
        <v>436</v>
      </c>
      <c r="C441"/>
      <c r="D441"/>
      <c r="E441"/>
      <c r="F441"/>
      <c r="G441"/>
      <c r="H441"/>
      <c r="I441"/>
    </row>
    <row r="442" spans="2:9" ht="18" customHeight="1" x14ac:dyDescent="0.25">
      <c r="B442" s="45">
        <f>ROW(A437)</f>
        <v>437</v>
      </c>
      <c r="C442"/>
      <c r="D442"/>
      <c r="E442"/>
      <c r="F442"/>
      <c r="G442"/>
      <c r="H442"/>
      <c r="I442"/>
    </row>
    <row r="443" spans="2:9" ht="18" customHeight="1" x14ac:dyDescent="0.25">
      <c r="B443" s="45">
        <f>ROW(A438)</f>
        <v>438</v>
      </c>
      <c r="C443"/>
      <c r="D443"/>
      <c r="E443"/>
      <c r="F443"/>
      <c r="G443"/>
      <c r="H443"/>
      <c r="I443"/>
    </row>
    <row r="444" spans="2:9" ht="18" customHeight="1" x14ac:dyDescent="0.25">
      <c r="B444" s="45">
        <f>ROW(A439)</f>
        <v>439</v>
      </c>
      <c r="C444"/>
      <c r="D444"/>
      <c r="E444"/>
      <c r="F444"/>
      <c r="G444"/>
      <c r="H444"/>
      <c r="I444"/>
    </row>
    <row r="445" spans="2:9" ht="18" customHeight="1" x14ac:dyDescent="0.25">
      <c r="B445" s="45">
        <f>ROW(A440)</f>
        <v>440</v>
      </c>
      <c r="C445"/>
      <c r="D445"/>
      <c r="E445"/>
      <c r="F445"/>
      <c r="G445"/>
      <c r="H445"/>
      <c r="I445"/>
    </row>
    <row r="446" spans="2:9" ht="18" customHeight="1" x14ac:dyDescent="0.25">
      <c r="B446" s="45">
        <f>ROW(A441)</f>
        <v>441</v>
      </c>
      <c r="C446"/>
      <c r="D446"/>
      <c r="E446"/>
      <c r="F446"/>
      <c r="G446"/>
      <c r="H446"/>
      <c r="I446"/>
    </row>
    <row r="447" spans="2:9" ht="18" customHeight="1" x14ac:dyDescent="0.25">
      <c r="B447" s="45">
        <f>ROW(A442)</f>
        <v>442</v>
      </c>
      <c r="C447"/>
      <c r="D447"/>
      <c r="E447"/>
      <c r="F447"/>
      <c r="G447"/>
      <c r="H447"/>
      <c r="I447"/>
    </row>
    <row r="448" spans="2:9" ht="18" customHeight="1" x14ac:dyDescent="0.25">
      <c r="B448" s="45">
        <f>ROW(A443)</f>
        <v>443</v>
      </c>
      <c r="C448"/>
      <c r="D448"/>
      <c r="E448"/>
      <c r="F448"/>
      <c r="G448"/>
      <c r="H448"/>
      <c r="I448"/>
    </row>
    <row r="449" spans="2:9" ht="18" customHeight="1" x14ac:dyDescent="0.25">
      <c r="B449" s="45">
        <f>ROW(A444)</f>
        <v>444</v>
      </c>
      <c r="C449"/>
      <c r="D449"/>
      <c r="E449"/>
      <c r="F449"/>
      <c r="G449"/>
      <c r="H449"/>
      <c r="I449"/>
    </row>
    <row r="450" spans="2:9" ht="18" customHeight="1" x14ac:dyDescent="0.25">
      <c r="B450" s="45">
        <f>ROW(A445)</f>
        <v>445</v>
      </c>
      <c r="C450"/>
      <c r="D450"/>
      <c r="E450"/>
      <c r="F450"/>
      <c r="G450"/>
      <c r="H450"/>
      <c r="I450"/>
    </row>
    <row r="451" spans="2:9" ht="18" customHeight="1" x14ac:dyDescent="0.25">
      <c r="B451" s="45">
        <f>ROW(A446)</f>
        <v>446</v>
      </c>
      <c r="C451"/>
      <c r="D451"/>
      <c r="E451"/>
      <c r="F451"/>
      <c r="G451"/>
      <c r="H451"/>
      <c r="I451"/>
    </row>
    <row r="452" spans="2:9" ht="18" customHeight="1" x14ac:dyDescent="0.25">
      <c r="B452" s="45">
        <f>ROW(A447)</f>
        <v>447</v>
      </c>
      <c r="C452"/>
      <c r="D452"/>
      <c r="E452"/>
      <c r="F452"/>
      <c r="G452"/>
      <c r="H452"/>
      <c r="I452"/>
    </row>
    <row r="453" spans="2:9" ht="18" customHeight="1" x14ac:dyDescent="0.25">
      <c r="B453" s="45">
        <f>ROW(A448)</f>
        <v>448</v>
      </c>
      <c r="C453"/>
      <c r="D453"/>
      <c r="E453"/>
      <c r="F453"/>
      <c r="G453"/>
      <c r="H453"/>
      <c r="I453"/>
    </row>
    <row r="454" spans="2:9" ht="18" customHeight="1" x14ac:dyDescent="0.25">
      <c r="B454" s="45">
        <f>ROW(A449)</f>
        <v>449</v>
      </c>
      <c r="C454"/>
      <c r="D454"/>
      <c r="E454"/>
      <c r="F454"/>
      <c r="G454"/>
      <c r="H454"/>
      <c r="I454"/>
    </row>
    <row r="455" spans="2:9" ht="18" customHeight="1" x14ac:dyDescent="0.25">
      <c r="B455" s="45">
        <f>ROW(A450)</f>
        <v>450</v>
      </c>
      <c r="C455"/>
      <c r="D455"/>
      <c r="E455"/>
      <c r="F455"/>
      <c r="G455"/>
      <c r="H455"/>
      <c r="I455"/>
    </row>
    <row r="456" spans="2:9" ht="18" customHeight="1" x14ac:dyDescent="0.25">
      <c r="B456" s="45">
        <f>ROW(A451)</f>
        <v>451</v>
      </c>
      <c r="C456"/>
      <c r="D456"/>
      <c r="E456"/>
      <c r="F456"/>
      <c r="G456"/>
      <c r="H456"/>
      <c r="I456"/>
    </row>
    <row r="457" spans="2:9" ht="18" customHeight="1" x14ac:dyDescent="0.25">
      <c r="B457" s="45">
        <f>ROW(A452)</f>
        <v>452</v>
      </c>
      <c r="C457"/>
      <c r="D457"/>
      <c r="E457"/>
      <c r="F457"/>
      <c r="G457"/>
      <c r="H457"/>
      <c r="I457"/>
    </row>
    <row r="458" spans="2:9" ht="18" customHeight="1" x14ac:dyDescent="0.25">
      <c r="B458" s="45">
        <f>ROW(A453)</f>
        <v>453</v>
      </c>
      <c r="C458"/>
      <c r="D458"/>
      <c r="E458"/>
      <c r="F458"/>
      <c r="G458"/>
      <c r="H458"/>
      <c r="I458"/>
    </row>
    <row r="459" spans="2:9" ht="18" customHeight="1" x14ac:dyDescent="0.25">
      <c r="B459" s="45">
        <f>ROW(A454)</f>
        <v>454</v>
      </c>
      <c r="C459"/>
      <c r="D459"/>
      <c r="E459"/>
      <c r="F459"/>
      <c r="G459"/>
      <c r="H459"/>
      <c r="I459"/>
    </row>
    <row r="460" spans="2:9" ht="18" customHeight="1" x14ac:dyDescent="0.25">
      <c r="B460" s="45">
        <f>ROW(A455)</f>
        <v>455</v>
      </c>
      <c r="C460"/>
      <c r="D460"/>
      <c r="E460"/>
      <c r="F460"/>
      <c r="G460"/>
      <c r="H460"/>
      <c r="I460"/>
    </row>
    <row r="461" spans="2:9" ht="18" customHeight="1" x14ac:dyDescent="0.25">
      <c r="B461" s="45">
        <f>ROW(A456)</f>
        <v>456</v>
      </c>
      <c r="C461"/>
      <c r="D461"/>
      <c r="E461"/>
      <c r="F461"/>
      <c r="G461"/>
      <c r="H461"/>
      <c r="I461"/>
    </row>
    <row r="462" spans="2:9" ht="18" customHeight="1" x14ac:dyDescent="0.25">
      <c r="B462" s="45">
        <f>ROW(A457)</f>
        <v>457</v>
      </c>
      <c r="C462"/>
      <c r="D462"/>
      <c r="E462"/>
      <c r="F462"/>
      <c r="G462"/>
      <c r="H462"/>
      <c r="I462"/>
    </row>
    <row r="463" spans="2:9" ht="18" customHeight="1" x14ac:dyDescent="0.25">
      <c r="B463" s="45">
        <f>ROW(A458)</f>
        <v>458</v>
      </c>
      <c r="C463"/>
      <c r="D463"/>
      <c r="E463"/>
      <c r="F463"/>
      <c r="G463"/>
      <c r="H463"/>
      <c r="I463"/>
    </row>
    <row r="464" spans="2:9" ht="18" customHeight="1" x14ac:dyDescent="0.25">
      <c r="B464" s="45">
        <f>ROW(A459)</f>
        <v>459</v>
      </c>
      <c r="C464"/>
      <c r="D464"/>
      <c r="E464"/>
      <c r="F464"/>
      <c r="G464"/>
      <c r="H464"/>
      <c r="I464"/>
    </row>
    <row r="465" spans="2:9" ht="18" customHeight="1" x14ac:dyDescent="0.25">
      <c r="B465" s="45">
        <f>ROW(A460)</f>
        <v>460</v>
      </c>
      <c r="C465"/>
      <c r="D465"/>
      <c r="E465"/>
      <c r="F465"/>
      <c r="G465"/>
      <c r="H465"/>
      <c r="I465"/>
    </row>
    <row r="466" spans="2:9" ht="18" customHeight="1" x14ac:dyDescent="0.25">
      <c r="B466" s="45">
        <f>ROW(A461)</f>
        <v>461</v>
      </c>
      <c r="C466"/>
      <c r="D466"/>
      <c r="E466"/>
      <c r="F466"/>
      <c r="G466"/>
      <c r="H466"/>
      <c r="I466"/>
    </row>
    <row r="467" spans="2:9" ht="18" customHeight="1" x14ac:dyDescent="0.25">
      <c r="B467" s="45">
        <f>ROW(A462)</f>
        <v>462</v>
      </c>
      <c r="C467"/>
      <c r="D467"/>
      <c r="E467"/>
      <c r="F467"/>
      <c r="G467"/>
      <c r="H467"/>
      <c r="I467"/>
    </row>
    <row r="468" spans="2:9" ht="18" customHeight="1" x14ac:dyDescent="0.25">
      <c r="B468" s="45">
        <f>ROW(A463)</f>
        <v>463</v>
      </c>
      <c r="C468"/>
      <c r="D468"/>
      <c r="E468"/>
      <c r="F468"/>
      <c r="G468"/>
      <c r="H468"/>
      <c r="I468"/>
    </row>
    <row r="469" spans="2:9" ht="18" customHeight="1" x14ac:dyDescent="0.25">
      <c r="B469" s="45">
        <f>ROW(A464)</f>
        <v>464</v>
      </c>
      <c r="C469"/>
      <c r="D469"/>
      <c r="E469"/>
      <c r="F469"/>
      <c r="G469"/>
      <c r="H469"/>
      <c r="I469"/>
    </row>
    <row r="470" spans="2:9" ht="18" customHeight="1" x14ac:dyDescent="0.25">
      <c r="B470" s="45">
        <f>ROW(A465)</f>
        <v>465</v>
      </c>
      <c r="C470"/>
      <c r="D470"/>
      <c r="E470"/>
      <c r="F470"/>
      <c r="G470"/>
      <c r="H470"/>
      <c r="I470"/>
    </row>
    <row r="471" spans="2:9" ht="18" customHeight="1" x14ac:dyDescent="0.25">
      <c r="B471" s="45">
        <f>ROW(A466)</f>
        <v>466</v>
      </c>
      <c r="C471"/>
      <c r="D471"/>
      <c r="E471"/>
      <c r="F471"/>
      <c r="G471"/>
      <c r="H471"/>
      <c r="I471"/>
    </row>
    <row r="472" spans="2:9" ht="18" customHeight="1" x14ac:dyDescent="0.25">
      <c r="B472" s="45">
        <f>ROW(A467)</f>
        <v>467</v>
      </c>
      <c r="C472"/>
      <c r="D472"/>
      <c r="E472"/>
      <c r="F472"/>
      <c r="G472"/>
      <c r="H472"/>
      <c r="I472"/>
    </row>
    <row r="473" spans="2:9" ht="18" customHeight="1" x14ac:dyDescent="0.25">
      <c r="B473" s="45">
        <f>ROW(A468)</f>
        <v>468</v>
      </c>
      <c r="C473"/>
      <c r="D473"/>
      <c r="E473"/>
      <c r="F473"/>
      <c r="G473"/>
      <c r="H473"/>
      <c r="I473"/>
    </row>
    <row r="474" spans="2:9" ht="18" customHeight="1" x14ac:dyDescent="0.25">
      <c r="B474" s="45">
        <f>ROW(A469)</f>
        <v>469</v>
      </c>
      <c r="C474"/>
      <c r="D474"/>
      <c r="E474"/>
      <c r="F474"/>
      <c r="G474"/>
      <c r="H474"/>
      <c r="I474"/>
    </row>
    <row r="475" spans="2:9" ht="18" customHeight="1" x14ac:dyDescent="0.25">
      <c r="B475" s="45">
        <f>ROW(A470)</f>
        <v>470</v>
      </c>
      <c r="C475"/>
      <c r="D475"/>
      <c r="E475"/>
      <c r="F475"/>
      <c r="G475"/>
      <c r="H475"/>
      <c r="I475"/>
    </row>
    <row r="476" spans="2:9" ht="18" customHeight="1" x14ac:dyDescent="0.25">
      <c r="B476" s="45">
        <f>ROW(A471)</f>
        <v>471</v>
      </c>
      <c r="C476"/>
      <c r="D476"/>
      <c r="E476"/>
      <c r="F476"/>
      <c r="G476"/>
      <c r="H476"/>
      <c r="I476"/>
    </row>
    <row r="477" spans="2:9" ht="18" customHeight="1" x14ac:dyDescent="0.25">
      <c r="B477" s="45">
        <f>ROW(A472)</f>
        <v>472</v>
      </c>
      <c r="C477"/>
      <c r="D477"/>
      <c r="E477"/>
      <c r="F477"/>
      <c r="G477"/>
      <c r="H477"/>
      <c r="I477"/>
    </row>
    <row r="478" spans="2:9" ht="18" customHeight="1" x14ac:dyDescent="0.25">
      <c r="B478" s="45">
        <f>ROW(A473)</f>
        <v>473</v>
      </c>
      <c r="C478"/>
      <c r="D478"/>
      <c r="E478"/>
      <c r="F478"/>
      <c r="G478"/>
      <c r="H478"/>
      <c r="I478"/>
    </row>
    <row r="479" spans="2:9" ht="18" customHeight="1" x14ac:dyDescent="0.25">
      <c r="B479" s="45">
        <f>ROW(A474)</f>
        <v>474</v>
      </c>
      <c r="C479"/>
      <c r="D479"/>
      <c r="E479"/>
      <c r="F479"/>
      <c r="G479"/>
      <c r="H479"/>
      <c r="I479"/>
    </row>
    <row r="480" spans="2:9" ht="18" customHeight="1" x14ac:dyDescent="0.25">
      <c r="B480" s="45">
        <f>ROW(A475)</f>
        <v>475</v>
      </c>
      <c r="C480"/>
      <c r="D480"/>
      <c r="E480"/>
      <c r="F480"/>
      <c r="G480"/>
      <c r="H480"/>
      <c r="I480"/>
    </row>
    <row r="481" spans="2:9" ht="18" customHeight="1" x14ac:dyDescent="0.25">
      <c r="B481" s="45">
        <f>ROW(A476)</f>
        <v>476</v>
      </c>
      <c r="C481"/>
      <c r="D481"/>
      <c r="E481"/>
      <c r="F481"/>
      <c r="G481"/>
      <c r="H481"/>
      <c r="I481"/>
    </row>
    <row r="482" spans="2:9" ht="18" customHeight="1" x14ac:dyDescent="0.25">
      <c r="B482" s="45">
        <f>ROW(A477)</f>
        <v>477</v>
      </c>
      <c r="C482"/>
      <c r="D482"/>
      <c r="E482"/>
      <c r="F482"/>
      <c r="G482"/>
      <c r="H482"/>
      <c r="I482"/>
    </row>
    <row r="483" spans="2:9" ht="18" customHeight="1" x14ac:dyDescent="0.25">
      <c r="B483" s="45">
        <f>ROW(A478)</f>
        <v>478</v>
      </c>
      <c r="C483"/>
      <c r="D483"/>
      <c r="E483"/>
      <c r="F483"/>
      <c r="G483"/>
      <c r="H483"/>
      <c r="I483"/>
    </row>
    <row r="484" spans="2:9" ht="18" customHeight="1" x14ac:dyDescent="0.25">
      <c r="B484" s="45">
        <f>ROW(A479)</f>
        <v>479</v>
      </c>
      <c r="C484"/>
      <c r="D484"/>
      <c r="E484"/>
      <c r="F484"/>
      <c r="G484"/>
      <c r="H484"/>
      <c r="I484"/>
    </row>
    <row r="485" spans="2:9" ht="18" customHeight="1" x14ac:dyDescent="0.25">
      <c r="B485" s="45">
        <f>ROW(A480)</f>
        <v>480</v>
      </c>
      <c r="C485"/>
      <c r="D485"/>
      <c r="E485"/>
      <c r="F485"/>
      <c r="G485"/>
      <c r="H485"/>
      <c r="I485"/>
    </row>
    <row r="486" spans="2:9" ht="18" customHeight="1" x14ac:dyDescent="0.25">
      <c r="B486" s="45">
        <f>ROW(A481)</f>
        <v>481</v>
      </c>
      <c r="C486"/>
      <c r="D486"/>
      <c r="E486"/>
      <c r="F486"/>
      <c r="G486"/>
      <c r="H486"/>
      <c r="I486"/>
    </row>
    <row r="487" spans="2:9" ht="18" customHeight="1" x14ac:dyDescent="0.25">
      <c r="B487" s="45">
        <f>ROW(A482)</f>
        <v>482</v>
      </c>
      <c r="C487"/>
      <c r="D487"/>
      <c r="E487"/>
      <c r="F487"/>
      <c r="G487"/>
      <c r="H487"/>
      <c r="I487"/>
    </row>
    <row r="488" spans="2:9" ht="18" customHeight="1" x14ac:dyDescent="0.25">
      <c r="B488" s="45">
        <f>ROW(A483)</f>
        <v>483</v>
      </c>
      <c r="C488"/>
      <c r="D488"/>
      <c r="E488"/>
      <c r="F488"/>
      <c r="G488"/>
      <c r="H488"/>
      <c r="I488"/>
    </row>
    <row r="489" spans="2:9" ht="18" customHeight="1" x14ac:dyDescent="0.25">
      <c r="B489" s="45">
        <f>ROW(A484)</f>
        <v>484</v>
      </c>
      <c r="C489"/>
      <c r="D489"/>
      <c r="E489"/>
      <c r="F489"/>
      <c r="G489"/>
      <c r="H489"/>
      <c r="I489"/>
    </row>
    <row r="490" spans="2:9" ht="18" customHeight="1" x14ac:dyDescent="0.25">
      <c r="B490" s="45">
        <f>ROW(A485)</f>
        <v>485</v>
      </c>
      <c r="C490"/>
      <c r="D490"/>
      <c r="E490"/>
      <c r="F490"/>
      <c r="G490"/>
      <c r="H490"/>
      <c r="I490"/>
    </row>
    <row r="491" spans="2:9" ht="18" customHeight="1" x14ac:dyDescent="0.25">
      <c r="B491" s="45">
        <f>ROW(A486)</f>
        <v>486</v>
      </c>
      <c r="C491"/>
      <c r="D491"/>
      <c r="E491"/>
      <c r="F491"/>
      <c r="G491"/>
      <c r="H491"/>
      <c r="I491"/>
    </row>
    <row r="492" spans="2:9" ht="18" customHeight="1" x14ac:dyDescent="0.25">
      <c r="B492" s="45">
        <f>ROW(A487)</f>
        <v>487</v>
      </c>
      <c r="C492"/>
      <c r="D492"/>
      <c r="E492"/>
      <c r="F492"/>
      <c r="G492"/>
      <c r="H492"/>
      <c r="I492"/>
    </row>
    <row r="493" spans="2:9" ht="18" customHeight="1" x14ac:dyDescent="0.25">
      <c r="B493" s="45">
        <f>ROW(A488)</f>
        <v>488</v>
      </c>
      <c r="C493"/>
      <c r="D493"/>
      <c r="E493"/>
      <c r="F493"/>
      <c r="G493"/>
      <c r="H493"/>
      <c r="I493"/>
    </row>
    <row r="494" spans="2:9" ht="18" customHeight="1" x14ac:dyDescent="0.25">
      <c r="B494" s="45">
        <f>ROW(A489)</f>
        <v>489</v>
      </c>
      <c r="C494"/>
      <c r="D494"/>
      <c r="E494"/>
      <c r="F494"/>
      <c r="G494"/>
      <c r="H494"/>
      <c r="I494"/>
    </row>
    <row r="495" spans="2:9" ht="18" customHeight="1" x14ac:dyDescent="0.25">
      <c r="B495" s="45">
        <f>ROW(A490)</f>
        <v>490</v>
      </c>
      <c r="C495"/>
      <c r="D495"/>
      <c r="E495"/>
      <c r="F495"/>
      <c r="G495"/>
      <c r="H495"/>
      <c r="I495"/>
    </row>
    <row r="496" spans="2:9" ht="18" customHeight="1" x14ac:dyDescent="0.25">
      <c r="B496" s="45">
        <f>ROW(A491)</f>
        <v>491</v>
      </c>
      <c r="C496"/>
      <c r="D496"/>
      <c r="E496"/>
      <c r="F496"/>
      <c r="G496"/>
      <c r="H496"/>
      <c r="I496"/>
    </row>
    <row r="497" spans="2:9" ht="18" customHeight="1" x14ac:dyDescent="0.25">
      <c r="B497" s="45">
        <f>ROW(A492)</f>
        <v>492</v>
      </c>
      <c r="C497"/>
      <c r="D497"/>
      <c r="E497"/>
      <c r="F497"/>
      <c r="G497"/>
      <c r="H497"/>
      <c r="I497"/>
    </row>
    <row r="498" spans="2:9" ht="18" customHeight="1" x14ac:dyDescent="0.25">
      <c r="B498" s="45">
        <f>ROW(A493)</f>
        <v>493</v>
      </c>
      <c r="C498"/>
      <c r="D498"/>
      <c r="E498"/>
      <c r="F498"/>
      <c r="G498"/>
      <c r="H498"/>
      <c r="I498"/>
    </row>
    <row r="499" spans="2:9" ht="18" customHeight="1" x14ac:dyDescent="0.25">
      <c r="B499" s="45">
        <f>ROW(A494)</f>
        <v>494</v>
      </c>
      <c r="C499"/>
      <c r="D499"/>
      <c r="E499"/>
      <c r="F499"/>
      <c r="G499"/>
      <c r="H499"/>
      <c r="I499"/>
    </row>
    <row r="500" spans="2:9" ht="18" customHeight="1" x14ac:dyDescent="0.25">
      <c r="B500" s="45">
        <f>ROW(A495)</f>
        <v>495</v>
      </c>
      <c r="C500"/>
      <c r="D500"/>
      <c r="E500"/>
      <c r="F500"/>
      <c r="G500"/>
      <c r="H500"/>
      <c r="I500"/>
    </row>
    <row r="501" spans="2:9" ht="18" customHeight="1" x14ac:dyDescent="0.25">
      <c r="B501" s="45">
        <f>ROW(A496)</f>
        <v>496</v>
      </c>
      <c r="C501"/>
      <c r="D501"/>
      <c r="E501"/>
      <c r="F501"/>
      <c r="G501"/>
      <c r="H501"/>
      <c r="I501"/>
    </row>
    <row r="502" spans="2:9" ht="18" customHeight="1" x14ac:dyDescent="0.25">
      <c r="B502" s="45">
        <f>ROW(A497)</f>
        <v>497</v>
      </c>
      <c r="C502"/>
      <c r="D502"/>
      <c r="E502"/>
      <c r="F502"/>
      <c r="G502"/>
      <c r="H502"/>
      <c r="I502"/>
    </row>
    <row r="503" spans="2:9" ht="18" customHeight="1" x14ac:dyDescent="0.25">
      <c r="B503" s="45">
        <f>ROW(A498)</f>
        <v>498</v>
      </c>
      <c r="C503"/>
      <c r="D503"/>
      <c r="E503"/>
      <c r="F503"/>
      <c r="G503"/>
      <c r="H503"/>
      <c r="I503"/>
    </row>
    <row r="504" spans="2:9" ht="18" customHeight="1" x14ac:dyDescent="0.25">
      <c r="B504" s="45">
        <f>ROW(A499)</f>
        <v>499</v>
      </c>
      <c r="C504"/>
      <c r="D504"/>
      <c r="E504"/>
      <c r="F504"/>
      <c r="G504"/>
      <c r="H504"/>
      <c r="I504"/>
    </row>
    <row r="505" spans="2:9" ht="18" customHeight="1" x14ac:dyDescent="0.25">
      <c r="B505" s="45">
        <f>ROW(A500)</f>
        <v>500</v>
      </c>
      <c r="C505"/>
      <c r="D505"/>
      <c r="E505"/>
      <c r="F505"/>
      <c r="G505"/>
      <c r="H505"/>
      <c r="I505"/>
    </row>
    <row r="506" spans="2:9" ht="18" customHeight="1" x14ac:dyDescent="0.25">
      <c r="B506" s="45">
        <f>ROW(A501)</f>
        <v>501</v>
      </c>
      <c r="C506"/>
      <c r="D506"/>
      <c r="E506"/>
      <c r="F506"/>
      <c r="G506"/>
      <c r="H506"/>
      <c r="I506"/>
    </row>
    <row r="507" spans="2:9" ht="18" customHeight="1" x14ac:dyDescent="0.25">
      <c r="B507" s="45">
        <f>ROW(A502)</f>
        <v>502</v>
      </c>
      <c r="C507"/>
      <c r="D507"/>
      <c r="E507"/>
      <c r="F507"/>
      <c r="G507"/>
      <c r="H507"/>
      <c r="I507"/>
    </row>
    <row r="508" spans="2:9" ht="18" customHeight="1" x14ac:dyDescent="0.25">
      <c r="B508" s="45">
        <f>ROW(A503)</f>
        <v>503</v>
      </c>
      <c r="C508"/>
      <c r="D508"/>
      <c r="E508"/>
      <c r="F508"/>
      <c r="G508"/>
      <c r="H508"/>
      <c r="I508"/>
    </row>
    <row r="509" spans="2:9" ht="18" customHeight="1" x14ac:dyDescent="0.25">
      <c r="B509" s="45">
        <f>ROW(A504)</f>
        <v>504</v>
      </c>
      <c r="C509"/>
      <c r="D509"/>
      <c r="E509"/>
      <c r="F509"/>
      <c r="G509"/>
      <c r="H509"/>
      <c r="I509"/>
    </row>
    <row r="510" spans="2:9" ht="18" customHeight="1" x14ac:dyDescent="0.25">
      <c r="B510" s="45">
        <f>ROW(A505)</f>
        <v>505</v>
      </c>
      <c r="C510"/>
      <c r="D510"/>
      <c r="E510"/>
      <c r="F510"/>
      <c r="G510"/>
      <c r="H510"/>
      <c r="I510"/>
    </row>
    <row r="511" spans="2:9" ht="18" customHeight="1" x14ac:dyDescent="0.25">
      <c r="B511" s="45">
        <f>ROW(A506)</f>
        <v>506</v>
      </c>
      <c r="C511"/>
      <c r="D511"/>
      <c r="E511"/>
      <c r="F511"/>
      <c r="G511"/>
      <c r="H511"/>
      <c r="I511"/>
    </row>
    <row r="512" spans="2:9" ht="18" customHeight="1" x14ac:dyDescent="0.25">
      <c r="B512" s="45">
        <f>ROW(A507)</f>
        <v>507</v>
      </c>
      <c r="C512"/>
      <c r="D512"/>
      <c r="E512"/>
      <c r="F512"/>
      <c r="G512"/>
      <c r="H512"/>
      <c r="I512"/>
    </row>
    <row r="513" spans="2:9" ht="18" customHeight="1" x14ac:dyDescent="0.25">
      <c r="B513" s="45">
        <f>ROW(A508)</f>
        <v>508</v>
      </c>
      <c r="C513"/>
      <c r="D513"/>
      <c r="E513"/>
      <c r="F513"/>
      <c r="G513"/>
      <c r="H513"/>
      <c r="I513"/>
    </row>
    <row r="514" spans="2:9" ht="18" customHeight="1" x14ac:dyDescent="0.25">
      <c r="B514" s="45">
        <f>ROW(A509)</f>
        <v>509</v>
      </c>
      <c r="C514"/>
      <c r="D514"/>
      <c r="E514"/>
      <c r="F514"/>
      <c r="G514"/>
      <c r="H514"/>
      <c r="I514"/>
    </row>
    <row r="515" spans="2:9" ht="18" customHeight="1" x14ac:dyDescent="0.25">
      <c r="B515" s="45">
        <f>ROW(A510)</f>
        <v>510</v>
      </c>
      <c r="C515"/>
      <c r="D515"/>
      <c r="E515"/>
      <c r="F515"/>
      <c r="G515"/>
      <c r="H515"/>
      <c r="I515"/>
    </row>
    <row r="516" spans="2:9" ht="18" customHeight="1" x14ac:dyDescent="0.25">
      <c r="B516" s="45">
        <f>ROW(A511)</f>
        <v>511</v>
      </c>
      <c r="C516"/>
      <c r="D516"/>
      <c r="E516"/>
      <c r="F516"/>
      <c r="G516"/>
      <c r="H516"/>
      <c r="I516"/>
    </row>
    <row r="517" spans="2:9" ht="18" customHeight="1" x14ac:dyDescent="0.25">
      <c r="B517" s="45">
        <f>ROW(A512)</f>
        <v>512</v>
      </c>
      <c r="C517"/>
      <c r="D517"/>
      <c r="E517"/>
      <c r="F517"/>
      <c r="G517"/>
      <c r="H517"/>
      <c r="I517"/>
    </row>
    <row r="518" spans="2:9" ht="18" customHeight="1" x14ac:dyDescent="0.25">
      <c r="B518" s="45">
        <f>ROW(A513)</f>
        <v>513</v>
      </c>
      <c r="C518"/>
      <c r="D518"/>
      <c r="E518"/>
      <c r="F518"/>
      <c r="G518"/>
      <c r="H518"/>
      <c r="I518"/>
    </row>
    <row r="519" spans="2:9" ht="18" customHeight="1" x14ac:dyDescent="0.25">
      <c r="B519" s="45">
        <f>ROW(A514)</f>
        <v>514</v>
      </c>
      <c r="C519"/>
      <c r="D519"/>
      <c r="E519"/>
      <c r="F519"/>
      <c r="G519"/>
      <c r="H519"/>
      <c r="I519"/>
    </row>
    <row r="520" spans="2:9" ht="18" customHeight="1" x14ac:dyDescent="0.25">
      <c r="B520" s="45">
        <f>ROW(A515)</f>
        <v>515</v>
      </c>
      <c r="C520"/>
      <c r="D520"/>
      <c r="E520"/>
      <c r="F520"/>
      <c r="G520"/>
      <c r="H520"/>
      <c r="I520"/>
    </row>
    <row r="521" spans="2:9" ht="18" customHeight="1" x14ac:dyDescent="0.25">
      <c r="B521" s="45">
        <f>ROW(A516)</f>
        <v>516</v>
      </c>
      <c r="C521"/>
      <c r="D521"/>
      <c r="E521"/>
      <c r="F521"/>
      <c r="G521"/>
      <c r="H521"/>
      <c r="I521"/>
    </row>
    <row r="522" spans="2:9" ht="18" customHeight="1" x14ac:dyDescent="0.25">
      <c r="B522" s="45">
        <f>ROW(A517)</f>
        <v>517</v>
      </c>
      <c r="C522"/>
      <c r="D522"/>
      <c r="E522"/>
      <c r="F522"/>
      <c r="G522"/>
      <c r="H522"/>
      <c r="I522"/>
    </row>
    <row r="523" spans="2:9" ht="18" customHeight="1" x14ac:dyDescent="0.25">
      <c r="B523" s="45">
        <f>ROW(A518)</f>
        <v>518</v>
      </c>
      <c r="C523"/>
      <c r="D523"/>
      <c r="E523"/>
      <c r="F523"/>
      <c r="G523"/>
      <c r="H523"/>
      <c r="I523"/>
    </row>
    <row r="524" spans="2:9" ht="18" customHeight="1" x14ac:dyDescent="0.25">
      <c r="B524" s="45">
        <f>ROW(A519)</f>
        <v>519</v>
      </c>
      <c r="C524"/>
      <c r="D524"/>
      <c r="E524"/>
      <c r="F524"/>
      <c r="G524"/>
      <c r="H524"/>
      <c r="I524"/>
    </row>
    <row r="525" spans="2:9" ht="18" customHeight="1" x14ac:dyDescent="0.25">
      <c r="B525" s="45">
        <f>ROW(A520)</f>
        <v>520</v>
      </c>
      <c r="C525"/>
      <c r="D525"/>
      <c r="E525"/>
      <c r="F525"/>
      <c r="G525"/>
      <c r="H525"/>
      <c r="I525"/>
    </row>
    <row r="526" spans="2:9" ht="18" customHeight="1" x14ac:dyDescent="0.25">
      <c r="B526" s="45">
        <f>ROW(A521)</f>
        <v>521</v>
      </c>
      <c r="C526"/>
      <c r="D526"/>
      <c r="E526"/>
      <c r="F526"/>
      <c r="G526"/>
      <c r="H526"/>
      <c r="I526"/>
    </row>
    <row r="527" spans="2:9" ht="18" customHeight="1" x14ac:dyDescent="0.25">
      <c r="B527" s="45">
        <f>ROW(A522)</f>
        <v>522</v>
      </c>
      <c r="C527"/>
      <c r="D527"/>
      <c r="E527"/>
      <c r="F527"/>
      <c r="G527"/>
      <c r="H527"/>
      <c r="I527"/>
    </row>
    <row r="528" spans="2:9" ht="18" customHeight="1" x14ac:dyDescent="0.25">
      <c r="B528" s="45">
        <f>ROW(A523)</f>
        <v>523</v>
      </c>
      <c r="C528"/>
      <c r="D528"/>
      <c r="E528"/>
      <c r="F528"/>
      <c r="G528"/>
      <c r="H528"/>
      <c r="I528"/>
    </row>
    <row r="529" spans="2:9" ht="18" customHeight="1" x14ac:dyDescent="0.25">
      <c r="B529" s="45">
        <f>ROW(A524)</f>
        <v>524</v>
      </c>
      <c r="C529"/>
      <c r="D529"/>
      <c r="E529"/>
      <c r="F529"/>
      <c r="G529"/>
      <c r="H529"/>
      <c r="I529"/>
    </row>
    <row r="530" spans="2:9" ht="18" customHeight="1" x14ac:dyDescent="0.25">
      <c r="B530" s="45">
        <f>ROW(A525)</f>
        <v>525</v>
      </c>
      <c r="C530"/>
      <c r="D530"/>
      <c r="E530"/>
      <c r="F530"/>
      <c r="G530"/>
      <c r="H530"/>
      <c r="I530"/>
    </row>
    <row r="531" spans="2:9" ht="18" customHeight="1" x14ac:dyDescent="0.25">
      <c r="B531" s="45">
        <f>ROW(A526)</f>
        <v>526</v>
      </c>
      <c r="C531"/>
      <c r="D531"/>
      <c r="E531"/>
      <c r="F531"/>
      <c r="G531"/>
      <c r="H531"/>
      <c r="I531"/>
    </row>
    <row r="532" spans="2:9" ht="18" customHeight="1" x14ac:dyDescent="0.25">
      <c r="B532" s="45">
        <f>ROW(A527)</f>
        <v>527</v>
      </c>
      <c r="C532"/>
      <c r="D532"/>
      <c r="E532"/>
      <c r="F532"/>
      <c r="G532"/>
      <c r="H532"/>
      <c r="I532"/>
    </row>
    <row r="533" spans="2:9" ht="18" customHeight="1" x14ac:dyDescent="0.25">
      <c r="B533" s="45">
        <f>ROW(A528)</f>
        <v>528</v>
      </c>
      <c r="C533"/>
      <c r="D533"/>
      <c r="E533"/>
      <c r="F533"/>
      <c r="G533"/>
      <c r="H533"/>
      <c r="I533"/>
    </row>
    <row r="534" spans="2:9" ht="18" customHeight="1" x14ac:dyDescent="0.25">
      <c r="B534" s="45">
        <f>ROW(A529)</f>
        <v>529</v>
      </c>
      <c r="C534"/>
      <c r="D534"/>
      <c r="E534"/>
      <c r="F534"/>
      <c r="G534"/>
      <c r="H534"/>
      <c r="I534"/>
    </row>
    <row r="535" spans="2:9" ht="18" customHeight="1" x14ac:dyDescent="0.25">
      <c r="B535" s="45">
        <f>ROW(A530)</f>
        <v>530</v>
      </c>
      <c r="C535"/>
      <c r="D535"/>
      <c r="E535"/>
      <c r="F535"/>
      <c r="G535"/>
      <c r="H535"/>
      <c r="I535"/>
    </row>
    <row r="536" spans="2:9" ht="18" customHeight="1" x14ac:dyDescent="0.25">
      <c r="B536" s="45">
        <f>ROW(A531)</f>
        <v>531</v>
      </c>
      <c r="C536"/>
      <c r="D536"/>
      <c r="E536"/>
      <c r="F536"/>
      <c r="G536"/>
      <c r="H536"/>
      <c r="I536"/>
    </row>
    <row r="537" spans="2:9" ht="18" customHeight="1" x14ac:dyDescent="0.25">
      <c r="B537" s="45">
        <f>ROW(A532)</f>
        <v>532</v>
      </c>
      <c r="C537"/>
      <c r="D537"/>
      <c r="E537"/>
      <c r="F537"/>
      <c r="G537"/>
      <c r="H537"/>
      <c r="I537"/>
    </row>
    <row r="538" spans="2:9" ht="18" customHeight="1" x14ac:dyDescent="0.25">
      <c r="B538" s="45">
        <f>ROW(A533)</f>
        <v>533</v>
      </c>
      <c r="C538"/>
      <c r="D538"/>
      <c r="E538"/>
      <c r="F538"/>
      <c r="G538"/>
      <c r="H538"/>
      <c r="I538"/>
    </row>
    <row r="539" spans="2:9" ht="18" customHeight="1" x14ac:dyDescent="0.25">
      <c r="B539" s="45">
        <f>ROW(A534)</f>
        <v>534</v>
      </c>
      <c r="C539"/>
      <c r="D539"/>
      <c r="E539"/>
      <c r="F539"/>
      <c r="G539"/>
      <c r="H539"/>
      <c r="I539"/>
    </row>
    <row r="540" spans="2:9" ht="18" customHeight="1" x14ac:dyDescent="0.25">
      <c r="B540" s="45">
        <f>ROW(A535)</f>
        <v>535</v>
      </c>
      <c r="C540"/>
      <c r="D540"/>
      <c r="E540"/>
      <c r="F540"/>
      <c r="G540"/>
      <c r="H540"/>
      <c r="I540"/>
    </row>
    <row r="541" spans="2:9" ht="18" customHeight="1" x14ac:dyDescent="0.25">
      <c r="B541" s="45">
        <f>ROW(A536)</f>
        <v>536</v>
      </c>
      <c r="C541"/>
      <c r="D541"/>
      <c r="E541"/>
      <c r="F541"/>
      <c r="G541"/>
      <c r="H541"/>
      <c r="I541"/>
    </row>
    <row r="542" spans="2:9" ht="18" customHeight="1" x14ac:dyDescent="0.25">
      <c r="B542" s="45">
        <f>ROW(A537)</f>
        <v>537</v>
      </c>
      <c r="C542"/>
      <c r="D542"/>
      <c r="E542"/>
      <c r="F542"/>
      <c r="G542"/>
      <c r="H542"/>
      <c r="I542"/>
    </row>
    <row r="543" spans="2:9" ht="18" customHeight="1" x14ac:dyDescent="0.25">
      <c r="B543" s="45">
        <f>ROW(A538)</f>
        <v>538</v>
      </c>
      <c r="C543"/>
      <c r="D543"/>
      <c r="E543"/>
      <c r="F543"/>
      <c r="G543"/>
      <c r="H543"/>
      <c r="I543"/>
    </row>
    <row r="544" spans="2:9" ht="18" customHeight="1" x14ac:dyDescent="0.25">
      <c r="B544" s="45">
        <f>ROW(A539)</f>
        <v>539</v>
      </c>
      <c r="C544"/>
      <c r="D544"/>
      <c r="E544"/>
      <c r="F544"/>
      <c r="G544"/>
      <c r="H544"/>
      <c r="I544"/>
    </row>
    <row r="545" spans="2:9" ht="18" customHeight="1" x14ac:dyDescent="0.25">
      <c r="B545" s="45">
        <f>ROW(A540)</f>
        <v>540</v>
      </c>
      <c r="C545"/>
      <c r="D545"/>
      <c r="E545"/>
      <c r="F545"/>
      <c r="G545"/>
      <c r="H545"/>
      <c r="I545"/>
    </row>
    <row r="546" spans="2:9" ht="18" customHeight="1" x14ac:dyDescent="0.25">
      <c r="B546" s="45">
        <f>ROW(A541)</f>
        <v>541</v>
      </c>
      <c r="C546"/>
      <c r="D546"/>
      <c r="E546"/>
      <c r="F546"/>
      <c r="G546"/>
      <c r="H546"/>
      <c r="I546"/>
    </row>
    <row r="547" spans="2:9" ht="18" customHeight="1" x14ac:dyDescent="0.25">
      <c r="B547" s="45">
        <f>ROW(A542)</f>
        <v>542</v>
      </c>
      <c r="C547"/>
      <c r="D547"/>
      <c r="E547"/>
      <c r="F547"/>
      <c r="G547"/>
      <c r="H547"/>
      <c r="I547"/>
    </row>
    <row r="548" spans="2:9" ht="18" customHeight="1" x14ac:dyDescent="0.25">
      <c r="B548" s="45">
        <f>ROW(A543)</f>
        <v>543</v>
      </c>
      <c r="C548"/>
      <c r="D548"/>
      <c r="E548"/>
      <c r="F548"/>
      <c r="G548"/>
      <c r="H548"/>
      <c r="I548"/>
    </row>
    <row r="549" spans="2:9" ht="18" customHeight="1" x14ac:dyDescent="0.25">
      <c r="B549" s="45">
        <f>ROW(A544)</f>
        <v>544</v>
      </c>
      <c r="C549"/>
      <c r="D549"/>
      <c r="E549"/>
      <c r="F549"/>
      <c r="G549"/>
      <c r="H549"/>
      <c r="I549"/>
    </row>
    <row r="550" spans="2:9" ht="18" customHeight="1" x14ac:dyDescent="0.25">
      <c r="B550" s="45">
        <f>ROW(A545)</f>
        <v>545</v>
      </c>
      <c r="C550"/>
      <c r="D550"/>
      <c r="E550"/>
      <c r="F550"/>
      <c r="G550"/>
      <c r="H550"/>
      <c r="I550"/>
    </row>
    <row r="551" spans="2:9" ht="18" customHeight="1" x14ac:dyDescent="0.25">
      <c r="B551" s="45">
        <f>ROW(A546)</f>
        <v>546</v>
      </c>
      <c r="C551"/>
      <c r="D551"/>
      <c r="E551"/>
      <c r="F551"/>
      <c r="G551"/>
      <c r="H551"/>
      <c r="I551"/>
    </row>
    <row r="552" spans="2:9" ht="18" customHeight="1" x14ac:dyDescent="0.25">
      <c r="B552" s="45">
        <f>ROW(A547)</f>
        <v>547</v>
      </c>
      <c r="C552"/>
      <c r="D552"/>
      <c r="E552"/>
      <c r="F552"/>
      <c r="G552"/>
      <c r="H552"/>
      <c r="I552"/>
    </row>
    <row r="553" spans="2:9" ht="18" customHeight="1" x14ac:dyDescent="0.25">
      <c r="B553" s="45">
        <f>ROW(A548)</f>
        <v>548</v>
      </c>
      <c r="C553"/>
      <c r="D553"/>
      <c r="E553"/>
      <c r="F553"/>
      <c r="G553"/>
      <c r="H553"/>
      <c r="I553"/>
    </row>
    <row r="554" spans="2:9" ht="18" customHeight="1" x14ac:dyDescent="0.25">
      <c r="B554" s="45">
        <f>ROW(A549)</f>
        <v>549</v>
      </c>
      <c r="C554"/>
      <c r="D554"/>
      <c r="E554"/>
      <c r="F554"/>
      <c r="G554"/>
      <c r="H554"/>
      <c r="I554"/>
    </row>
    <row r="555" spans="2:9" ht="18" customHeight="1" x14ac:dyDescent="0.25">
      <c r="B555" s="45">
        <f>ROW(A550)</f>
        <v>550</v>
      </c>
      <c r="C555"/>
      <c r="D555"/>
      <c r="E555"/>
      <c r="F555"/>
      <c r="G555"/>
      <c r="H555"/>
      <c r="I555"/>
    </row>
    <row r="556" spans="2:9" ht="18" customHeight="1" x14ac:dyDescent="0.25">
      <c r="B556" s="45">
        <f>ROW(A551)</f>
        <v>551</v>
      </c>
      <c r="C556"/>
      <c r="D556"/>
      <c r="E556"/>
      <c r="F556"/>
      <c r="G556"/>
      <c r="H556"/>
      <c r="I556"/>
    </row>
    <row r="557" spans="2:9" ht="18" customHeight="1" x14ac:dyDescent="0.25">
      <c r="B557" s="45">
        <f>ROW(A552)</f>
        <v>552</v>
      </c>
      <c r="C557"/>
      <c r="D557"/>
      <c r="E557"/>
      <c r="F557"/>
      <c r="G557"/>
      <c r="H557"/>
      <c r="I557"/>
    </row>
    <row r="558" spans="2:9" ht="18" customHeight="1" x14ac:dyDescent="0.25">
      <c r="B558" s="45">
        <f>ROW(A553)</f>
        <v>553</v>
      </c>
      <c r="C558"/>
      <c r="D558"/>
      <c r="E558"/>
      <c r="F558"/>
      <c r="G558"/>
      <c r="H558"/>
      <c r="I558"/>
    </row>
    <row r="559" spans="2:9" ht="18" customHeight="1" x14ac:dyDescent="0.25">
      <c r="B559" s="45">
        <f>ROW(A554)</f>
        <v>554</v>
      </c>
      <c r="C559"/>
      <c r="D559"/>
      <c r="E559"/>
      <c r="F559"/>
      <c r="G559"/>
      <c r="H559"/>
      <c r="I559"/>
    </row>
    <row r="560" spans="2:9" ht="18" customHeight="1" x14ac:dyDescent="0.25">
      <c r="B560" s="45">
        <f>ROW(A555)</f>
        <v>555</v>
      </c>
      <c r="C560"/>
      <c r="D560"/>
      <c r="E560"/>
      <c r="F560"/>
      <c r="G560"/>
      <c r="H560"/>
      <c r="I560"/>
    </row>
    <row r="561" spans="2:9" ht="18" customHeight="1" x14ac:dyDescent="0.25">
      <c r="B561" s="45">
        <f>ROW(A556)</f>
        <v>556</v>
      </c>
      <c r="C561"/>
      <c r="D561"/>
      <c r="E561"/>
      <c r="F561"/>
      <c r="G561"/>
      <c r="H561"/>
      <c r="I561"/>
    </row>
    <row r="562" spans="2:9" ht="18" customHeight="1" x14ac:dyDescent="0.25">
      <c r="B562" s="45">
        <f>ROW(A557)</f>
        <v>557</v>
      </c>
      <c r="C562"/>
      <c r="D562"/>
      <c r="E562"/>
      <c r="F562"/>
      <c r="G562"/>
      <c r="H562"/>
      <c r="I562"/>
    </row>
    <row r="563" spans="2:9" ht="18" customHeight="1" x14ac:dyDescent="0.25">
      <c r="B563" s="45">
        <f>ROW(A558)</f>
        <v>558</v>
      </c>
      <c r="C563"/>
      <c r="D563"/>
      <c r="E563"/>
      <c r="F563"/>
      <c r="G563"/>
      <c r="H563"/>
      <c r="I563"/>
    </row>
    <row r="564" spans="2:9" ht="18" customHeight="1" x14ac:dyDescent="0.25">
      <c r="B564" s="45">
        <f>ROW(A559)</f>
        <v>559</v>
      </c>
      <c r="C564"/>
      <c r="D564"/>
      <c r="E564"/>
      <c r="F564"/>
      <c r="G564"/>
      <c r="H564"/>
      <c r="I564"/>
    </row>
    <row r="565" spans="2:9" ht="18" customHeight="1" x14ac:dyDescent="0.25">
      <c r="B565" s="45">
        <f>ROW(A560)</f>
        <v>560</v>
      </c>
      <c r="C565"/>
      <c r="D565"/>
      <c r="E565"/>
      <c r="F565"/>
      <c r="G565"/>
      <c r="H565"/>
      <c r="I565"/>
    </row>
    <row r="566" spans="2:9" ht="18" customHeight="1" x14ac:dyDescent="0.25">
      <c r="B566" s="45">
        <f>ROW(A561)</f>
        <v>561</v>
      </c>
      <c r="C566"/>
      <c r="D566"/>
      <c r="E566"/>
      <c r="F566"/>
      <c r="G566"/>
      <c r="H566"/>
      <c r="I566"/>
    </row>
    <row r="567" spans="2:9" ht="18" customHeight="1" x14ac:dyDescent="0.25">
      <c r="B567" s="45">
        <f>ROW(A562)</f>
        <v>562</v>
      </c>
      <c r="C567"/>
      <c r="D567"/>
      <c r="E567"/>
      <c r="F567"/>
      <c r="G567"/>
      <c r="H567"/>
      <c r="I567"/>
    </row>
    <row r="568" spans="2:9" ht="18" customHeight="1" x14ac:dyDescent="0.25">
      <c r="B568" s="45">
        <f>ROW(A563)</f>
        <v>563</v>
      </c>
      <c r="C568"/>
      <c r="D568"/>
      <c r="E568"/>
      <c r="F568"/>
      <c r="G568"/>
      <c r="H568"/>
      <c r="I568"/>
    </row>
    <row r="569" spans="2:9" ht="18" customHeight="1" x14ac:dyDescent="0.25">
      <c r="B569" s="45">
        <f>ROW(A564)</f>
        <v>564</v>
      </c>
      <c r="C569"/>
      <c r="D569"/>
      <c r="E569"/>
      <c r="F569"/>
      <c r="G569"/>
      <c r="H569"/>
      <c r="I569"/>
    </row>
    <row r="570" spans="2:9" ht="18" customHeight="1" x14ac:dyDescent="0.25">
      <c r="B570" s="45">
        <f>ROW(A565)</f>
        <v>565</v>
      </c>
      <c r="C570"/>
      <c r="D570"/>
      <c r="E570"/>
      <c r="F570"/>
      <c r="G570"/>
      <c r="H570"/>
      <c r="I570"/>
    </row>
    <row r="571" spans="2:9" ht="18" customHeight="1" x14ac:dyDescent="0.25">
      <c r="B571" s="45">
        <f>ROW(A566)</f>
        <v>566</v>
      </c>
      <c r="C571"/>
      <c r="D571"/>
      <c r="E571"/>
      <c r="F571"/>
      <c r="G571"/>
      <c r="H571"/>
      <c r="I571"/>
    </row>
    <row r="572" spans="2:9" ht="18" customHeight="1" x14ac:dyDescent="0.25">
      <c r="B572" s="45">
        <f>ROW(A567)</f>
        <v>567</v>
      </c>
      <c r="C572"/>
      <c r="D572"/>
      <c r="E572"/>
      <c r="F572"/>
      <c r="G572"/>
      <c r="H572"/>
      <c r="I572"/>
    </row>
    <row r="573" spans="2:9" ht="18" customHeight="1" x14ac:dyDescent="0.25">
      <c r="B573" s="45">
        <f>ROW(A568)</f>
        <v>568</v>
      </c>
      <c r="C573"/>
      <c r="D573"/>
      <c r="E573"/>
      <c r="F573"/>
      <c r="G573"/>
      <c r="H573"/>
      <c r="I573"/>
    </row>
    <row r="574" spans="2:9" ht="18" customHeight="1" x14ac:dyDescent="0.25">
      <c r="B574" s="45">
        <f>ROW(A569)</f>
        <v>569</v>
      </c>
      <c r="C574"/>
      <c r="D574"/>
      <c r="E574"/>
      <c r="F574"/>
      <c r="G574"/>
      <c r="H574"/>
      <c r="I574"/>
    </row>
    <row r="575" spans="2:9" ht="18" customHeight="1" x14ac:dyDescent="0.25">
      <c r="B575" s="45">
        <f>ROW(A570)</f>
        <v>570</v>
      </c>
      <c r="C575"/>
      <c r="D575"/>
      <c r="E575"/>
      <c r="F575"/>
      <c r="G575"/>
      <c r="H575"/>
      <c r="I575"/>
    </row>
    <row r="576" spans="2:9" ht="18" customHeight="1" x14ac:dyDescent="0.25">
      <c r="B576" s="45">
        <f>ROW(A571)</f>
        <v>571</v>
      </c>
      <c r="C576"/>
      <c r="D576"/>
      <c r="E576"/>
      <c r="F576"/>
      <c r="G576"/>
      <c r="H576"/>
      <c r="I576"/>
    </row>
    <row r="577" spans="2:9" ht="18" customHeight="1" x14ac:dyDescent="0.25">
      <c r="B577" s="45">
        <f>ROW(A572)</f>
        <v>572</v>
      </c>
      <c r="C577"/>
      <c r="D577"/>
      <c r="E577"/>
      <c r="F577"/>
      <c r="G577"/>
      <c r="H577"/>
      <c r="I577"/>
    </row>
    <row r="578" spans="2:9" ht="18" customHeight="1" x14ac:dyDescent="0.25">
      <c r="B578" s="45">
        <f>ROW(A573)</f>
        <v>573</v>
      </c>
      <c r="C578"/>
      <c r="D578"/>
      <c r="E578"/>
      <c r="F578"/>
      <c r="G578"/>
      <c r="H578"/>
      <c r="I578"/>
    </row>
    <row r="579" spans="2:9" ht="18" customHeight="1" x14ac:dyDescent="0.25">
      <c r="B579" s="45">
        <f>ROW(A574)</f>
        <v>574</v>
      </c>
      <c r="C579"/>
      <c r="D579"/>
      <c r="E579"/>
      <c r="F579"/>
      <c r="G579"/>
      <c r="H579"/>
      <c r="I579"/>
    </row>
    <row r="580" spans="2:9" ht="18" customHeight="1" x14ac:dyDescent="0.25">
      <c r="B580" s="45">
        <f>ROW(A575)</f>
        <v>575</v>
      </c>
      <c r="C580"/>
      <c r="D580"/>
      <c r="E580"/>
      <c r="F580"/>
      <c r="G580"/>
      <c r="H580"/>
      <c r="I580"/>
    </row>
    <row r="581" spans="2:9" ht="18" customHeight="1" x14ac:dyDescent="0.25">
      <c r="B581" s="45">
        <f>ROW(A576)</f>
        <v>576</v>
      </c>
      <c r="C581"/>
      <c r="D581"/>
      <c r="E581"/>
      <c r="F581"/>
      <c r="G581"/>
      <c r="H581"/>
      <c r="I581"/>
    </row>
    <row r="582" spans="2:9" ht="18" customHeight="1" x14ac:dyDescent="0.25">
      <c r="B582" s="45">
        <f>ROW(A577)</f>
        <v>577</v>
      </c>
      <c r="C582"/>
      <c r="D582"/>
      <c r="E582"/>
      <c r="F582"/>
      <c r="G582"/>
      <c r="H582"/>
      <c r="I582"/>
    </row>
    <row r="583" spans="2:9" ht="18" customHeight="1" x14ac:dyDescent="0.25">
      <c r="B583" s="45">
        <f>ROW(A578)</f>
        <v>578</v>
      </c>
      <c r="C583"/>
      <c r="D583"/>
      <c r="E583"/>
      <c r="F583"/>
      <c r="G583"/>
      <c r="H583"/>
      <c r="I583"/>
    </row>
    <row r="584" spans="2:9" ht="18" customHeight="1" x14ac:dyDescent="0.25">
      <c r="B584" s="45">
        <f>ROW(A579)</f>
        <v>579</v>
      </c>
      <c r="C584"/>
      <c r="D584"/>
      <c r="E584"/>
      <c r="F584"/>
      <c r="G584"/>
      <c r="H584"/>
      <c r="I584"/>
    </row>
    <row r="585" spans="2:9" ht="18" customHeight="1" x14ac:dyDescent="0.25">
      <c r="B585" s="45">
        <f>ROW(A580)</f>
        <v>580</v>
      </c>
      <c r="C585"/>
      <c r="D585"/>
      <c r="E585"/>
      <c r="F585"/>
      <c r="G585"/>
      <c r="H585"/>
      <c r="I585"/>
    </row>
    <row r="586" spans="2:9" ht="18" customHeight="1" x14ac:dyDescent="0.25">
      <c r="B586" s="45">
        <f>ROW(A581)</f>
        <v>581</v>
      </c>
      <c r="C586"/>
      <c r="D586"/>
      <c r="E586"/>
      <c r="F586"/>
      <c r="G586"/>
      <c r="H586"/>
      <c r="I586"/>
    </row>
    <row r="587" spans="2:9" ht="18" customHeight="1" x14ac:dyDescent="0.25">
      <c r="B587" s="45">
        <f>ROW(A582)</f>
        <v>582</v>
      </c>
      <c r="C587"/>
      <c r="D587"/>
      <c r="E587"/>
      <c r="F587"/>
      <c r="G587"/>
      <c r="H587"/>
      <c r="I587"/>
    </row>
    <row r="588" spans="2:9" ht="18" customHeight="1" x14ac:dyDescent="0.25">
      <c r="B588" s="45">
        <f>ROW(A583)</f>
        <v>583</v>
      </c>
      <c r="C588"/>
      <c r="D588"/>
      <c r="E588"/>
      <c r="F588"/>
      <c r="G588"/>
      <c r="H588"/>
      <c r="I588"/>
    </row>
    <row r="589" spans="2:9" ht="18" customHeight="1" x14ac:dyDescent="0.25">
      <c r="B589" s="45">
        <f>ROW(A584)</f>
        <v>584</v>
      </c>
      <c r="C589"/>
      <c r="D589"/>
      <c r="E589"/>
      <c r="F589"/>
      <c r="G589"/>
      <c r="H589"/>
      <c r="I589"/>
    </row>
    <row r="590" spans="2:9" ht="18" customHeight="1" x14ac:dyDescent="0.25">
      <c r="B590" s="45">
        <f>ROW(A585)</f>
        <v>585</v>
      </c>
      <c r="C590"/>
      <c r="D590"/>
      <c r="E590"/>
      <c r="F590"/>
      <c r="G590"/>
      <c r="H590"/>
      <c r="I590"/>
    </row>
    <row r="591" spans="2:9" ht="18" customHeight="1" x14ac:dyDescent="0.25">
      <c r="B591" s="45">
        <f>ROW(A586)</f>
        <v>586</v>
      </c>
      <c r="C591"/>
      <c r="D591"/>
      <c r="E591"/>
      <c r="F591"/>
      <c r="G591"/>
      <c r="H591"/>
      <c r="I591"/>
    </row>
    <row r="592" spans="2:9" ht="18" customHeight="1" x14ac:dyDescent="0.25">
      <c r="B592" s="45">
        <f>ROW(A587)</f>
        <v>587</v>
      </c>
      <c r="C592"/>
      <c r="D592"/>
      <c r="E592"/>
      <c r="F592"/>
      <c r="G592"/>
      <c r="H592"/>
      <c r="I592"/>
    </row>
    <row r="593" spans="2:9" ht="18" customHeight="1" x14ac:dyDescent="0.25">
      <c r="B593" s="45">
        <f>ROW(A588)</f>
        <v>588</v>
      </c>
      <c r="C593"/>
      <c r="D593"/>
      <c r="E593"/>
      <c r="F593"/>
      <c r="G593"/>
      <c r="H593"/>
      <c r="I593"/>
    </row>
    <row r="594" spans="2:9" ht="18" customHeight="1" x14ac:dyDescent="0.25">
      <c r="B594" s="45">
        <f>ROW(A589)</f>
        <v>589</v>
      </c>
      <c r="C594"/>
      <c r="D594"/>
      <c r="E594"/>
      <c r="F594"/>
      <c r="G594"/>
      <c r="H594"/>
      <c r="I594"/>
    </row>
    <row r="595" spans="2:9" ht="18" customHeight="1" x14ac:dyDescent="0.25">
      <c r="B595" s="45">
        <f>ROW(A590)</f>
        <v>590</v>
      </c>
      <c r="C595"/>
      <c r="D595"/>
      <c r="E595"/>
      <c r="F595"/>
      <c r="G595"/>
      <c r="H595"/>
      <c r="I595"/>
    </row>
    <row r="596" spans="2:9" ht="18" customHeight="1" x14ac:dyDescent="0.25">
      <c r="B596" s="45">
        <f>ROW(A591)</f>
        <v>591</v>
      </c>
      <c r="C596"/>
      <c r="D596"/>
      <c r="E596"/>
      <c r="F596"/>
      <c r="G596"/>
      <c r="H596"/>
      <c r="I596"/>
    </row>
    <row r="597" spans="2:9" ht="18" customHeight="1" x14ac:dyDescent="0.25">
      <c r="B597" s="45">
        <f>ROW(A592)</f>
        <v>592</v>
      </c>
      <c r="C597"/>
      <c r="D597"/>
      <c r="E597"/>
      <c r="F597"/>
      <c r="G597"/>
      <c r="H597"/>
      <c r="I597"/>
    </row>
    <row r="598" spans="2:9" ht="18" customHeight="1" x14ac:dyDescent="0.25">
      <c r="B598" s="45">
        <f>ROW(A593)</f>
        <v>593</v>
      </c>
      <c r="C598"/>
      <c r="D598"/>
      <c r="E598"/>
      <c r="F598"/>
      <c r="G598"/>
      <c r="H598"/>
      <c r="I598"/>
    </row>
    <row r="599" spans="2:9" ht="18" customHeight="1" x14ac:dyDescent="0.25">
      <c r="B599" s="45">
        <f>ROW(A594)</f>
        <v>594</v>
      </c>
      <c r="C599"/>
      <c r="D599"/>
      <c r="E599"/>
      <c r="F599"/>
      <c r="G599"/>
      <c r="H599"/>
      <c r="I599"/>
    </row>
    <row r="600" spans="2:9" ht="18" customHeight="1" x14ac:dyDescent="0.25">
      <c r="B600" s="45">
        <f>ROW(A595)</f>
        <v>595</v>
      </c>
      <c r="C600"/>
      <c r="D600"/>
      <c r="E600"/>
      <c r="F600"/>
      <c r="G600"/>
      <c r="H600"/>
      <c r="I600"/>
    </row>
    <row r="601" spans="2:9" ht="18" customHeight="1" x14ac:dyDescent="0.25">
      <c r="B601" s="45">
        <f>ROW(A596)</f>
        <v>596</v>
      </c>
      <c r="C601"/>
      <c r="D601"/>
      <c r="E601"/>
      <c r="F601"/>
      <c r="G601"/>
      <c r="H601"/>
      <c r="I601"/>
    </row>
    <row r="602" spans="2:9" ht="18" customHeight="1" x14ac:dyDescent="0.25">
      <c r="B602" s="45">
        <f>ROW(A597)</f>
        <v>597</v>
      </c>
      <c r="C602"/>
      <c r="D602"/>
      <c r="E602"/>
      <c r="F602"/>
      <c r="G602"/>
      <c r="H602"/>
      <c r="I602"/>
    </row>
    <row r="603" spans="2:9" ht="18" customHeight="1" x14ac:dyDescent="0.25">
      <c r="B603" s="45">
        <f>ROW(A598)</f>
        <v>598</v>
      </c>
      <c r="C603"/>
      <c r="D603"/>
      <c r="E603"/>
      <c r="F603"/>
      <c r="G603"/>
      <c r="H603"/>
      <c r="I603"/>
    </row>
    <row r="604" spans="2:9" ht="18" customHeight="1" x14ac:dyDescent="0.25">
      <c r="B604" s="45">
        <f>ROW(A599)</f>
        <v>599</v>
      </c>
      <c r="C604"/>
      <c r="D604"/>
      <c r="E604"/>
      <c r="F604"/>
      <c r="G604"/>
      <c r="H604"/>
      <c r="I604"/>
    </row>
    <row r="605" spans="2:9" ht="18" customHeight="1" x14ac:dyDescent="0.25">
      <c r="B605" s="45">
        <f>ROW(A600)</f>
        <v>600</v>
      </c>
      <c r="C605"/>
      <c r="D605"/>
      <c r="E605"/>
      <c r="F605"/>
      <c r="G605"/>
      <c r="H605"/>
      <c r="I605"/>
    </row>
    <row r="606" spans="2:9" ht="18" customHeight="1" x14ac:dyDescent="0.25">
      <c r="B606" s="45">
        <f>ROW(A601)</f>
        <v>601</v>
      </c>
      <c r="C606"/>
      <c r="D606"/>
      <c r="E606"/>
      <c r="F606"/>
      <c r="G606"/>
      <c r="H606"/>
      <c r="I606"/>
    </row>
    <row r="607" spans="2:9" ht="18" customHeight="1" x14ac:dyDescent="0.25">
      <c r="B607" s="45">
        <f>ROW(A602)</f>
        <v>602</v>
      </c>
      <c r="C607"/>
      <c r="D607"/>
      <c r="E607"/>
      <c r="F607"/>
      <c r="G607"/>
      <c r="H607"/>
      <c r="I607"/>
    </row>
    <row r="608" spans="2:9" ht="18" customHeight="1" x14ac:dyDescent="0.25">
      <c r="B608" s="45">
        <f>ROW(A603)</f>
        <v>603</v>
      </c>
      <c r="C608"/>
      <c r="D608"/>
      <c r="E608"/>
      <c r="F608"/>
      <c r="G608"/>
      <c r="H608"/>
      <c r="I608"/>
    </row>
    <row r="609" spans="2:9" ht="18" customHeight="1" x14ac:dyDescent="0.25">
      <c r="B609" s="45">
        <f>ROW(A604)</f>
        <v>604</v>
      </c>
      <c r="C609"/>
      <c r="D609"/>
      <c r="E609"/>
      <c r="F609"/>
      <c r="G609"/>
      <c r="H609"/>
      <c r="I609"/>
    </row>
    <row r="610" spans="2:9" ht="18" customHeight="1" x14ac:dyDescent="0.25">
      <c r="B610" s="45">
        <f>ROW(A605)</f>
        <v>605</v>
      </c>
      <c r="C610"/>
      <c r="D610"/>
      <c r="E610"/>
      <c r="F610"/>
      <c r="G610"/>
      <c r="H610"/>
      <c r="I610"/>
    </row>
    <row r="611" spans="2:9" ht="18" customHeight="1" x14ac:dyDescent="0.25">
      <c r="B611" s="45">
        <f>ROW(A606)</f>
        <v>606</v>
      </c>
      <c r="C611"/>
      <c r="D611"/>
      <c r="E611"/>
      <c r="F611"/>
      <c r="G611"/>
      <c r="H611"/>
      <c r="I611"/>
    </row>
    <row r="612" spans="2:9" ht="18" customHeight="1" x14ac:dyDescent="0.25">
      <c r="B612" s="45">
        <f>ROW(A607)</f>
        <v>607</v>
      </c>
      <c r="C612"/>
      <c r="D612"/>
      <c r="E612"/>
      <c r="F612"/>
      <c r="G612"/>
      <c r="H612"/>
      <c r="I612"/>
    </row>
    <row r="613" spans="2:9" ht="18" customHeight="1" x14ac:dyDescent="0.25">
      <c r="B613" s="45">
        <f>ROW(A608)</f>
        <v>608</v>
      </c>
      <c r="C613"/>
      <c r="D613"/>
      <c r="E613"/>
      <c r="F613"/>
      <c r="G613"/>
      <c r="H613"/>
      <c r="I613"/>
    </row>
    <row r="614" spans="2:9" ht="18" customHeight="1" x14ac:dyDescent="0.25">
      <c r="B614" s="45">
        <f>ROW(A609)</f>
        <v>609</v>
      </c>
      <c r="C614"/>
      <c r="D614"/>
      <c r="E614"/>
      <c r="F614"/>
      <c r="G614"/>
      <c r="H614"/>
      <c r="I614"/>
    </row>
    <row r="615" spans="2:9" ht="18" customHeight="1" x14ac:dyDescent="0.25">
      <c r="B615" s="45">
        <f>ROW(A610)</f>
        <v>610</v>
      </c>
      <c r="C615"/>
      <c r="D615"/>
      <c r="E615"/>
      <c r="F615"/>
      <c r="G615"/>
      <c r="H615"/>
      <c r="I615"/>
    </row>
    <row r="616" spans="2:9" ht="18" customHeight="1" x14ac:dyDescent="0.25">
      <c r="B616" s="45">
        <f>ROW(A611)</f>
        <v>611</v>
      </c>
      <c r="C616"/>
      <c r="D616"/>
      <c r="E616"/>
      <c r="F616"/>
      <c r="G616"/>
      <c r="H616"/>
      <c r="I616"/>
    </row>
    <row r="617" spans="2:9" ht="18" customHeight="1" x14ac:dyDescent="0.25">
      <c r="B617" s="45">
        <f>ROW(A612)</f>
        <v>612</v>
      </c>
      <c r="C617"/>
      <c r="D617"/>
      <c r="E617"/>
      <c r="F617"/>
      <c r="G617"/>
      <c r="H617"/>
      <c r="I617"/>
    </row>
    <row r="618" spans="2:9" ht="18" customHeight="1" x14ac:dyDescent="0.25">
      <c r="B618" s="45">
        <f>ROW(A613)</f>
        <v>613</v>
      </c>
      <c r="C618"/>
      <c r="D618"/>
      <c r="E618"/>
      <c r="F618"/>
      <c r="G618"/>
      <c r="H618"/>
      <c r="I618"/>
    </row>
    <row r="619" spans="2:9" ht="18" customHeight="1" x14ac:dyDescent="0.25">
      <c r="B619" s="45">
        <f>ROW(A614)</f>
        <v>614</v>
      </c>
      <c r="C619"/>
      <c r="D619"/>
      <c r="E619"/>
      <c r="F619"/>
      <c r="G619"/>
      <c r="H619"/>
      <c r="I619"/>
    </row>
    <row r="620" spans="2:9" ht="18" customHeight="1" x14ac:dyDescent="0.25">
      <c r="B620" s="45">
        <f>ROW(A615)</f>
        <v>615</v>
      </c>
      <c r="C620"/>
      <c r="D620"/>
      <c r="E620"/>
      <c r="F620"/>
      <c r="G620"/>
      <c r="H620"/>
      <c r="I620"/>
    </row>
    <row r="621" spans="2:9" ht="18" customHeight="1" x14ac:dyDescent="0.25">
      <c r="B621" s="45">
        <f>ROW(A616)</f>
        <v>616</v>
      </c>
      <c r="C621"/>
      <c r="D621"/>
      <c r="E621"/>
      <c r="F621"/>
      <c r="G621"/>
      <c r="H621"/>
      <c r="I621"/>
    </row>
    <row r="622" spans="2:9" ht="18" customHeight="1" x14ac:dyDescent="0.25">
      <c r="B622" s="45">
        <f>ROW(A617)</f>
        <v>617</v>
      </c>
      <c r="C622"/>
      <c r="D622"/>
      <c r="E622"/>
      <c r="F622"/>
      <c r="G622"/>
      <c r="H622"/>
      <c r="I622"/>
    </row>
    <row r="623" spans="2:9" ht="18" customHeight="1" x14ac:dyDescent="0.25">
      <c r="B623" s="45">
        <f>ROW(A618)</f>
        <v>618</v>
      </c>
      <c r="C623"/>
      <c r="D623"/>
      <c r="E623"/>
      <c r="F623"/>
      <c r="G623"/>
      <c r="H623"/>
      <c r="I623"/>
    </row>
    <row r="624" spans="2:9" ht="18" customHeight="1" x14ac:dyDescent="0.25">
      <c r="B624" s="45">
        <f>ROW(A619)</f>
        <v>619</v>
      </c>
      <c r="C624"/>
      <c r="D624"/>
      <c r="E624"/>
      <c r="F624"/>
      <c r="G624"/>
      <c r="H624"/>
      <c r="I624"/>
    </row>
    <row r="625" spans="2:9" ht="18" customHeight="1" x14ac:dyDescent="0.25">
      <c r="B625" s="45">
        <f>ROW(A620)</f>
        <v>620</v>
      </c>
      <c r="C625"/>
      <c r="D625"/>
      <c r="E625"/>
      <c r="F625"/>
      <c r="G625"/>
      <c r="H625"/>
      <c r="I625"/>
    </row>
    <row r="626" spans="2:9" ht="18" customHeight="1" x14ac:dyDescent="0.25">
      <c r="B626" s="45">
        <f>ROW(A621)</f>
        <v>621</v>
      </c>
      <c r="C626"/>
      <c r="D626"/>
      <c r="E626"/>
      <c r="F626"/>
      <c r="G626"/>
      <c r="H626"/>
      <c r="I626"/>
    </row>
    <row r="627" spans="2:9" ht="18" customHeight="1" x14ac:dyDescent="0.25">
      <c r="B627" s="45">
        <f>ROW(A622)</f>
        <v>622</v>
      </c>
      <c r="C627"/>
      <c r="D627"/>
      <c r="E627"/>
      <c r="F627"/>
      <c r="G627"/>
      <c r="H627"/>
      <c r="I627"/>
    </row>
    <row r="628" spans="2:9" ht="18" customHeight="1" x14ac:dyDescent="0.25">
      <c r="B628" s="45">
        <f>ROW(A623)</f>
        <v>623</v>
      </c>
      <c r="C628"/>
      <c r="D628"/>
      <c r="E628"/>
      <c r="F628"/>
      <c r="G628"/>
      <c r="H628"/>
      <c r="I628"/>
    </row>
    <row r="629" spans="2:9" ht="18" customHeight="1" x14ac:dyDescent="0.25">
      <c r="B629" s="45">
        <f>ROW(A624)</f>
        <v>624</v>
      </c>
      <c r="C629"/>
      <c r="D629"/>
      <c r="E629"/>
      <c r="F629"/>
      <c r="G629"/>
      <c r="H629"/>
      <c r="I629"/>
    </row>
    <row r="630" spans="2:9" ht="18" customHeight="1" x14ac:dyDescent="0.25">
      <c r="B630" s="45">
        <f>ROW(A625)</f>
        <v>625</v>
      </c>
      <c r="C630"/>
      <c r="D630"/>
      <c r="E630"/>
      <c r="F630"/>
      <c r="G630"/>
      <c r="H630"/>
      <c r="I630"/>
    </row>
    <row r="631" spans="2:9" ht="18" customHeight="1" x14ac:dyDescent="0.25">
      <c r="B631" s="45">
        <f>ROW(A626)</f>
        <v>626</v>
      </c>
      <c r="C631"/>
      <c r="D631"/>
      <c r="E631"/>
      <c r="F631"/>
      <c r="G631"/>
      <c r="H631"/>
      <c r="I631"/>
    </row>
    <row r="632" spans="2:9" ht="18" customHeight="1" x14ac:dyDescent="0.25">
      <c r="B632" s="45">
        <f>ROW(A627)</f>
        <v>627</v>
      </c>
      <c r="C632"/>
      <c r="D632"/>
      <c r="E632"/>
      <c r="F632"/>
      <c r="G632"/>
      <c r="H632"/>
      <c r="I632"/>
    </row>
    <row r="633" spans="2:9" ht="18" customHeight="1" x14ac:dyDescent="0.25">
      <c r="B633" s="45">
        <f>ROW(A628)</f>
        <v>628</v>
      </c>
      <c r="C633"/>
      <c r="D633"/>
      <c r="E633"/>
      <c r="F633"/>
      <c r="G633"/>
      <c r="H633"/>
      <c r="I633"/>
    </row>
    <row r="634" spans="2:9" ht="18" customHeight="1" x14ac:dyDescent="0.25">
      <c r="B634" s="45">
        <f>ROW(A629)</f>
        <v>629</v>
      </c>
      <c r="C634"/>
      <c r="D634"/>
      <c r="E634"/>
      <c r="F634"/>
      <c r="G634"/>
      <c r="H634"/>
      <c r="I634"/>
    </row>
    <row r="635" spans="2:9" ht="18" customHeight="1" x14ac:dyDescent="0.25">
      <c r="B635" s="45">
        <f>ROW(A630)</f>
        <v>630</v>
      </c>
      <c r="C635"/>
      <c r="D635"/>
      <c r="E635"/>
      <c r="F635"/>
      <c r="G635"/>
      <c r="H635"/>
      <c r="I635"/>
    </row>
    <row r="636" spans="2:9" ht="18" customHeight="1" x14ac:dyDescent="0.25">
      <c r="B636" s="45">
        <f>ROW(A631)</f>
        <v>631</v>
      </c>
      <c r="C636"/>
      <c r="D636"/>
      <c r="E636"/>
      <c r="F636"/>
      <c r="G636"/>
      <c r="H636"/>
      <c r="I636"/>
    </row>
    <row r="637" spans="2:9" ht="18" customHeight="1" x14ac:dyDescent="0.25">
      <c r="B637" s="45">
        <f>ROW(A632)</f>
        <v>632</v>
      </c>
      <c r="C637"/>
      <c r="D637"/>
      <c r="E637"/>
      <c r="F637"/>
      <c r="G637"/>
      <c r="H637"/>
      <c r="I637"/>
    </row>
    <row r="638" spans="2:9" ht="18" customHeight="1" x14ac:dyDescent="0.25">
      <c r="B638" s="45">
        <f>ROW(A633)</f>
        <v>633</v>
      </c>
      <c r="C638"/>
      <c r="D638"/>
      <c r="E638"/>
      <c r="F638"/>
      <c r="G638"/>
      <c r="H638"/>
      <c r="I638"/>
    </row>
    <row r="639" spans="2:9" ht="18" customHeight="1" x14ac:dyDescent="0.25">
      <c r="B639" s="45">
        <f>ROW(A634)</f>
        <v>634</v>
      </c>
      <c r="C639"/>
      <c r="D639"/>
      <c r="E639"/>
      <c r="F639"/>
      <c r="G639"/>
      <c r="H639"/>
      <c r="I639"/>
    </row>
    <row r="640" spans="2:9" ht="18" customHeight="1" x14ac:dyDescent="0.25">
      <c r="B640" s="45">
        <f>ROW(A635)</f>
        <v>635</v>
      </c>
      <c r="C640"/>
      <c r="D640"/>
      <c r="E640"/>
      <c r="F640"/>
      <c r="G640"/>
      <c r="H640"/>
      <c r="I640"/>
    </row>
    <row r="641" spans="2:9" ht="18" customHeight="1" x14ac:dyDescent="0.25">
      <c r="B641" s="45">
        <f>ROW(A636)</f>
        <v>636</v>
      </c>
      <c r="C641"/>
      <c r="D641"/>
      <c r="E641"/>
      <c r="F641"/>
      <c r="G641"/>
      <c r="H641"/>
      <c r="I641"/>
    </row>
    <row r="642" spans="2:9" ht="18" customHeight="1" x14ac:dyDescent="0.25">
      <c r="B642" s="45">
        <f>ROW(A637)</f>
        <v>637</v>
      </c>
      <c r="C642"/>
      <c r="D642"/>
      <c r="E642"/>
      <c r="F642"/>
      <c r="G642"/>
      <c r="H642"/>
      <c r="I642"/>
    </row>
    <row r="643" spans="2:9" ht="18" customHeight="1" x14ac:dyDescent="0.25">
      <c r="B643" s="45">
        <f>ROW(A638)</f>
        <v>638</v>
      </c>
      <c r="C643"/>
      <c r="D643"/>
      <c r="E643"/>
      <c r="F643"/>
      <c r="G643"/>
      <c r="H643"/>
      <c r="I643"/>
    </row>
    <row r="644" spans="2:9" ht="18" customHeight="1" x14ac:dyDescent="0.25">
      <c r="B644" s="45">
        <f>ROW(A639)</f>
        <v>639</v>
      </c>
      <c r="C644"/>
      <c r="D644"/>
      <c r="E644"/>
      <c r="F644"/>
      <c r="G644"/>
      <c r="H644"/>
      <c r="I644"/>
    </row>
    <row r="645" spans="2:9" ht="18" customHeight="1" x14ac:dyDescent="0.25">
      <c r="B645" s="45">
        <f>ROW(A640)</f>
        <v>640</v>
      </c>
      <c r="C645"/>
      <c r="D645"/>
      <c r="E645"/>
      <c r="F645"/>
      <c r="G645"/>
      <c r="H645"/>
      <c r="I645"/>
    </row>
    <row r="646" spans="2:9" ht="18" customHeight="1" x14ac:dyDescent="0.25">
      <c r="B646" s="45">
        <f>ROW(A641)</f>
        <v>641</v>
      </c>
      <c r="C646"/>
      <c r="D646"/>
      <c r="E646"/>
      <c r="F646"/>
      <c r="G646"/>
      <c r="H646"/>
      <c r="I646"/>
    </row>
    <row r="647" spans="2:9" ht="18" customHeight="1" x14ac:dyDescent="0.25">
      <c r="B647" s="45">
        <f>ROW(A642)</f>
        <v>642</v>
      </c>
      <c r="C647"/>
      <c r="D647"/>
      <c r="E647"/>
      <c r="F647"/>
      <c r="G647"/>
      <c r="H647"/>
      <c r="I647"/>
    </row>
    <row r="648" spans="2:9" ht="18" customHeight="1" x14ac:dyDescent="0.25">
      <c r="B648" s="45">
        <f>ROW(A643)</f>
        <v>643</v>
      </c>
      <c r="C648"/>
      <c r="D648"/>
      <c r="E648"/>
      <c r="F648"/>
      <c r="G648"/>
      <c r="H648"/>
      <c r="I648"/>
    </row>
    <row r="649" spans="2:9" ht="18" customHeight="1" x14ac:dyDescent="0.25">
      <c r="B649" s="45">
        <f>ROW(A644)</f>
        <v>644</v>
      </c>
      <c r="C649"/>
      <c r="D649"/>
      <c r="E649"/>
      <c r="F649"/>
      <c r="G649"/>
      <c r="H649"/>
      <c r="I649"/>
    </row>
    <row r="650" spans="2:9" ht="18" customHeight="1" x14ac:dyDescent="0.25">
      <c r="B650" s="45">
        <f>ROW(A645)</f>
        <v>645</v>
      </c>
      <c r="C650"/>
      <c r="D650"/>
      <c r="E650"/>
      <c r="F650"/>
      <c r="G650"/>
      <c r="H650"/>
      <c r="I650"/>
    </row>
    <row r="651" spans="2:9" ht="18" customHeight="1" x14ac:dyDescent="0.25">
      <c r="B651" s="45">
        <f>ROW(A646)</f>
        <v>646</v>
      </c>
      <c r="C651"/>
      <c r="D651"/>
      <c r="E651"/>
      <c r="F651"/>
      <c r="G651"/>
      <c r="H651"/>
      <c r="I651"/>
    </row>
    <row r="652" spans="2:9" ht="18" customHeight="1" x14ac:dyDescent="0.25">
      <c r="B652" s="45">
        <f>ROW(A647)</f>
        <v>647</v>
      </c>
      <c r="C652"/>
      <c r="D652"/>
      <c r="E652"/>
      <c r="F652"/>
      <c r="G652"/>
      <c r="H652"/>
      <c r="I652"/>
    </row>
    <row r="653" spans="2:9" ht="18" customHeight="1" x14ac:dyDescent="0.25">
      <c r="B653" s="45">
        <f>ROW(A648)</f>
        <v>648</v>
      </c>
      <c r="C653"/>
      <c r="D653"/>
      <c r="E653"/>
      <c r="F653"/>
      <c r="G653"/>
      <c r="H653"/>
      <c r="I653"/>
    </row>
  </sheetData>
  <mergeCells count="1">
    <mergeCell ref="B2:F4"/>
  </mergeCells>
  <phoneticPr fontId="1" type="noConversion"/>
  <conditionalFormatting sqref="A6:C306 A1:XFD1 A3:XFD5 A2:J2 L2:XFD2 J6:XFD306">
    <cfRule type="containsBlanks" dxfId="44" priority="5">
      <formula>LEN(TRIM(A1))=0</formula>
    </cfRule>
  </conditionalFormatting>
  <conditionalFormatting sqref="B1:B1048576">
    <cfRule type="notContainsBlanks" dxfId="43" priority="1">
      <formula>LEN(TRIM(B1))&gt;0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6"/>
  <dimension ref="A1:H101"/>
  <sheetViews>
    <sheetView zoomScale="85" zoomScaleNormal="85" workbookViewId="0">
      <pane ySplit="5" topLeftCell="A6" activePane="bottomLeft" state="frozen"/>
      <selection pane="bottomLeft"/>
    </sheetView>
  </sheetViews>
  <sheetFormatPr defaultColWidth="9" defaultRowHeight="18" customHeight="1" x14ac:dyDescent="0.25"/>
  <cols>
    <col min="1" max="1" width="3.6640625" style="45" customWidth="1"/>
    <col min="2" max="2" width="5.21875" style="45" bestFit="1" customWidth="1"/>
    <col min="3" max="3" width="11.21875" style="66" bestFit="1" customWidth="1"/>
    <col min="4" max="4" width="6" style="32" bestFit="1" customWidth="1"/>
    <col min="5" max="5" width="6" style="33" bestFit="1" customWidth="1"/>
    <col min="6" max="6" width="10.21875" style="33" bestFit="1" customWidth="1"/>
    <col min="7" max="8" width="10.21875" style="15" bestFit="1" customWidth="1"/>
    <col min="9" max="16384" width="9" style="15"/>
  </cols>
  <sheetData>
    <row r="1" spans="1:8" ht="18" customHeight="1" x14ac:dyDescent="0.25">
      <c r="A1" s="59"/>
      <c r="B1" s="64"/>
      <c r="C1" s="65"/>
      <c r="D1" s="60"/>
      <c r="E1" s="61"/>
      <c r="F1" s="61"/>
      <c r="G1" s="62"/>
    </row>
    <row r="2" spans="1:8" ht="18" customHeight="1" x14ac:dyDescent="0.25">
      <c r="A2" s="63"/>
      <c r="B2" s="351" t="s">
        <v>202</v>
      </c>
      <c r="C2" s="352"/>
      <c r="D2" s="352"/>
      <c r="E2" s="352"/>
      <c r="F2" s="352"/>
      <c r="G2" s="49"/>
      <c r="H2" s="52"/>
    </row>
    <row r="3" spans="1:8" ht="18" customHeight="1" x14ac:dyDescent="0.25">
      <c r="B3" s="353"/>
      <c r="C3" s="354"/>
      <c r="D3" s="354"/>
      <c r="E3" s="354"/>
      <c r="F3" s="354"/>
      <c r="G3" s="50" t="s">
        <v>125</v>
      </c>
      <c r="H3" s="54">
        <f>COUNTA(C:C)-1</f>
        <v>1</v>
      </c>
    </row>
    <row r="4" spans="1:8" ht="18" customHeight="1" x14ac:dyDescent="0.25">
      <c r="B4" s="355"/>
      <c r="C4" s="356"/>
      <c r="D4" s="356"/>
      <c r="E4" s="356"/>
      <c r="F4" s="356"/>
      <c r="G4" s="51"/>
      <c r="H4" s="53"/>
    </row>
    <row r="5" spans="1:8" ht="13.8" x14ac:dyDescent="0.25">
      <c r="B5" s="56" t="s">
        <v>87</v>
      </c>
      <c r="C5" s="422" t="s">
        <v>124</v>
      </c>
      <c r="D5" s="38" t="s">
        <v>118</v>
      </c>
      <c r="E5" s="38" t="s">
        <v>117</v>
      </c>
      <c r="F5" s="305" t="s">
        <v>127</v>
      </c>
      <c r="G5" s="306" t="s">
        <v>120</v>
      </c>
      <c r="H5" s="55" t="s">
        <v>128</v>
      </c>
    </row>
    <row r="6" spans="1:8" ht="18" customHeight="1" x14ac:dyDescent="0.25">
      <c r="B6" s="42">
        <f>ROW(A1)</f>
        <v>1</v>
      </c>
      <c r="C6" s="30" t="s">
        <v>244</v>
      </c>
      <c r="D6" s="32">
        <v>8</v>
      </c>
      <c r="E6" s="32">
        <v>8</v>
      </c>
      <c r="F6" s="304">
        <v>160</v>
      </c>
      <c r="G6" s="304">
        <v>20</v>
      </c>
      <c r="H6" s="34">
        <v>5</v>
      </c>
    </row>
    <row r="7" spans="1:8" ht="18" customHeight="1" x14ac:dyDescent="0.25">
      <c r="B7" s="42"/>
      <c r="C7"/>
      <c r="D7"/>
      <c r="E7"/>
      <c r="F7"/>
      <c r="G7"/>
      <c r="H7"/>
    </row>
    <row r="8" spans="1:8" ht="18" customHeight="1" x14ac:dyDescent="0.25">
      <c r="B8" s="42"/>
      <c r="C8"/>
      <c r="D8"/>
      <c r="E8"/>
      <c r="F8"/>
      <c r="G8"/>
      <c r="H8"/>
    </row>
    <row r="9" spans="1:8" ht="18" customHeight="1" x14ac:dyDescent="0.25">
      <c r="B9" s="42"/>
      <c r="C9"/>
      <c r="D9"/>
      <c r="E9"/>
      <c r="F9"/>
      <c r="G9"/>
      <c r="H9"/>
    </row>
    <row r="10" spans="1:8" ht="18" customHeight="1" x14ac:dyDescent="0.25">
      <c r="B10" s="42"/>
      <c r="C10"/>
      <c r="D10"/>
      <c r="E10"/>
      <c r="F10"/>
      <c r="G10"/>
      <c r="H10"/>
    </row>
    <row r="11" spans="1:8" ht="18" customHeight="1" x14ac:dyDescent="0.25">
      <c r="B11" s="42"/>
      <c r="C11"/>
      <c r="D11"/>
      <c r="E11"/>
      <c r="F11"/>
      <c r="G11"/>
      <c r="H11"/>
    </row>
    <row r="12" spans="1:8" ht="18" customHeight="1" x14ac:dyDescent="0.25">
      <c r="B12" s="42"/>
      <c r="C12"/>
      <c r="D12"/>
      <c r="E12"/>
      <c r="F12"/>
      <c r="G12"/>
      <c r="H12"/>
    </row>
    <row r="13" spans="1:8" ht="18" customHeight="1" x14ac:dyDescent="0.25">
      <c r="B13" s="42"/>
      <c r="C13"/>
      <c r="D13"/>
      <c r="E13"/>
      <c r="F13"/>
      <c r="G13"/>
      <c r="H13"/>
    </row>
    <row r="14" spans="1:8" ht="18" customHeight="1" x14ac:dyDescent="0.25">
      <c r="B14" s="42"/>
      <c r="C14"/>
      <c r="D14"/>
      <c r="E14"/>
      <c r="F14"/>
      <c r="G14"/>
      <c r="H14"/>
    </row>
    <row r="15" spans="1:8" ht="18" customHeight="1" x14ac:dyDescent="0.25">
      <c r="B15" s="42"/>
      <c r="C15"/>
      <c r="D15"/>
      <c r="E15"/>
      <c r="F15"/>
      <c r="G15"/>
      <c r="H15"/>
    </row>
    <row r="16" spans="1:8" ht="18" customHeight="1" x14ac:dyDescent="0.25">
      <c r="B16" s="42"/>
      <c r="C16"/>
      <c r="D16"/>
      <c r="E16"/>
      <c r="F16"/>
      <c r="G16"/>
      <c r="H16"/>
    </row>
    <row r="17" spans="2:8" ht="18" customHeight="1" x14ac:dyDescent="0.25">
      <c r="B17" s="42">
        <f>ROW(A12)</f>
        <v>12</v>
      </c>
      <c r="C17"/>
      <c r="D17"/>
      <c r="E17"/>
      <c r="F17"/>
      <c r="G17"/>
      <c r="H17"/>
    </row>
    <row r="18" spans="2:8" ht="18" customHeight="1" x14ac:dyDescent="0.25">
      <c r="B18" s="42">
        <f>ROW(A13)</f>
        <v>13</v>
      </c>
      <c r="C18"/>
      <c r="D18"/>
      <c r="E18"/>
      <c r="F18"/>
      <c r="G18"/>
      <c r="H18"/>
    </row>
    <row r="19" spans="2:8" ht="18" customHeight="1" x14ac:dyDescent="0.25">
      <c r="B19" s="42">
        <f>ROW(A14)</f>
        <v>14</v>
      </c>
      <c r="C19"/>
      <c r="D19"/>
      <c r="E19"/>
      <c r="F19"/>
      <c r="G19"/>
      <c r="H19"/>
    </row>
    <row r="20" spans="2:8" ht="18" customHeight="1" x14ac:dyDescent="0.25">
      <c r="B20" s="42">
        <f>ROW(A15)</f>
        <v>15</v>
      </c>
      <c r="C20"/>
      <c r="D20"/>
      <c r="E20"/>
      <c r="F20"/>
      <c r="G20"/>
      <c r="H20"/>
    </row>
    <row r="21" spans="2:8" ht="18" customHeight="1" x14ac:dyDescent="0.25">
      <c r="B21" s="42">
        <f>ROW(A16)</f>
        <v>16</v>
      </c>
      <c r="C21"/>
      <c r="D21"/>
      <c r="E21"/>
      <c r="F21"/>
      <c r="G21"/>
      <c r="H21"/>
    </row>
    <row r="22" spans="2:8" ht="18" customHeight="1" x14ac:dyDescent="0.25">
      <c r="B22" s="44">
        <f>ROW(A17)</f>
        <v>17</v>
      </c>
      <c r="C22"/>
      <c r="D22"/>
      <c r="E22"/>
      <c r="F22"/>
      <c r="G22"/>
      <c r="H22"/>
    </row>
    <row r="23" spans="2:8" ht="18" customHeight="1" x14ac:dyDescent="0.25">
      <c r="B23" s="42">
        <f>ROW(A18)</f>
        <v>18</v>
      </c>
      <c r="C23"/>
      <c r="D23"/>
      <c r="E23"/>
      <c r="F23"/>
      <c r="G23"/>
      <c r="H23"/>
    </row>
    <row r="24" spans="2:8" ht="18" customHeight="1" x14ac:dyDescent="0.25">
      <c r="B24" s="42">
        <f>ROW(A19)</f>
        <v>19</v>
      </c>
      <c r="C24"/>
      <c r="D24"/>
      <c r="E24"/>
      <c r="F24"/>
      <c r="G24"/>
      <c r="H24"/>
    </row>
    <row r="25" spans="2:8" ht="18" customHeight="1" x14ac:dyDescent="0.25">
      <c r="B25" s="42">
        <f>ROW(A20)</f>
        <v>20</v>
      </c>
      <c r="C25"/>
      <c r="D25"/>
      <c r="E25"/>
      <c r="F25"/>
      <c r="G25"/>
      <c r="H25"/>
    </row>
    <row r="26" spans="2:8" ht="18" customHeight="1" x14ac:dyDescent="0.25">
      <c r="B26" s="42">
        <f>ROW(A21)</f>
        <v>21</v>
      </c>
      <c r="C26"/>
      <c r="D26"/>
      <c r="E26"/>
      <c r="F26"/>
      <c r="G26"/>
      <c r="H26"/>
    </row>
    <row r="27" spans="2:8" ht="18" customHeight="1" x14ac:dyDescent="0.25">
      <c r="B27" s="42">
        <f>ROW(A22)</f>
        <v>22</v>
      </c>
      <c r="C27"/>
      <c r="D27"/>
      <c r="E27"/>
      <c r="F27"/>
      <c r="G27"/>
      <c r="H27"/>
    </row>
    <row r="28" spans="2:8" ht="18" customHeight="1" x14ac:dyDescent="0.25">
      <c r="B28" s="45">
        <f>ROW(A23)</f>
        <v>23</v>
      </c>
      <c r="C28"/>
      <c r="D28"/>
      <c r="E28"/>
      <c r="F28"/>
      <c r="G28"/>
      <c r="H28"/>
    </row>
    <row r="29" spans="2:8" ht="18" customHeight="1" x14ac:dyDescent="0.25">
      <c r="B29" s="45">
        <f>ROW(A24)</f>
        <v>24</v>
      </c>
      <c r="C29"/>
      <c r="D29"/>
      <c r="E29"/>
      <c r="F29"/>
      <c r="G29"/>
      <c r="H29"/>
    </row>
    <row r="30" spans="2:8" ht="18" customHeight="1" x14ac:dyDescent="0.25">
      <c r="B30" s="45">
        <f>ROW(A25)</f>
        <v>25</v>
      </c>
      <c r="C30"/>
      <c r="D30"/>
      <c r="E30"/>
      <c r="F30"/>
      <c r="G30"/>
      <c r="H30"/>
    </row>
    <row r="31" spans="2:8" ht="18" customHeight="1" x14ac:dyDescent="0.25">
      <c r="B31" s="45">
        <f>ROW(A26)</f>
        <v>26</v>
      </c>
      <c r="C31"/>
      <c r="D31"/>
      <c r="E31"/>
      <c r="F31"/>
      <c r="G31"/>
      <c r="H31"/>
    </row>
    <row r="32" spans="2:8" ht="18" customHeight="1" x14ac:dyDescent="0.25">
      <c r="B32" s="45">
        <f>ROW(A27)</f>
        <v>27</v>
      </c>
      <c r="C32"/>
      <c r="D32"/>
      <c r="E32"/>
      <c r="F32"/>
      <c r="G32"/>
      <c r="H32"/>
    </row>
    <row r="33" spans="2:8" ht="18" customHeight="1" x14ac:dyDescent="0.25">
      <c r="B33" s="45">
        <f>ROW(A28)</f>
        <v>28</v>
      </c>
      <c r="C33"/>
      <c r="D33"/>
      <c r="E33"/>
      <c r="F33"/>
      <c r="G33"/>
      <c r="H33"/>
    </row>
    <row r="34" spans="2:8" ht="18" customHeight="1" x14ac:dyDescent="0.25">
      <c r="B34" s="45">
        <f>ROW(A29)</f>
        <v>29</v>
      </c>
      <c r="C34"/>
      <c r="D34"/>
      <c r="E34"/>
      <c r="F34"/>
      <c r="G34"/>
      <c r="H34"/>
    </row>
    <row r="35" spans="2:8" ht="18" customHeight="1" x14ac:dyDescent="0.25">
      <c r="B35" s="45">
        <f>ROW(A30)</f>
        <v>30</v>
      </c>
      <c r="C35"/>
      <c r="D35"/>
      <c r="E35"/>
      <c r="F35"/>
      <c r="G35"/>
      <c r="H35"/>
    </row>
    <row r="36" spans="2:8" ht="18" customHeight="1" x14ac:dyDescent="0.25">
      <c r="B36" s="45">
        <f>ROW(A31)</f>
        <v>31</v>
      </c>
      <c r="C36"/>
      <c r="D36"/>
      <c r="E36"/>
      <c r="F36"/>
      <c r="G36"/>
      <c r="H36"/>
    </row>
    <row r="37" spans="2:8" ht="18" customHeight="1" x14ac:dyDescent="0.25">
      <c r="B37" s="45">
        <f>ROW(A32)</f>
        <v>32</v>
      </c>
      <c r="C37"/>
      <c r="D37"/>
      <c r="E37"/>
      <c r="F37"/>
      <c r="G37"/>
      <c r="H37"/>
    </row>
    <row r="38" spans="2:8" ht="18" customHeight="1" x14ac:dyDescent="0.25">
      <c r="B38" s="45">
        <f>ROW(A33)</f>
        <v>33</v>
      </c>
      <c r="C38"/>
      <c r="D38"/>
      <c r="E38"/>
      <c r="F38"/>
      <c r="G38"/>
      <c r="H38"/>
    </row>
    <row r="39" spans="2:8" ht="18" customHeight="1" x14ac:dyDescent="0.25">
      <c r="B39" s="45">
        <f>ROW(A34)</f>
        <v>34</v>
      </c>
      <c r="C39"/>
      <c r="D39"/>
      <c r="E39"/>
      <c r="F39"/>
      <c r="G39"/>
      <c r="H39"/>
    </row>
    <row r="40" spans="2:8" ht="18" customHeight="1" x14ac:dyDescent="0.25">
      <c r="B40" s="45">
        <f>ROW(A35)</f>
        <v>35</v>
      </c>
      <c r="C40"/>
      <c r="D40"/>
      <c r="E40"/>
      <c r="F40"/>
      <c r="G40"/>
      <c r="H40"/>
    </row>
    <row r="41" spans="2:8" ht="18" customHeight="1" x14ac:dyDescent="0.25">
      <c r="B41" s="45">
        <f>ROW(A36)</f>
        <v>36</v>
      </c>
      <c r="C41"/>
      <c r="D41"/>
      <c r="E41"/>
      <c r="F41"/>
      <c r="G41"/>
      <c r="H41"/>
    </row>
    <row r="42" spans="2:8" ht="18" customHeight="1" x14ac:dyDescent="0.25">
      <c r="B42" s="45">
        <f>ROW(A37)</f>
        <v>37</v>
      </c>
      <c r="C42"/>
      <c r="D42"/>
      <c r="E42"/>
      <c r="F42"/>
      <c r="G42"/>
      <c r="H42"/>
    </row>
    <row r="43" spans="2:8" ht="18" customHeight="1" x14ac:dyDescent="0.25">
      <c r="B43" s="45">
        <f>ROW(A38)</f>
        <v>38</v>
      </c>
      <c r="C43"/>
      <c r="D43"/>
      <c r="E43"/>
      <c r="F43"/>
      <c r="G43"/>
      <c r="H43"/>
    </row>
    <row r="44" spans="2:8" ht="18" customHeight="1" x14ac:dyDescent="0.25">
      <c r="B44" s="45">
        <f>ROW(A39)</f>
        <v>39</v>
      </c>
      <c r="C44"/>
      <c r="D44"/>
      <c r="E44"/>
      <c r="F44"/>
      <c r="G44"/>
      <c r="H44"/>
    </row>
    <row r="45" spans="2:8" ht="18" customHeight="1" x14ac:dyDescent="0.25">
      <c r="B45" s="45">
        <f>ROW(A40)</f>
        <v>40</v>
      </c>
      <c r="C45"/>
      <c r="D45"/>
      <c r="E45"/>
      <c r="F45"/>
      <c r="G45"/>
      <c r="H45"/>
    </row>
    <row r="46" spans="2:8" ht="18" customHeight="1" x14ac:dyDescent="0.25">
      <c r="B46" s="45">
        <f>ROW(A41)</f>
        <v>41</v>
      </c>
      <c r="C46"/>
      <c r="D46"/>
      <c r="E46"/>
      <c r="F46"/>
      <c r="G46"/>
      <c r="H46"/>
    </row>
    <row r="47" spans="2:8" ht="18" customHeight="1" x14ac:dyDescent="0.25">
      <c r="B47" s="45">
        <f>ROW(A42)</f>
        <v>42</v>
      </c>
      <c r="C47"/>
      <c r="D47"/>
      <c r="E47"/>
      <c r="F47"/>
      <c r="G47"/>
      <c r="H47"/>
    </row>
    <row r="48" spans="2:8" ht="18" customHeight="1" x14ac:dyDescent="0.25">
      <c r="B48" s="45">
        <f>ROW(A43)</f>
        <v>43</v>
      </c>
      <c r="C48"/>
      <c r="D48"/>
      <c r="E48"/>
      <c r="F48"/>
      <c r="G48"/>
      <c r="H48"/>
    </row>
    <row r="49" spans="2:8" ht="18" customHeight="1" x14ac:dyDescent="0.25">
      <c r="B49" s="45">
        <f>ROW(A44)</f>
        <v>44</v>
      </c>
      <c r="C49"/>
      <c r="D49"/>
      <c r="E49"/>
      <c r="F49"/>
      <c r="G49"/>
      <c r="H49"/>
    </row>
    <row r="50" spans="2:8" ht="18" customHeight="1" x14ac:dyDescent="0.25">
      <c r="B50" s="45">
        <f>ROW(A45)</f>
        <v>45</v>
      </c>
      <c r="C50"/>
      <c r="D50"/>
      <c r="E50"/>
      <c r="F50"/>
      <c r="G50"/>
      <c r="H50"/>
    </row>
    <row r="51" spans="2:8" ht="18" customHeight="1" x14ac:dyDescent="0.25">
      <c r="B51" s="45">
        <f>ROW(A46)</f>
        <v>46</v>
      </c>
      <c r="C51"/>
      <c r="D51"/>
      <c r="E51"/>
      <c r="F51"/>
      <c r="G51"/>
      <c r="H51"/>
    </row>
    <row r="52" spans="2:8" ht="18" customHeight="1" x14ac:dyDescent="0.25">
      <c r="B52" s="45">
        <f>ROW(A47)</f>
        <v>47</v>
      </c>
      <c r="C52"/>
      <c r="D52"/>
      <c r="E52"/>
      <c r="F52"/>
      <c r="G52"/>
      <c r="H52"/>
    </row>
    <row r="53" spans="2:8" ht="18" customHeight="1" x14ac:dyDescent="0.25">
      <c r="B53" s="45">
        <f>ROW(A48)</f>
        <v>48</v>
      </c>
      <c r="C53"/>
      <c r="D53"/>
      <c r="E53"/>
      <c r="F53"/>
      <c r="G53"/>
      <c r="H53"/>
    </row>
    <row r="54" spans="2:8" ht="18" customHeight="1" x14ac:dyDescent="0.25">
      <c r="B54" s="45">
        <f>ROW(A49)</f>
        <v>49</v>
      </c>
      <c r="C54"/>
      <c r="D54"/>
      <c r="E54"/>
      <c r="F54"/>
      <c r="G54"/>
      <c r="H54"/>
    </row>
    <row r="55" spans="2:8" ht="18" customHeight="1" x14ac:dyDescent="0.25">
      <c r="B55" s="45">
        <f>ROW(A50)</f>
        <v>50</v>
      </c>
      <c r="C55"/>
      <c r="D55"/>
      <c r="E55"/>
      <c r="F55"/>
      <c r="G55"/>
      <c r="H55"/>
    </row>
    <row r="56" spans="2:8" ht="18" customHeight="1" x14ac:dyDescent="0.25">
      <c r="B56" s="45">
        <f>ROW(A51)</f>
        <v>51</v>
      </c>
      <c r="C56"/>
      <c r="D56"/>
      <c r="E56"/>
      <c r="F56"/>
      <c r="G56"/>
      <c r="H56"/>
    </row>
    <row r="57" spans="2:8" ht="18" customHeight="1" x14ac:dyDescent="0.25">
      <c r="B57" s="45">
        <f>ROW(A52)</f>
        <v>52</v>
      </c>
      <c r="C57"/>
      <c r="D57"/>
      <c r="E57"/>
      <c r="F57"/>
      <c r="G57"/>
      <c r="H57"/>
    </row>
    <row r="58" spans="2:8" ht="18" customHeight="1" x14ac:dyDescent="0.25">
      <c r="B58" s="45">
        <f>ROW(A53)</f>
        <v>53</v>
      </c>
      <c r="C58"/>
      <c r="D58"/>
      <c r="E58"/>
      <c r="F58"/>
      <c r="G58"/>
      <c r="H58"/>
    </row>
    <row r="59" spans="2:8" ht="18" customHeight="1" x14ac:dyDescent="0.25">
      <c r="B59" s="45">
        <f>ROW(A54)</f>
        <v>54</v>
      </c>
      <c r="C59"/>
      <c r="D59"/>
      <c r="E59"/>
      <c r="F59"/>
      <c r="G59"/>
      <c r="H59"/>
    </row>
    <row r="60" spans="2:8" ht="18" customHeight="1" x14ac:dyDescent="0.25">
      <c r="B60" s="45">
        <f>ROW(A55)</f>
        <v>55</v>
      </c>
      <c r="C60"/>
      <c r="D60"/>
      <c r="E60"/>
      <c r="F60"/>
      <c r="G60"/>
      <c r="H60"/>
    </row>
    <row r="61" spans="2:8" ht="18" customHeight="1" x14ac:dyDescent="0.25">
      <c r="B61" s="45">
        <f>ROW(A56)</f>
        <v>56</v>
      </c>
      <c r="C61"/>
      <c r="D61"/>
      <c r="E61"/>
      <c r="F61"/>
      <c r="G61"/>
      <c r="H61"/>
    </row>
    <row r="62" spans="2:8" ht="18" customHeight="1" x14ac:dyDescent="0.25">
      <c r="B62" s="45">
        <f>ROW(A57)</f>
        <v>57</v>
      </c>
      <c r="C62"/>
      <c r="D62"/>
      <c r="E62"/>
      <c r="F62"/>
      <c r="G62"/>
      <c r="H62"/>
    </row>
    <row r="63" spans="2:8" ht="18" customHeight="1" x14ac:dyDescent="0.25">
      <c r="B63" s="45">
        <f>ROW(A58)</f>
        <v>58</v>
      </c>
      <c r="C63"/>
      <c r="D63"/>
      <c r="E63"/>
      <c r="F63"/>
      <c r="G63"/>
      <c r="H63"/>
    </row>
    <row r="64" spans="2:8" ht="18" customHeight="1" x14ac:dyDescent="0.25">
      <c r="B64" s="45">
        <f>ROW(A59)</f>
        <v>59</v>
      </c>
      <c r="C64"/>
      <c r="D64"/>
      <c r="E64"/>
      <c r="F64"/>
      <c r="G64"/>
      <c r="H64"/>
    </row>
    <row r="65" spans="2:8" ht="18" customHeight="1" x14ac:dyDescent="0.25">
      <c r="B65" s="45">
        <f>ROW(A60)</f>
        <v>60</v>
      </c>
      <c r="C65"/>
      <c r="D65"/>
      <c r="E65"/>
      <c r="F65"/>
      <c r="G65"/>
      <c r="H65"/>
    </row>
    <row r="66" spans="2:8" ht="18" customHeight="1" x14ac:dyDescent="0.25">
      <c r="B66" s="45">
        <f>ROW(A61)</f>
        <v>61</v>
      </c>
      <c r="C66"/>
      <c r="D66"/>
      <c r="E66"/>
      <c r="F66"/>
      <c r="G66"/>
      <c r="H66"/>
    </row>
    <row r="67" spans="2:8" ht="18" customHeight="1" x14ac:dyDescent="0.25">
      <c r="B67" s="45">
        <f>ROW(A62)</f>
        <v>62</v>
      </c>
      <c r="C67"/>
      <c r="D67"/>
      <c r="E67"/>
      <c r="F67"/>
      <c r="G67"/>
      <c r="H67"/>
    </row>
    <row r="68" spans="2:8" ht="18" customHeight="1" x14ac:dyDescent="0.25">
      <c r="B68" s="45">
        <f>ROW(A63)</f>
        <v>63</v>
      </c>
      <c r="C68"/>
      <c r="D68"/>
      <c r="E68"/>
      <c r="F68"/>
      <c r="G68"/>
      <c r="H68"/>
    </row>
    <row r="69" spans="2:8" ht="18" customHeight="1" x14ac:dyDescent="0.25">
      <c r="B69" s="45">
        <f>ROW(A64)</f>
        <v>64</v>
      </c>
      <c r="C69"/>
      <c r="D69"/>
      <c r="E69"/>
      <c r="F69"/>
      <c r="G69"/>
      <c r="H69"/>
    </row>
    <row r="70" spans="2:8" ht="18" customHeight="1" x14ac:dyDescent="0.25">
      <c r="B70" s="45">
        <f>ROW(A65)</f>
        <v>65</v>
      </c>
      <c r="C70"/>
      <c r="D70"/>
      <c r="E70"/>
      <c r="F70"/>
      <c r="G70"/>
      <c r="H70"/>
    </row>
    <row r="71" spans="2:8" ht="18" customHeight="1" x14ac:dyDescent="0.25">
      <c r="B71" s="45">
        <f>ROW(A66)</f>
        <v>66</v>
      </c>
      <c r="C71"/>
      <c r="D71"/>
      <c r="E71"/>
      <c r="F71"/>
      <c r="G71"/>
      <c r="H71"/>
    </row>
    <row r="72" spans="2:8" ht="18" customHeight="1" x14ac:dyDescent="0.25">
      <c r="B72" s="45">
        <f>ROW(A67)</f>
        <v>67</v>
      </c>
      <c r="C72"/>
      <c r="D72"/>
      <c r="E72"/>
      <c r="F72"/>
      <c r="G72"/>
      <c r="H72"/>
    </row>
    <row r="73" spans="2:8" ht="18" customHeight="1" x14ac:dyDescent="0.25">
      <c r="B73" s="45">
        <f>ROW(A68)</f>
        <v>68</v>
      </c>
      <c r="C73"/>
      <c r="D73"/>
      <c r="E73"/>
      <c r="F73"/>
      <c r="G73"/>
      <c r="H73"/>
    </row>
    <row r="74" spans="2:8" ht="18" customHeight="1" x14ac:dyDescent="0.25">
      <c r="B74" s="45">
        <f>ROW(A69)</f>
        <v>69</v>
      </c>
      <c r="C74"/>
      <c r="D74"/>
      <c r="E74"/>
      <c r="F74"/>
      <c r="G74"/>
      <c r="H74"/>
    </row>
    <row r="75" spans="2:8" ht="18" customHeight="1" x14ac:dyDescent="0.25">
      <c r="B75" s="45">
        <f>ROW(A70)</f>
        <v>70</v>
      </c>
      <c r="C75"/>
      <c r="D75"/>
      <c r="E75"/>
      <c r="F75"/>
      <c r="G75"/>
      <c r="H75"/>
    </row>
    <row r="76" spans="2:8" ht="18" customHeight="1" x14ac:dyDescent="0.25">
      <c r="B76" s="45">
        <f>ROW(A71)</f>
        <v>71</v>
      </c>
      <c r="C76"/>
      <c r="D76"/>
      <c r="E76"/>
      <c r="F76"/>
      <c r="G76"/>
      <c r="H76"/>
    </row>
    <row r="77" spans="2:8" ht="18" customHeight="1" x14ac:dyDescent="0.25">
      <c r="B77" s="45">
        <f>ROW(A72)</f>
        <v>72</v>
      </c>
      <c r="C77"/>
      <c r="D77"/>
      <c r="E77"/>
      <c r="F77"/>
      <c r="G77"/>
      <c r="H77"/>
    </row>
    <row r="78" spans="2:8" ht="18" customHeight="1" x14ac:dyDescent="0.25">
      <c r="B78" s="45">
        <f>ROW(A73)</f>
        <v>73</v>
      </c>
      <c r="C78"/>
      <c r="D78"/>
      <c r="E78"/>
      <c r="F78"/>
      <c r="G78"/>
      <c r="H78"/>
    </row>
    <row r="79" spans="2:8" ht="18" customHeight="1" x14ac:dyDescent="0.25">
      <c r="B79" s="45">
        <f>ROW(A74)</f>
        <v>74</v>
      </c>
      <c r="C79"/>
      <c r="D79"/>
      <c r="E79"/>
      <c r="F79"/>
      <c r="G79"/>
      <c r="H79"/>
    </row>
    <row r="80" spans="2:8" ht="18" customHeight="1" x14ac:dyDescent="0.25">
      <c r="B80" s="45">
        <f>ROW(A75)</f>
        <v>75</v>
      </c>
      <c r="C80"/>
      <c r="D80"/>
      <c r="E80"/>
      <c r="F80"/>
      <c r="G80"/>
      <c r="H80"/>
    </row>
    <row r="81" spans="2:8" ht="18" customHeight="1" x14ac:dyDescent="0.25">
      <c r="B81" s="45">
        <f>ROW(A76)</f>
        <v>76</v>
      </c>
      <c r="C81"/>
      <c r="D81"/>
      <c r="E81"/>
      <c r="F81"/>
      <c r="G81"/>
      <c r="H81"/>
    </row>
    <row r="82" spans="2:8" ht="18" customHeight="1" x14ac:dyDescent="0.25">
      <c r="B82" s="45">
        <f>ROW(A77)</f>
        <v>77</v>
      </c>
      <c r="C82"/>
      <c r="D82"/>
      <c r="E82"/>
      <c r="F82"/>
      <c r="G82"/>
      <c r="H82"/>
    </row>
    <row r="83" spans="2:8" ht="18" customHeight="1" x14ac:dyDescent="0.25">
      <c r="B83" s="45">
        <f>ROW(A78)</f>
        <v>78</v>
      </c>
      <c r="C83"/>
      <c r="D83"/>
      <c r="E83"/>
      <c r="F83"/>
      <c r="G83"/>
      <c r="H83"/>
    </row>
    <row r="84" spans="2:8" ht="18" customHeight="1" x14ac:dyDescent="0.25">
      <c r="B84" s="45">
        <f>ROW(A79)</f>
        <v>79</v>
      </c>
      <c r="C84"/>
      <c r="D84"/>
      <c r="E84"/>
      <c r="F84"/>
      <c r="G84"/>
      <c r="H84"/>
    </row>
    <row r="85" spans="2:8" ht="18" customHeight="1" x14ac:dyDescent="0.25">
      <c r="B85" s="45">
        <f>ROW(A80)</f>
        <v>80</v>
      </c>
      <c r="C85"/>
      <c r="D85"/>
      <c r="E85"/>
      <c r="F85"/>
      <c r="G85"/>
      <c r="H85"/>
    </row>
    <row r="86" spans="2:8" ht="18" customHeight="1" x14ac:dyDescent="0.25">
      <c r="B86" s="45">
        <f>ROW(A81)</f>
        <v>81</v>
      </c>
      <c r="C86"/>
      <c r="D86"/>
      <c r="E86"/>
      <c r="F86"/>
      <c r="G86"/>
      <c r="H86"/>
    </row>
    <row r="87" spans="2:8" ht="18" customHeight="1" x14ac:dyDescent="0.25">
      <c r="B87" s="45">
        <f>ROW(A82)</f>
        <v>82</v>
      </c>
      <c r="C87"/>
      <c r="D87"/>
      <c r="E87"/>
      <c r="F87"/>
      <c r="G87"/>
      <c r="H87"/>
    </row>
    <row r="88" spans="2:8" ht="18" customHeight="1" x14ac:dyDescent="0.25">
      <c r="B88" s="45">
        <f>ROW(A83)</f>
        <v>83</v>
      </c>
      <c r="C88"/>
      <c r="D88"/>
      <c r="E88"/>
      <c r="F88"/>
      <c r="G88"/>
      <c r="H88"/>
    </row>
    <row r="89" spans="2:8" ht="18" customHeight="1" x14ac:dyDescent="0.25">
      <c r="B89" s="45">
        <f>ROW(A84)</f>
        <v>84</v>
      </c>
      <c r="C89"/>
      <c r="D89"/>
      <c r="E89"/>
      <c r="F89"/>
      <c r="G89"/>
      <c r="H89"/>
    </row>
    <row r="90" spans="2:8" ht="18" customHeight="1" x14ac:dyDescent="0.25">
      <c r="B90" s="45">
        <f>ROW(A85)</f>
        <v>85</v>
      </c>
      <c r="C90"/>
      <c r="D90"/>
      <c r="E90"/>
      <c r="F90"/>
      <c r="G90"/>
      <c r="H90"/>
    </row>
    <row r="91" spans="2:8" ht="18" customHeight="1" x14ac:dyDescent="0.25">
      <c r="B91" s="45">
        <f>ROW(A86)</f>
        <v>86</v>
      </c>
      <c r="C91"/>
      <c r="D91"/>
      <c r="E91"/>
      <c r="F91"/>
      <c r="G91"/>
      <c r="H91"/>
    </row>
    <row r="92" spans="2:8" ht="18" customHeight="1" x14ac:dyDescent="0.25">
      <c r="B92" s="45">
        <f>ROW(A87)</f>
        <v>87</v>
      </c>
      <c r="C92"/>
      <c r="D92"/>
      <c r="E92"/>
      <c r="F92"/>
      <c r="G92"/>
      <c r="H92"/>
    </row>
    <row r="93" spans="2:8" ht="18" customHeight="1" x14ac:dyDescent="0.25">
      <c r="B93" s="45">
        <f>ROW(A88)</f>
        <v>88</v>
      </c>
      <c r="C93"/>
      <c r="D93"/>
      <c r="E93"/>
      <c r="F93"/>
      <c r="G93"/>
      <c r="H93"/>
    </row>
    <row r="94" spans="2:8" ht="18" customHeight="1" x14ac:dyDescent="0.25">
      <c r="B94" s="45">
        <f>ROW(A89)</f>
        <v>89</v>
      </c>
      <c r="C94"/>
      <c r="D94"/>
      <c r="E94"/>
      <c r="F94"/>
      <c r="G94"/>
      <c r="H94"/>
    </row>
    <row r="95" spans="2:8" ht="18" customHeight="1" x14ac:dyDescent="0.25">
      <c r="B95" s="45">
        <f>ROW(A90)</f>
        <v>90</v>
      </c>
      <c r="C95"/>
      <c r="D95"/>
      <c r="E95"/>
      <c r="F95"/>
      <c r="G95"/>
      <c r="H95"/>
    </row>
    <row r="96" spans="2:8" ht="18" customHeight="1" x14ac:dyDescent="0.25">
      <c r="B96" s="45">
        <f>ROW(A91)</f>
        <v>91</v>
      </c>
      <c r="C96"/>
      <c r="D96"/>
      <c r="E96"/>
      <c r="F96"/>
      <c r="G96"/>
      <c r="H96"/>
    </row>
    <row r="97" spans="2:8" ht="18" customHeight="1" x14ac:dyDescent="0.25">
      <c r="B97" s="45">
        <f>ROW(A92)</f>
        <v>92</v>
      </c>
      <c r="C97"/>
      <c r="D97"/>
      <c r="E97"/>
      <c r="F97"/>
      <c r="G97"/>
      <c r="H97"/>
    </row>
    <row r="98" spans="2:8" ht="18" customHeight="1" x14ac:dyDescent="0.25">
      <c r="B98" s="45">
        <f>ROW(A93)</f>
        <v>93</v>
      </c>
      <c r="C98"/>
      <c r="D98"/>
      <c r="E98"/>
      <c r="F98"/>
      <c r="G98"/>
      <c r="H98"/>
    </row>
    <row r="99" spans="2:8" ht="18" customHeight="1" x14ac:dyDescent="0.25">
      <c r="B99" s="45">
        <f>ROW(A94)</f>
        <v>94</v>
      </c>
      <c r="C99"/>
      <c r="D99"/>
      <c r="E99"/>
      <c r="F99"/>
      <c r="G99"/>
      <c r="H99"/>
    </row>
    <row r="100" spans="2:8" ht="18" customHeight="1" x14ac:dyDescent="0.25">
      <c r="C100"/>
      <c r="D100"/>
      <c r="E100"/>
      <c r="F100"/>
      <c r="G100"/>
      <c r="H100"/>
    </row>
    <row r="101" spans="2:8" ht="18" customHeight="1" x14ac:dyDescent="0.25">
      <c r="C101"/>
      <c r="D101"/>
      <c r="E101"/>
      <c r="F101"/>
      <c r="G101"/>
      <c r="H101"/>
    </row>
  </sheetData>
  <mergeCells count="1">
    <mergeCell ref="B2:F4"/>
  </mergeCells>
  <phoneticPr fontId="1" type="noConversion"/>
  <conditionalFormatting sqref="A102:XFD1048576 A6:C101 I6:XFD101 A1:XFD5">
    <cfRule type="containsBlanks" dxfId="42" priority="3">
      <formula>LEN(TRIM(A1))=0</formula>
    </cfRule>
  </conditionalFormatting>
  <conditionalFormatting sqref="B1:B1048576">
    <cfRule type="notContainsBlanks" dxfId="41" priority="2">
      <formula>LEN(TRIM(B1))&gt;0</formula>
    </cfRule>
  </conditionalFormatting>
  <conditionalFormatting sqref="C5">
    <cfRule type="notContainsBlanks" dxfId="40" priority="1">
      <formula>LEN(TRIM(C5))&gt;0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07"/>
  <dimension ref="B2:W1952"/>
  <sheetViews>
    <sheetView zoomScale="85" zoomScaleNormal="85" workbookViewId="0">
      <selection activeCell="R7" sqref="R7"/>
    </sheetView>
  </sheetViews>
  <sheetFormatPr defaultColWidth="9" defaultRowHeight="18" customHeight="1" x14ac:dyDescent="0.25"/>
  <cols>
    <col min="1" max="1" width="3.6640625" customWidth="1"/>
    <col min="2" max="2" width="7" style="6" customWidth="1"/>
    <col min="3" max="3" width="28.88671875" customWidth="1"/>
    <col min="4" max="4" width="7.6640625" bestFit="1" customWidth="1"/>
    <col min="5" max="5" width="7.6640625" style="5" customWidth="1"/>
    <col min="6" max="6" width="11.109375" style="7" bestFit="1" customWidth="1"/>
    <col min="7" max="7" width="9.33203125" style="7" bestFit="1" customWidth="1"/>
    <col min="8" max="8" width="11.109375" style="4" bestFit="1" customWidth="1"/>
    <col min="9" max="9" width="9" style="47" hidden="1" customWidth="1"/>
    <col min="10" max="10" width="7.6640625" style="47" hidden="1" customWidth="1"/>
    <col min="11" max="11" width="5.6640625" customWidth="1"/>
    <col min="12" max="12" width="11.109375" style="10" bestFit="1" customWidth="1"/>
    <col min="13" max="14" width="7.6640625" bestFit="1" customWidth="1"/>
    <col min="15" max="15" width="10.88671875" style="5" bestFit="1" customWidth="1"/>
    <col min="16" max="16" width="9.33203125" style="5" bestFit="1" customWidth="1"/>
    <col min="17" max="17" width="5.6640625" style="5" customWidth="1"/>
    <col min="18" max="18" width="11.109375" bestFit="1" customWidth="1"/>
    <col min="19" max="19" width="7.6640625" bestFit="1" customWidth="1"/>
    <col min="20" max="20" width="7.21875" bestFit="1" customWidth="1"/>
    <col min="21" max="21" width="9.77734375" bestFit="1" customWidth="1"/>
    <col min="22" max="23" width="9.109375" style="5" bestFit="1" customWidth="1"/>
    <col min="24" max="24" width="11.109375" bestFit="1" customWidth="1"/>
  </cols>
  <sheetData>
    <row r="2" spans="2:23" ht="18" customHeight="1" x14ac:dyDescent="0.25">
      <c r="B2" s="365" t="s">
        <v>152</v>
      </c>
      <c r="C2" s="366"/>
      <c r="D2" s="366"/>
      <c r="E2" s="366"/>
      <c r="F2" s="366"/>
      <c r="G2" s="135"/>
      <c r="H2" s="136"/>
      <c r="I2" s="190"/>
      <c r="J2" s="190"/>
      <c r="L2" s="6"/>
      <c r="M2" s="5"/>
      <c r="N2" s="5"/>
      <c r="P2"/>
      <c r="Q2"/>
      <c r="T2" s="5"/>
      <c r="U2" s="5"/>
      <c r="V2"/>
      <c r="W2"/>
    </row>
    <row r="3" spans="2:23" ht="18" customHeight="1" x14ac:dyDescent="0.25">
      <c r="B3" s="367"/>
      <c r="C3" s="368"/>
      <c r="D3" s="368"/>
      <c r="E3" s="368"/>
      <c r="F3" s="368"/>
      <c r="G3" s="50" t="s">
        <v>147</v>
      </c>
      <c r="H3" s="54">
        <f>COUNTA(C:C)-1</f>
        <v>3</v>
      </c>
      <c r="I3" s="190"/>
      <c r="J3" s="190"/>
      <c r="L3" s="363" t="s">
        <v>146</v>
      </c>
      <c r="M3" s="363"/>
      <c r="N3" s="363"/>
      <c r="O3" s="363"/>
      <c r="P3" s="363"/>
      <c r="Q3"/>
      <c r="R3" s="364" t="s">
        <v>145</v>
      </c>
      <c r="S3" s="364"/>
      <c r="T3" s="364"/>
      <c r="U3" s="364"/>
      <c r="V3" s="364"/>
    </row>
    <row r="4" spans="2:23" ht="18" customHeight="1" x14ac:dyDescent="0.25">
      <c r="B4" s="369"/>
      <c r="C4" s="370"/>
      <c r="D4" s="370"/>
      <c r="E4" s="370"/>
      <c r="F4" s="370"/>
      <c r="G4" s="137"/>
      <c r="H4" s="138"/>
      <c r="I4" s="190"/>
      <c r="J4" s="190"/>
      <c r="L4" s="363"/>
      <c r="M4" s="363"/>
      <c r="N4" s="363"/>
      <c r="O4" s="363"/>
      <c r="P4" s="363"/>
      <c r="Q4"/>
      <c r="R4" s="364"/>
      <c r="S4" s="364"/>
      <c r="T4" s="364"/>
      <c r="U4" s="364"/>
      <c r="V4" s="364"/>
    </row>
    <row r="5" spans="2:23" s="8" customFormat="1" ht="18" customHeight="1" x14ac:dyDescent="0.25">
      <c r="B5" s="132" t="s">
        <v>88</v>
      </c>
      <c r="C5" s="133" t="s">
        <v>43</v>
      </c>
      <c r="D5" s="134" t="s">
        <v>13</v>
      </c>
      <c r="E5" s="134" t="s">
        <v>14</v>
      </c>
      <c r="F5" s="130" t="s">
        <v>19</v>
      </c>
      <c r="G5" s="130" t="s">
        <v>15</v>
      </c>
      <c r="H5" s="131" t="s">
        <v>18</v>
      </c>
      <c r="I5" s="191" t="s">
        <v>90</v>
      </c>
      <c r="J5" s="191" t="s">
        <v>91</v>
      </c>
      <c r="L5" s="124" t="s">
        <v>24</v>
      </c>
      <c r="M5" s="125" t="s">
        <v>51</v>
      </c>
      <c r="N5" s="125" t="s">
        <v>14</v>
      </c>
      <c r="O5" s="127" t="s">
        <v>11</v>
      </c>
      <c r="P5" s="126" t="s">
        <v>25</v>
      </c>
      <c r="Q5"/>
      <c r="R5" s="128" t="s">
        <v>50</v>
      </c>
      <c r="S5" s="125" t="s">
        <v>51</v>
      </c>
      <c r="T5" s="125" t="s">
        <v>14</v>
      </c>
      <c r="U5" s="127" t="s">
        <v>11</v>
      </c>
      <c r="V5" s="126" t="s">
        <v>15</v>
      </c>
    </row>
    <row r="6" spans="2:23" ht="18" customHeight="1" x14ac:dyDescent="0.25">
      <c r="B6" s="85">
        <v>1</v>
      </c>
      <c r="C6" s="120" t="s">
        <v>252</v>
      </c>
      <c r="D6" s="121">
        <f>COUNTIF(书库!AD:AD,作者统计[[#This Row],[作者]])+COUNTIF(书库!AE:AE,作者统计[[#This Row],[作者]])+COUNTIF(书库!AF:AF,作者统计[[#This Row],[作者]])+COUNTIF(书库!AG:AG,作者统计[[#This Row],[作者]])</f>
        <v>4</v>
      </c>
      <c r="E6" s="121">
        <f>SUMIF(书库!AD:AD,作者统计[[#This Row],[作者]],书库!X:X)+SUMIF(书库!AE:AE,作者统计[[#This Row],[作者]],书库!X:X)+SUMIF(书库!AF:AF,作者统计[[#This Row],[作者]],书库!X:X)+SUMIF(书库!AG:AG,作者统计[[#This Row],[作者]],书库!X:X)</f>
        <v>4</v>
      </c>
      <c r="F6" s="92">
        <f>SUMIF(书库!AD:AD,作者统计[[#This Row],[作者]],书库!T:T)+SUMIF(书库!AE:AE,作者统计[[#This Row],[作者]],书库!T:T)+SUMIF(书库!AF:AF,作者统计[[#This Row],[作者]],书库!T:T)+SUMIF(书库!AG:AG,作者统计[[#This Row],[作者]],书库!T:T)</f>
        <v>140</v>
      </c>
      <c r="G6" s="92">
        <f>F6/E6</f>
        <v>35</v>
      </c>
      <c r="H6" s="122" t="str">
        <f>ROUND(F6/(SUMIF(书库!AD:AD,作者统计[[#This Row],[作者]],书库!S:S)+SUMIF(书库!AE:AE,作者统计[[#This Row],[作者]],书库!S:S)+SUMIF(书库!AF:AF,作者统计[[#This Row],[作者]],书库!S:S)+SUMIF(书库!AG:AG,作者统计[[#This Row],[作者]],书库!S:S))*10,2)&amp;"折"</f>
        <v>7.78折</v>
      </c>
      <c r="I6" s="68" t="str">
        <f>IFERROR(MID(作者统计[[#This Row],[作者]],FIND("[",作者统计[[#This Row],[作者]],1)+1,FIND("]",作者统计[[#This Row],[作者]],1)-FIND("[",作者统计[[#This Row],[作者]],1)-1),"")</f>
        <v>德国</v>
      </c>
      <c r="J6" s="68" t="str">
        <f>IFERROR(MID(作者统计[[#This Row],[作者]],FIND("(",作者统计[[#This Row],[作者]],1)+1,FIND(")",作者统计[[#This Row],[作者]],1)-FIND("(",作者统计[[#This Row],[作者]],1)-1),"")</f>
        <v/>
      </c>
      <c r="L6" s="85"/>
      <c r="M6" s="121">
        <f>COUNTIF(书库!H:H,"*"&amp;原著国别统计[[#This Row],[作者国别]]&amp;"*")</f>
        <v>9</v>
      </c>
      <c r="N6" s="121">
        <f>SUMIF(书库!H:H,"*"&amp;原著国别统计[[#This Row],[作者国别]]&amp;"*",书库!X:X)</f>
        <v>8</v>
      </c>
      <c r="O6" s="92">
        <f>SUMIF(书库!H:H,"*"&amp;原著国别统计[[#This Row],[作者国别]]&amp;"*",书库!T:T)</f>
        <v>160</v>
      </c>
      <c r="P6" s="92">
        <f>原著国别统计[[#This Row],[总价]]/原著国别统计[[#This Row],[册数]]</f>
        <v>20</v>
      </c>
      <c r="Q6"/>
      <c r="R6" s="278"/>
      <c r="S6" s="280">
        <f>COUNTIF(书库!H:H,"*"&amp;中国古籍朝代统计[[#This Row],[作者朝代]]&amp;"*")</f>
        <v>9</v>
      </c>
      <c r="T6" s="280">
        <f>SUMIF(书库!H:H,"*"&amp;中国古籍朝代统计[[#This Row],[作者朝代]]&amp;"*",书库!X:X)</f>
        <v>8</v>
      </c>
      <c r="U6" s="281">
        <f>SUMIF(书库!H:H,"*"&amp;中国古籍朝代统计[[#This Row],[作者朝代]]&amp;"*",书库!T:T)</f>
        <v>160</v>
      </c>
      <c r="V6" s="281">
        <f>中国古籍朝代统计[[#This Row],[总价]]/中国古籍朝代统计[[#This Row],[册数]]</f>
        <v>20</v>
      </c>
    </row>
    <row r="7" spans="2:23" ht="18" customHeight="1" x14ac:dyDescent="0.25">
      <c r="B7" s="256">
        <v>2</v>
      </c>
      <c r="C7" s="257" t="s">
        <v>246</v>
      </c>
      <c r="D7" s="121">
        <f>COUNTIF(书库!AD:AD,作者统计[[#This Row],[作者]])+COUNTIF(书库!AE:AE,作者统计[[#This Row],[作者]])+COUNTIF(书库!AF:AF,作者统计[[#This Row],[作者]])+COUNTIF(书库!AG:AG,作者统计[[#This Row],[作者]])</f>
        <v>3</v>
      </c>
      <c r="E7" s="121">
        <f>SUMIF(书库!AD:AD,作者统计[[#This Row],[作者]],书库!X:X)+SUMIF(书库!AE:AE,作者统计[[#This Row],[作者]],书库!X:X)+SUMIF(书库!AF:AF,作者统计[[#This Row],[作者]],书库!X:X)+SUMIF(书库!AG:AG,作者统计[[#This Row],[作者]],书库!X:X)</f>
        <v>3</v>
      </c>
      <c r="F7" s="92">
        <f>SUMIF(书库!AD:AD,作者统计[[#This Row],[作者]],书库!T:T)+SUMIF(书库!AE:AE,作者统计[[#This Row],[作者]],书库!T:T)+SUMIF(书库!AF:AF,作者统计[[#This Row],[作者]],书库!T:T)+SUMIF(书库!AG:AG,作者统计[[#This Row],[作者]],书库!T:T)</f>
        <v>15</v>
      </c>
      <c r="G7" s="92">
        <f>F7/E7</f>
        <v>5</v>
      </c>
      <c r="H7" s="122" t="str">
        <f>ROUND(F7/(SUMIF(书库!AD:AD,作者统计[[#This Row],[作者]],书库!S:S)+SUMIF(书库!AE:AE,作者统计[[#This Row],[作者]],书库!S:S)+SUMIF(书库!AF:AF,作者统计[[#This Row],[作者]],书库!S:S)+SUMIF(书库!AG:AG,作者统计[[#This Row],[作者]],书库!S:S))*10,2)&amp;"折"</f>
        <v>1.43折</v>
      </c>
      <c r="I7" s="261" t="str">
        <f>IFERROR(MID(作者统计[[#This Row],[作者]],FIND("[",作者统计[[#This Row],[作者]],1)+1,FIND("]",作者统计[[#This Row],[作者]],1)-FIND("[",作者统计[[#This Row],[作者]],1)-1),"")</f>
        <v>苏俄</v>
      </c>
      <c r="J7" s="261" t="str">
        <f>IFERROR(MID(作者统计[[#This Row],[作者]],FIND("(",作者统计[[#This Row],[作者]],1)+1,FIND(")",作者统计[[#This Row],[作者]],1)-FIND("(",作者统计[[#This Row],[作者]],1)-1),"")</f>
        <v/>
      </c>
      <c r="L7" s="85"/>
      <c r="M7" s="121">
        <f>COUNTIF(书库!H:H,"*"&amp;原著国别统计[[#This Row],[作者国别]]&amp;"*")</f>
        <v>9</v>
      </c>
      <c r="N7" s="121">
        <f>SUMIF(书库!H:H,"*"&amp;原著国别统计[[#This Row],[作者国别]]&amp;"*",书库!X:X)</f>
        <v>8</v>
      </c>
      <c r="O7" s="92">
        <f>SUMIF(书库!H:H,"*"&amp;原著国别统计[[#This Row],[作者国别]]&amp;"*",书库!T:T)</f>
        <v>160</v>
      </c>
      <c r="P7" s="92">
        <f>原著国别统计[[#This Row],[总价]]/原著国别统计[[#This Row],[册数]]</f>
        <v>20</v>
      </c>
      <c r="Q7"/>
      <c r="R7" s="87" t="s">
        <v>193</v>
      </c>
      <c r="S7" s="280">
        <f>COUNTIF(书库!H:H,"*"&amp;中国古籍朝代统计[[#This Row],[作者朝代]]&amp;"*")</f>
        <v>1</v>
      </c>
      <c r="T7" s="280">
        <f>SUMIF(书库!H:H,"*"&amp;中国古籍朝代统计[[#This Row],[作者朝代]]&amp;"*",书库!X:X)</f>
        <v>1</v>
      </c>
      <c r="U7" s="281">
        <f>SUMIF(书库!H:H,"*"&amp;中国古籍朝代统计[[#This Row],[作者朝代]]&amp;"*",书库!T:T)</f>
        <v>5</v>
      </c>
      <c r="V7" s="281">
        <f>中国古籍朝代统计[[#This Row],[总价]]/中国古籍朝代统计[[#This Row],[册数]]</f>
        <v>5</v>
      </c>
    </row>
    <row r="8" spans="2:23" ht="18" customHeight="1" x14ac:dyDescent="0.25">
      <c r="B8" s="309">
        <v>3</v>
      </c>
      <c r="C8" s="120" t="s">
        <v>255</v>
      </c>
      <c r="D8" s="121">
        <f>COUNTIF(书库!AD:AD,作者统计[[#This Row],[作者]])+COUNTIF(书库!AE:AE,作者统计[[#This Row],[作者]])+COUNTIF(书库!AF:AF,作者统计[[#This Row],[作者]])+COUNTIF(书库!AG:AG,作者统计[[#This Row],[作者]])</f>
        <v>1</v>
      </c>
      <c r="E8" s="121">
        <f>SUMIF(书库!AD:AD,作者统计[[#This Row],[作者]],书库!X:X)+SUMIF(书库!AE:AE,作者统计[[#This Row],[作者]],书库!X:X)+SUMIF(书库!AF:AF,作者统计[[#This Row],[作者]],书库!X:X)+SUMIF(书库!AG:AG,作者统计[[#This Row],[作者]],书库!X:X)</f>
        <v>1</v>
      </c>
      <c r="F8" s="92">
        <f>SUMIF(书库!AD:AD,作者统计[[#This Row],[作者]],书库!T:T)+SUMIF(书库!AE:AE,作者统计[[#This Row],[作者]],书库!T:T)+SUMIF(书库!AF:AF,作者统计[[#This Row],[作者]],书库!T:T)+SUMIF(书库!AG:AG,作者统计[[#This Row],[作者]],书库!T:T)</f>
        <v>5</v>
      </c>
      <c r="G8" s="92">
        <f>F8/E8</f>
        <v>5</v>
      </c>
      <c r="H8" s="122" t="str">
        <f>ROUND(F8/(SUMIF(书库!AD:AD,作者统计[[#This Row],[作者]],书库!S:S)+SUMIF(书库!AE:AE,作者统计[[#This Row],[作者]],书库!S:S)+SUMIF(书库!AF:AF,作者统计[[#This Row],[作者]],书库!S:S)+SUMIF(书库!AG:AG,作者统计[[#This Row],[作者]],书库!S:S))*10,2)&amp;"折"</f>
        <v>1.43折</v>
      </c>
      <c r="I8" s="68" t="str">
        <f>IFERROR(MID(作者统计[[#This Row],[作者]],FIND("[",作者统计[[#This Row],[作者]],1)+1,FIND("]",作者统计[[#This Row],[作者]],1)-FIND("[",作者统计[[#This Row],[作者]],1)-1),"")</f>
        <v/>
      </c>
      <c r="J8" s="68" t="str">
        <f>IFERROR(MID(作者统计[[#This Row],[作者]],FIND("(",作者统计[[#This Row],[作者]],1)+1,FIND(")",作者统计[[#This Row],[作者]],1)-FIND("(",作者统计[[#This Row],[作者]],1)-1),"")</f>
        <v>汉</v>
      </c>
      <c r="L8" s="85" t="s">
        <v>52</v>
      </c>
      <c r="M8" s="121">
        <f>COUNTIF(书库!H:H,"*"&amp;原著国别统计[[#This Row],[作者国别]]&amp;"*")</f>
        <v>4</v>
      </c>
      <c r="N8" s="121">
        <f>SUMIF(书库!H:H,"*"&amp;原著国别统计[[#This Row],[作者国别]]&amp;"*",书库!X:X)</f>
        <v>4</v>
      </c>
      <c r="O8" s="92">
        <f>SUMIF(书库!H:H,"*"&amp;原著国别统计[[#This Row],[作者国别]]&amp;"*",书库!T:T)</f>
        <v>140</v>
      </c>
      <c r="P8" s="92">
        <f>原著国别统计[[#This Row],[总价]]/原著国别统计[[#This Row],[册数]]</f>
        <v>35</v>
      </c>
      <c r="Q8"/>
      <c r="R8" s="129"/>
      <c r="S8" s="91"/>
      <c r="T8" s="91"/>
      <c r="U8" s="93"/>
      <c r="V8" s="93"/>
    </row>
    <row r="9" spans="2:23" ht="18" customHeight="1" x14ac:dyDescent="0.25">
      <c r="B9" s="309"/>
      <c r="C9" s="120"/>
      <c r="D9" s="121">
        <f>COUNTIF(书库!AD:AD,作者统计[[#This Row],[作者]])+COUNTIF(书库!AE:AE,作者统计[[#This Row],[作者]])+COUNTIF(书库!AF:AF,作者统计[[#This Row],[作者]])+COUNTIF(书库!AG:AG,作者统计[[#This Row],[作者]])</f>
        <v>0</v>
      </c>
      <c r="E9" s="121">
        <f>SUMIF(书库!AD:AD,作者统计[[#This Row],[作者]],书库!X:X)+SUMIF(书库!AE:AE,作者统计[[#This Row],[作者]],书库!X:X)+SUMIF(书库!AF:AF,作者统计[[#This Row],[作者]],书库!X:X)+SUMIF(书库!AG:AG,作者统计[[#This Row],[作者]],书库!X:X)</f>
        <v>0</v>
      </c>
      <c r="F9" s="92">
        <f>SUMIF(书库!AD:AD,作者统计[[#This Row],[作者]],书库!T:T)+SUMIF(书库!AE:AE,作者统计[[#This Row],[作者]],书库!T:T)+SUMIF(书库!AF:AF,作者统计[[#This Row],[作者]],书库!T:T)+SUMIF(书库!AG:AG,作者统计[[#This Row],[作者]],书库!T:T)</f>
        <v>0</v>
      </c>
      <c r="G9" s="92" t="e">
        <f>F9/E9</f>
        <v>#DIV/0!</v>
      </c>
      <c r="H9" s="122" t="e">
        <f>ROUND(F9/(SUMIF(书库!AD:AD,作者统计[[#This Row],[作者]],书库!S:S)+SUMIF(书库!AE:AE,作者统计[[#This Row],[作者]],书库!S:S)+SUMIF(书库!AF:AF,作者统计[[#This Row],[作者]],书库!S:S)+SUMIF(书库!AG:AG,作者统计[[#This Row],[作者]],书库!S:S))*10,2)&amp;"折"</f>
        <v>#DIV/0!</v>
      </c>
      <c r="I9" s="68" t="str">
        <f>IFERROR(MID(作者统计[[#This Row],[作者]],FIND("[",作者统计[[#This Row],[作者]],1)+1,FIND("]",作者统计[[#This Row],[作者]],1)-FIND("[",作者统计[[#This Row],[作者]],1)-1),"")</f>
        <v/>
      </c>
      <c r="J9" s="68" t="str">
        <f>IFERROR(MID(作者统计[[#This Row],[作者]],FIND("(",作者统计[[#This Row],[作者]],1)+1,FIND(")",作者统计[[#This Row],[作者]],1)-FIND("(",作者统计[[#This Row],[作者]],1)-1),"")</f>
        <v/>
      </c>
      <c r="L9" s="85" t="s">
        <v>247</v>
      </c>
      <c r="M9" s="121">
        <f>COUNTIF(书库!H:H,"*"&amp;原著国别统计[[#This Row],[作者国别]]&amp;"*")</f>
        <v>3</v>
      </c>
      <c r="N9" s="121">
        <f>SUMIF(书库!H:H,"*"&amp;原著国别统计[[#This Row],[作者国别]]&amp;"*",书库!X:X)</f>
        <v>3</v>
      </c>
      <c r="O9" s="92">
        <f>SUMIF(书库!H:H,"*"&amp;原著国别统计[[#This Row],[作者国别]]&amp;"*",书库!T:T)</f>
        <v>15</v>
      </c>
      <c r="P9" s="92">
        <f>原著国别统计[[#This Row],[总价]]/原著国别统计[[#This Row],[册数]]</f>
        <v>5</v>
      </c>
      <c r="Q9"/>
      <c r="R9" s="129"/>
      <c r="S9" s="91"/>
      <c r="T9" s="91"/>
      <c r="U9" s="93"/>
      <c r="V9" s="93"/>
    </row>
    <row r="10" spans="2:23" ht="18" customHeight="1" x14ac:dyDescent="0.25">
      <c r="B10" s="85"/>
      <c r="C10" s="120"/>
      <c r="D10" s="121">
        <f>COUNTIF(书库!AD:AD,作者统计[[#This Row],[作者]])+COUNTIF(书库!AE:AE,作者统计[[#This Row],[作者]])+COUNTIF(书库!AF:AF,作者统计[[#This Row],[作者]])+COUNTIF(书库!AG:AG,作者统计[[#This Row],[作者]])</f>
        <v>0</v>
      </c>
      <c r="E10" s="121">
        <f>SUMIF(书库!AD:AD,作者统计[[#This Row],[作者]],书库!X:X)+SUMIF(书库!AE:AE,作者统计[[#This Row],[作者]],书库!X:X)+SUMIF(书库!AF:AF,作者统计[[#This Row],[作者]],书库!X:X)+SUMIF(书库!AG:AG,作者统计[[#This Row],[作者]],书库!X:X)</f>
        <v>0</v>
      </c>
      <c r="F10" s="92">
        <f>SUMIF(书库!AD:AD,作者统计[[#This Row],[作者]],书库!T:T)+SUMIF(书库!AE:AE,作者统计[[#This Row],[作者]],书库!T:T)+SUMIF(书库!AF:AF,作者统计[[#This Row],[作者]],书库!T:T)+SUMIF(书库!AG:AG,作者统计[[#This Row],[作者]],书库!T:T)</f>
        <v>0</v>
      </c>
      <c r="G10" s="92" t="e">
        <f>F10/E10</f>
        <v>#DIV/0!</v>
      </c>
      <c r="H10" s="122" t="e">
        <f>ROUND(F10/(SUMIF(书库!AD:AD,作者统计[[#This Row],[作者]],书库!S:S)+SUMIF(书库!AE:AE,作者统计[[#This Row],[作者]],书库!S:S)+SUMIF(书库!AF:AF,作者统计[[#This Row],[作者]],书库!S:S)+SUMIF(书库!AG:AG,作者统计[[#This Row],[作者]],书库!S:S))*10,2)&amp;"折"</f>
        <v>#DIV/0!</v>
      </c>
      <c r="I10" s="68" t="str">
        <f>IFERROR(MID(作者统计[[#This Row],[作者]],FIND("[",作者统计[[#This Row],[作者]],1)+1,FIND("]",作者统计[[#This Row],[作者]],1)-FIND("[",作者统计[[#This Row],[作者]],1)-1),"")</f>
        <v/>
      </c>
      <c r="J10" s="68" t="str">
        <f>IFERROR(MID(作者统计[[#This Row],[作者]],FIND("(",作者统计[[#This Row],[作者]],1)+1,FIND(")",作者统计[[#This Row],[作者]],1)-FIND("(",作者统计[[#This Row],[作者]],1)-1),"")</f>
        <v/>
      </c>
      <c r="L10" s="85"/>
      <c r="M10" s="121"/>
      <c r="N10" s="121"/>
      <c r="O10" s="92"/>
      <c r="P10" s="309"/>
      <c r="Q10"/>
      <c r="R10" s="87"/>
      <c r="S10" s="91"/>
      <c r="T10" s="91"/>
      <c r="U10" s="93"/>
      <c r="V10" s="93"/>
    </row>
    <row r="11" spans="2:23" ht="18" customHeight="1" x14ac:dyDescent="0.25">
      <c r="B11" s="85"/>
      <c r="C11" s="120"/>
      <c r="D11" s="121"/>
      <c r="E11" s="121"/>
      <c r="F11" s="92"/>
      <c r="G11" s="92"/>
      <c r="H11" s="122"/>
      <c r="I11" s="68" t="str">
        <f>IFERROR(MID(作者统计[[#This Row],[作者]],FIND("[",作者统计[[#This Row],[作者]],1)+1,FIND("]",作者统计[[#This Row],[作者]],1)-FIND("[",作者统计[[#This Row],[作者]],1)-1),"")</f>
        <v/>
      </c>
      <c r="J11" s="68" t="str">
        <f>IFERROR(MID(作者统计[[#This Row],[作者]],FIND("(",作者统计[[#This Row],[作者]],1)+1,FIND(")",作者统计[[#This Row],[作者]],1)-FIND("(",作者统计[[#This Row],[作者]],1)-1),"")</f>
        <v/>
      </c>
      <c r="L11" s="85"/>
      <c r="M11" s="121"/>
      <c r="N11" s="121"/>
      <c r="O11" s="92"/>
      <c r="P11" s="309"/>
      <c r="Q11"/>
      <c r="R11" s="129"/>
      <c r="S11" s="91"/>
      <c r="T11" s="91"/>
      <c r="U11" s="93"/>
      <c r="V11" s="93"/>
    </row>
    <row r="12" spans="2:23" ht="18" customHeight="1" x14ac:dyDescent="0.25">
      <c r="B12" s="85"/>
      <c r="C12" s="120"/>
      <c r="D12" s="121"/>
      <c r="E12" s="121"/>
      <c r="F12" s="92"/>
      <c r="G12" s="92"/>
      <c r="H12" s="122"/>
      <c r="I12" s="68" t="str">
        <f>IFERROR(MID(作者统计[[#This Row],[作者]],FIND("[",作者统计[[#This Row],[作者]],1)+1,FIND("]",作者统计[[#This Row],[作者]],1)-FIND("[",作者统计[[#This Row],[作者]],1)-1),"")</f>
        <v/>
      </c>
      <c r="J12" s="68" t="str">
        <f>IFERROR(MID(作者统计[[#This Row],[作者]],FIND("(",作者统计[[#This Row],[作者]],1)+1,FIND(")",作者统计[[#This Row],[作者]],1)-FIND("(",作者统计[[#This Row],[作者]],1)-1),"")</f>
        <v/>
      </c>
      <c r="L12" s="85"/>
      <c r="M12" s="121"/>
      <c r="N12" s="121"/>
      <c r="O12" s="92"/>
      <c r="P12" s="309"/>
      <c r="Q12"/>
      <c r="R12" s="87"/>
      <c r="S12" s="91"/>
      <c r="T12" s="91"/>
      <c r="U12" s="93"/>
      <c r="V12" s="93"/>
    </row>
    <row r="13" spans="2:23" ht="18" customHeight="1" x14ac:dyDescent="0.25">
      <c r="B13" s="309"/>
      <c r="C13" s="120"/>
      <c r="D13" s="121"/>
      <c r="E13" s="121"/>
      <c r="F13" s="92"/>
      <c r="G13" s="92"/>
      <c r="H13" s="122"/>
      <c r="I13" s="68" t="str">
        <f>IFERROR(MID(作者统计[[#This Row],[作者]],FIND("[",作者统计[[#This Row],[作者]],1)+1,FIND("]",作者统计[[#This Row],[作者]],1)-FIND("[",作者统计[[#This Row],[作者]],1)-1),"")</f>
        <v/>
      </c>
      <c r="J13" s="68" t="str">
        <f>IFERROR(MID(作者统计[[#This Row],[作者]],FIND("(",作者统计[[#This Row],[作者]],1)+1,FIND(")",作者统计[[#This Row],[作者]],1)-FIND("(",作者统计[[#This Row],[作者]],1)-1),"")</f>
        <v/>
      </c>
      <c r="L13" s="85"/>
      <c r="M13" s="121"/>
      <c r="N13" s="121"/>
      <c r="O13" s="92"/>
      <c r="P13" s="309"/>
      <c r="Q13"/>
      <c r="R13" s="87"/>
      <c r="S13" s="91"/>
      <c r="T13" s="91"/>
      <c r="U13" s="93"/>
      <c r="V13" s="93"/>
    </row>
    <row r="14" spans="2:23" ht="18" customHeight="1" x14ac:dyDescent="0.25">
      <c r="B14" s="309"/>
      <c r="C14" s="120"/>
      <c r="D14" s="121"/>
      <c r="E14" s="121"/>
      <c r="F14" s="92"/>
      <c r="G14" s="92"/>
      <c r="H14" s="122"/>
      <c r="I14" s="68" t="str">
        <f>IFERROR(MID(作者统计[[#This Row],[作者]],FIND("[",作者统计[[#This Row],[作者]],1)+1,FIND("]",作者统计[[#This Row],[作者]],1)-FIND("[",作者统计[[#This Row],[作者]],1)-1),"")</f>
        <v/>
      </c>
      <c r="J14" s="68" t="str">
        <f>IFERROR(MID(作者统计[[#This Row],[作者]],FIND("(",作者统计[[#This Row],[作者]],1)+1,FIND(")",作者统计[[#This Row],[作者]],1)-FIND("(",作者统计[[#This Row],[作者]],1)-1),"")</f>
        <v/>
      </c>
      <c r="L14" s="85"/>
      <c r="M14" s="121"/>
      <c r="N14" s="121"/>
      <c r="O14" s="92"/>
      <c r="P14" s="309"/>
      <c r="Q14"/>
      <c r="R14" s="87"/>
      <c r="S14" s="91"/>
      <c r="T14" s="91"/>
      <c r="U14" s="93"/>
      <c r="V14" s="93"/>
    </row>
    <row r="15" spans="2:23" ht="18" customHeight="1" x14ac:dyDescent="0.25">
      <c r="B15" s="85"/>
      <c r="C15" s="120"/>
      <c r="D15" s="121"/>
      <c r="E15" s="121"/>
      <c r="F15" s="92"/>
      <c r="G15" s="92"/>
      <c r="H15" s="122"/>
      <c r="I15" s="68" t="str">
        <f>IFERROR(MID(作者统计[[#This Row],[作者]],FIND("[",作者统计[[#This Row],[作者]],1)+1,FIND("]",作者统计[[#This Row],[作者]],1)-FIND("[",作者统计[[#This Row],[作者]],1)-1),"")</f>
        <v/>
      </c>
      <c r="J15" s="68" t="str">
        <f>IFERROR(MID(作者统计[[#This Row],[作者]],FIND("(",作者统计[[#This Row],[作者]],1)+1,FIND(")",作者统计[[#This Row],[作者]],1)-FIND("(",作者统计[[#This Row],[作者]],1)-1),"")</f>
        <v/>
      </c>
      <c r="L15" s="85"/>
      <c r="M15" s="121"/>
      <c r="N15" s="121"/>
      <c r="O15" s="92"/>
      <c r="P15" s="309"/>
      <c r="Q15"/>
      <c r="R15" s="87"/>
      <c r="S15" s="91"/>
      <c r="T15" s="91"/>
      <c r="U15" s="93"/>
      <c r="V15" s="93"/>
    </row>
    <row r="16" spans="2:23" ht="18" customHeight="1" x14ac:dyDescent="0.25">
      <c r="B16" s="256"/>
      <c r="C16" s="257"/>
      <c r="D16" s="258"/>
      <c r="E16" s="258"/>
      <c r="F16" s="259"/>
      <c r="G16" s="259"/>
      <c r="H16" s="260"/>
      <c r="I16" s="261" t="str">
        <f>IFERROR(MID(作者统计[[#This Row],[作者]],FIND("[",作者统计[[#This Row],[作者]],1)+1,FIND("]",作者统计[[#This Row],[作者]],1)-FIND("[",作者统计[[#This Row],[作者]],1)-1),"")</f>
        <v/>
      </c>
      <c r="J16" s="261" t="str">
        <f>IFERROR(MID(作者统计[[#This Row],[作者]],FIND("(",作者统计[[#This Row],[作者]],1)+1,FIND(")",作者统计[[#This Row],[作者]],1)-FIND("(",作者统计[[#This Row],[作者]],1)-1),"")</f>
        <v/>
      </c>
      <c r="L16" s="85"/>
      <c r="M16" s="121"/>
      <c r="N16" s="121"/>
      <c r="O16" s="92"/>
      <c r="P16" s="309"/>
      <c r="Q16"/>
      <c r="R16" s="278"/>
      <c r="S16" s="280"/>
      <c r="T16" s="280"/>
      <c r="U16" s="281"/>
      <c r="V16" s="281"/>
    </row>
    <row r="17" spans="2:23" ht="18" customHeight="1" x14ac:dyDescent="0.25">
      <c r="B17" s="85"/>
      <c r="C17" s="120"/>
      <c r="D17" s="121"/>
      <c r="E17" s="121"/>
      <c r="F17" s="92"/>
      <c r="G17" s="92"/>
      <c r="H17" s="122"/>
      <c r="I17" s="68" t="str">
        <f>IFERROR(MID(作者统计[[#This Row],[作者]],FIND("[",作者统计[[#This Row],[作者]],1)+1,FIND("]",作者统计[[#This Row],[作者]],1)-FIND("[",作者统计[[#This Row],[作者]],1)-1),"")</f>
        <v/>
      </c>
      <c r="J17" s="68" t="str">
        <f>IFERROR(MID(作者统计[[#This Row],[作者]],FIND("(",作者统计[[#This Row],[作者]],1)+1,FIND(")",作者统计[[#This Row],[作者]],1)-FIND("(",作者统计[[#This Row],[作者]],1)-1),"")</f>
        <v/>
      </c>
      <c r="L17" s="85"/>
      <c r="M17" s="121"/>
      <c r="N17" s="121"/>
      <c r="O17" s="92"/>
      <c r="P17" s="309"/>
      <c r="Q17"/>
      <c r="R17" s="87"/>
      <c r="S17" s="91"/>
      <c r="T17" s="91"/>
      <c r="U17" s="93"/>
      <c r="V17" s="93"/>
    </row>
    <row r="18" spans="2:23" ht="18" customHeight="1" x14ac:dyDescent="0.25">
      <c r="B18" s="309"/>
      <c r="C18" s="120"/>
      <c r="D18" s="121"/>
      <c r="E18" s="121"/>
      <c r="F18" s="92"/>
      <c r="G18" s="92"/>
      <c r="H18" s="122"/>
      <c r="I18" s="68" t="str">
        <f>IFERROR(MID(作者统计[[#This Row],[作者]],FIND("[",作者统计[[#This Row],[作者]],1)+1,FIND("]",作者统计[[#This Row],[作者]],1)-FIND("[",作者统计[[#This Row],[作者]],1)-1),"")</f>
        <v/>
      </c>
      <c r="J18" s="68" t="str">
        <f>IFERROR(MID(作者统计[[#This Row],[作者]],FIND("(",作者统计[[#This Row],[作者]],1)+1,FIND(")",作者统计[[#This Row],[作者]],1)-FIND("(",作者统计[[#This Row],[作者]],1)-1),"")</f>
        <v/>
      </c>
      <c r="L18" s="85"/>
      <c r="M18" s="121"/>
      <c r="N18" s="121"/>
      <c r="O18" s="92"/>
      <c r="P18" s="309"/>
      <c r="Q18"/>
      <c r="R18" s="87"/>
      <c r="S18" s="91"/>
      <c r="T18" s="91"/>
      <c r="U18" s="93"/>
      <c r="V18" s="93"/>
    </row>
    <row r="19" spans="2:23" ht="18" customHeight="1" x14ac:dyDescent="0.25">
      <c r="B19" s="85"/>
      <c r="C19" s="120"/>
      <c r="D19" s="121"/>
      <c r="E19" s="121"/>
      <c r="F19" s="92"/>
      <c r="G19" s="92"/>
      <c r="H19" s="122"/>
      <c r="I19" s="68" t="str">
        <f>IFERROR(MID(作者统计[[#This Row],[作者]],FIND("[",作者统计[[#This Row],[作者]],1)+1,FIND("]",作者统计[[#This Row],[作者]],1)-FIND("[",作者统计[[#This Row],[作者]],1)-1),"")</f>
        <v/>
      </c>
      <c r="J19" s="68" t="str">
        <f>IFERROR(MID(作者统计[[#This Row],[作者]],FIND("(",作者统计[[#This Row],[作者]],1)+1,FIND(")",作者统计[[#This Row],[作者]],1)-FIND("(",作者统计[[#This Row],[作者]],1)-1),"")</f>
        <v/>
      </c>
      <c r="L19" s="85"/>
      <c r="M19" s="121"/>
      <c r="N19" s="121"/>
      <c r="O19" s="92"/>
      <c r="P19" s="309"/>
      <c r="Q19"/>
      <c r="R19" s="87"/>
      <c r="S19" s="91"/>
      <c r="T19" s="91"/>
      <c r="U19" s="93"/>
      <c r="V19" s="93"/>
    </row>
    <row r="20" spans="2:23" ht="18" customHeight="1" x14ac:dyDescent="0.25">
      <c r="B20" s="256"/>
      <c r="C20" s="257"/>
      <c r="D20" s="258"/>
      <c r="E20" s="258"/>
      <c r="F20" s="259"/>
      <c r="G20" s="259"/>
      <c r="H20" s="260"/>
      <c r="I20" s="261" t="str">
        <f>IFERROR(MID(作者统计[[#This Row],[作者]],FIND("[",作者统计[[#This Row],[作者]],1)+1,FIND("]",作者统计[[#This Row],[作者]],1)-FIND("[",作者统计[[#This Row],[作者]],1)-1),"")</f>
        <v/>
      </c>
      <c r="J20" s="261" t="str">
        <f>IFERROR(MID(作者统计[[#This Row],[作者]],FIND("(",作者统计[[#This Row],[作者]],1)+1,FIND(")",作者统计[[#This Row],[作者]],1)-FIND("(",作者统计[[#This Row],[作者]],1)-1),"")</f>
        <v/>
      </c>
      <c r="L20" s="85"/>
      <c r="M20" s="121"/>
      <c r="N20" s="121"/>
      <c r="O20" s="92"/>
      <c r="P20" s="309"/>
      <c r="Q20"/>
      <c r="R20" s="87"/>
      <c r="S20" s="91"/>
      <c r="T20" s="91"/>
      <c r="U20" s="93"/>
      <c r="V20" s="93"/>
    </row>
    <row r="21" spans="2:23" ht="18" customHeight="1" x14ac:dyDescent="0.25">
      <c r="B21" s="85"/>
      <c r="C21" s="120"/>
      <c r="D21" s="121"/>
      <c r="E21" s="121"/>
      <c r="F21" s="92"/>
      <c r="G21" s="92"/>
      <c r="H21" s="122"/>
      <c r="I21" s="68" t="str">
        <f>IFERROR(MID(作者统计[[#This Row],[作者]],FIND("[",作者统计[[#This Row],[作者]],1)+1,FIND("]",作者统计[[#This Row],[作者]],1)-FIND("[",作者统计[[#This Row],[作者]],1)-1),"")</f>
        <v/>
      </c>
      <c r="J21" s="68" t="str">
        <f>IFERROR(MID(作者统计[[#This Row],[作者]],FIND("(",作者统计[[#This Row],[作者]],1)+1,FIND(")",作者统计[[#This Row],[作者]],1)-FIND("(",作者统计[[#This Row],[作者]],1)-1),"")</f>
        <v/>
      </c>
      <c r="L21" s="85"/>
      <c r="M21" s="121"/>
      <c r="N21" s="121"/>
      <c r="O21" s="92"/>
      <c r="P21" s="309"/>
      <c r="Q21"/>
      <c r="R21" s="87"/>
      <c r="S21" s="91"/>
      <c r="T21" s="91"/>
      <c r="U21" s="93"/>
      <c r="V21" s="93"/>
      <c r="W21"/>
    </row>
    <row r="22" spans="2:23" ht="18" customHeight="1" x14ac:dyDescent="0.25">
      <c r="B22" s="309"/>
      <c r="C22" s="120"/>
      <c r="D22" s="121"/>
      <c r="E22" s="121"/>
      <c r="F22" s="92"/>
      <c r="G22" s="92"/>
      <c r="H22" s="122"/>
      <c r="I22" s="68" t="str">
        <f>IFERROR(MID(作者统计[[#This Row],[作者]],FIND("[",作者统计[[#This Row],[作者]],1)+1,FIND("]",作者统计[[#This Row],[作者]],1)-FIND("[",作者统计[[#This Row],[作者]],1)-1),"")</f>
        <v/>
      </c>
      <c r="J22" s="68" t="str">
        <f>IFERROR(MID(作者统计[[#This Row],[作者]],FIND("(",作者统计[[#This Row],[作者]],1)+1,FIND(")",作者统计[[#This Row],[作者]],1)-FIND("(",作者统计[[#This Row],[作者]],1)-1),"")</f>
        <v/>
      </c>
      <c r="L22" s="85"/>
      <c r="M22" s="121"/>
      <c r="N22" s="121"/>
      <c r="O22" s="92"/>
      <c r="P22" s="309"/>
      <c r="Q22"/>
      <c r="R22" s="129"/>
      <c r="S22" s="91"/>
      <c r="T22" s="91"/>
      <c r="U22" s="93"/>
      <c r="V22" s="93"/>
      <c r="W22"/>
    </row>
    <row r="23" spans="2:23" ht="18" customHeight="1" x14ac:dyDescent="0.25">
      <c r="B23" s="85"/>
      <c r="C23" s="120"/>
      <c r="D23" s="121"/>
      <c r="E23" s="121"/>
      <c r="F23" s="92"/>
      <c r="G23" s="92"/>
      <c r="H23" s="122"/>
      <c r="I23" s="68" t="str">
        <f>IFERROR(MID(作者统计[[#This Row],[作者]],FIND("[",作者统计[[#This Row],[作者]],1)+1,FIND("]",作者统计[[#This Row],[作者]],1)-FIND("[",作者统计[[#This Row],[作者]],1)-1),"")</f>
        <v/>
      </c>
      <c r="J23" s="68" t="str">
        <f>IFERROR(MID(作者统计[[#This Row],[作者]],FIND("(",作者统计[[#This Row],[作者]],1)+1,FIND(")",作者统计[[#This Row],[作者]],1)-FIND("(",作者统计[[#This Row],[作者]],1)-1),"")</f>
        <v/>
      </c>
      <c r="L23" s="85"/>
      <c r="M23" s="121"/>
      <c r="N23" s="121"/>
      <c r="O23" s="92"/>
      <c r="P23" s="309"/>
      <c r="Q23"/>
      <c r="R23" s="129"/>
      <c r="S23" s="91"/>
      <c r="T23" s="91"/>
      <c r="U23" s="93"/>
      <c r="V23" s="93"/>
      <c r="W23" s="9"/>
    </row>
    <row r="24" spans="2:23" ht="18" customHeight="1" x14ac:dyDescent="0.25">
      <c r="B24" s="309"/>
      <c r="C24" s="120"/>
      <c r="D24" s="121"/>
      <c r="E24" s="121"/>
      <c r="F24" s="92"/>
      <c r="G24" s="92"/>
      <c r="H24" s="122"/>
      <c r="I24" s="68" t="str">
        <f>IFERROR(MID(作者统计[[#This Row],[作者]],FIND("[",作者统计[[#This Row],[作者]],1)+1,FIND("]",作者统计[[#This Row],[作者]],1)-FIND("[",作者统计[[#This Row],[作者]],1)-1),"")</f>
        <v/>
      </c>
      <c r="J24" s="68" t="str">
        <f>IFERROR(MID(作者统计[[#This Row],[作者]],FIND("(",作者统计[[#This Row],[作者]],1)+1,FIND(")",作者统计[[#This Row],[作者]],1)-FIND("(",作者统计[[#This Row],[作者]],1)-1),"")</f>
        <v/>
      </c>
      <c r="L24" s="85"/>
      <c r="M24" s="121"/>
      <c r="N24" s="121"/>
      <c r="O24" s="92"/>
      <c r="P24" s="309"/>
      <c r="Q24"/>
      <c r="R24" s="87"/>
      <c r="S24" s="91"/>
      <c r="T24" s="91"/>
      <c r="U24" s="93"/>
      <c r="V24" s="93"/>
      <c r="W24" s="9"/>
    </row>
    <row r="25" spans="2:23" ht="18" customHeight="1" x14ac:dyDescent="0.25">
      <c r="B25" s="309"/>
      <c r="C25" s="120"/>
      <c r="D25" s="121"/>
      <c r="E25" s="121"/>
      <c r="F25" s="92"/>
      <c r="G25" s="92"/>
      <c r="H25" s="122"/>
      <c r="I25" s="68" t="str">
        <f>IFERROR(MID(作者统计[[#This Row],[作者]],FIND("[",作者统计[[#This Row],[作者]],1)+1,FIND("]",作者统计[[#This Row],[作者]],1)-FIND("[",作者统计[[#This Row],[作者]],1)-1),"")</f>
        <v/>
      </c>
      <c r="J25" s="68" t="str">
        <f>IFERROR(MID(作者统计[[#This Row],[作者]],FIND("(",作者统计[[#This Row],[作者]],1)+1,FIND(")",作者统计[[#This Row],[作者]],1)-FIND("(",作者统计[[#This Row],[作者]],1)-1),"")</f>
        <v/>
      </c>
      <c r="L25" s="85"/>
      <c r="M25" s="121"/>
      <c r="N25" s="121"/>
      <c r="O25" s="92"/>
      <c r="P25" s="309"/>
      <c r="Q25"/>
      <c r="R25" s="87"/>
      <c r="S25" s="91"/>
      <c r="T25" s="91"/>
      <c r="U25" s="93"/>
      <c r="V25" s="93"/>
      <c r="W25" s="9"/>
    </row>
    <row r="26" spans="2:23" ht="18" customHeight="1" x14ac:dyDescent="0.25">
      <c r="B26" s="256"/>
      <c r="C26" s="257"/>
      <c r="D26" s="258"/>
      <c r="E26" s="258"/>
      <c r="F26" s="259"/>
      <c r="G26" s="259"/>
      <c r="H26" s="260"/>
      <c r="I26" s="261" t="str">
        <f>IFERROR(MID(作者统计[[#This Row],[作者]],FIND("[",作者统计[[#This Row],[作者]],1)+1,FIND("]",作者统计[[#This Row],[作者]],1)-FIND("[",作者统计[[#This Row],[作者]],1)-1),"")</f>
        <v/>
      </c>
      <c r="J26" s="261" t="str">
        <f>IFERROR(MID(作者统计[[#This Row],[作者]],FIND("(",作者统计[[#This Row],[作者]],1)+1,FIND(")",作者统计[[#This Row],[作者]],1)-FIND("(",作者统计[[#This Row],[作者]],1)-1),"")</f>
        <v/>
      </c>
      <c r="L26" s="85"/>
      <c r="M26" s="121"/>
      <c r="N26" s="121"/>
      <c r="O26" s="92"/>
      <c r="P26" s="309"/>
      <c r="Q26"/>
      <c r="R26" s="307"/>
      <c r="S26" s="91"/>
      <c r="T26" s="91"/>
      <c r="U26" s="93"/>
      <c r="V26" s="202"/>
      <c r="W26"/>
    </row>
    <row r="27" spans="2:23" ht="18" customHeight="1" x14ac:dyDescent="0.25">
      <c r="B27" s="309"/>
      <c r="C27" s="120"/>
      <c r="D27" s="121"/>
      <c r="E27" s="121"/>
      <c r="F27" s="92"/>
      <c r="G27" s="92"/>
      <c r="H27" s="122"/>
      <c r="I27" s="67" t="str">
        <f>IFERROR(MID(作者统计[[#This Row],[作者]],FIND("[",作者统计[[#This Row],[作者]],1)+1,FIND("]",作者统计[[#This Row],[作者]],1)-FIND("[",作者统计[[#This Row],[作者]],1)-1),"")</f>
        <v/>
      </c>
      <c r="J27" s="39" t="str">
        <f>IFERROR(MID(作者统计[[#This Row],[作者]],FIND("(",作者统计[[#This Row],[作者]],1)+1,FIND(")",作者统计[[#This Row],[作者]],1)-FIND("(",作者统计[[#This Row],[作者]],1)-1),"")</f>
        <v/>
      </c>
      <c r="L27" s="85"/>
      <c r="M27" s="121"/>
      <c r="N27" s="121"/>
      <c r="O27" s="92"/>
      <c r="P27" s="309"/>
      <c r="Q27" s="7"/>
      <c r="R27" s="201"/>
      <c r="S27" s="91"/>
      <c r="T27" s="91"/>
      <c r="U27" s="93"/>
      <c r="V27" s="202"/>
      <c r="W27"/>
    </row>
    <row r="28" spans="2:23" ht="18" customHeight="1" x14ac:dyDescent="0.25">
      <c r="B28" s="85"/>
      <c r="C28" s="120"/>
      <c r="D28" s="121"/>
      <c r="E28" s="121"/>
      <c r="F28" s="92"/>
      <c r="G28" s="92"/>
      <c r="H28" s="122"/>
      <c r="I28" s="68" t="str">
        <f>IFERROR(MID(作者统计[[#This Row],[作者]],FIND("[",作者统计[[#This Row],[作者]],1)+1,FIND("]",作者统计[[#This Row],[作者]],1)-FIND("[",作者统计[[#This Row],[作者]],1)-1),"")</f>
        <v/>
      </c>
      <c r="J28" s="68" t="str">
        <f>IFERROR(MID(作者统计[[#This Row],[作者]],FIND("(",作者统计[[#This Row],[作者]],1)+1,FIND(")",作者统计[[#This Row],[作者]],1)-FIND("(",作者统计[[#This Row],[作者]],1)-1),"")</f>
        <v/>
      </c>
      <c r="L28" s="85"/>
      <c r="M28" s="121"/>
      <c r="N28" s="121"/>
      <c r="O28" s="92"/>
      <c r="P28" s="309"/>
      <c r="Q28" s="7"/>
      <c r="R28" s="279"/>
      <c r="S28" s="208"/>
      <c r="T28" s="208"/>
      <c r="U28" s="209"/>
      <c r="V28" s="210"/>
      <c r="W28"/>
    </row>
    <row r="29" spans="2:23" ht="18" customHeight="1" x14ac:dyDescent="0.25">
      <c r="B29" s="256"/>
      <c r="C29" s="257"/>
      <c r="D29" s="258"/>
      <c r="E29" s="258"/>
      <c r="F29" s="259"/>
      <c r="G29" s="259"/>
      <c r="H29" s="260"/>
      <c r="I29" s="261" t="str">
        <f>IFERROR(MID(作者统计[[#This Row],[作者]],FIND("[",作者统计[[#This Row],[作者]],1)+1,FIND("]",作者统计[[#This Row],[作者]],1)-FIND("[",作者统计[[#This Row],[作者]],1)-1),"")</f>
        <v/>
      </c>
      <c r="J29" s="261" t="str">
        <f>IFERROR(MID(作者统计[[#This Row],[作者]],FIND("(",作者统计[[#This Row],[作者]],1)+1,FIND(")",作者统计[[#This Row],[作者]],1)-FIND("(",作者统计[[#This Row],[作者]],1)-1),"")</f>
        <v/>
      </c>
      <c r="L29" s="85"/>
      <c r="M29" s="121"/>
      <c r="N29" s="121"/>
      <c r="O29" s="92"/>
      <c r="P29" s="309"/>
      <c r="Q29" s="7"/>
      <c r="R29" s="279"/>
      <c r="S29" s="208"/>
      <c r="T29" s="208"/>
      <c r="U29" s="209"/>
      <c r="V29" s="210"/>
      <c r="W29"/>
    </row>
    <row r="30" spans="2:23" ht="18" customHeight="1" x14ac:dyDescent="0.25">
      <c r="B30" s="256"/>
      <c r="C30" s="257"/>
      <c r="D30" s="258"/>
      <c r="E30" s="258"/>
      <c r="F30" s="259"/>
      <c r="G30" s="259"/>
      <c r="H30" s="260"/>
      <c r="I30" s="261" t="str">
        <f>IFERROR(MID(作者统计[[#This Row],[作者]],FIND("[",作者统计[[#This Row],[作者]],1)+1,FIND("]",作者统计[[#This Row],[作者]],1)-FIND("[",作者统计[[#This Row],[作者]],1)-1),"")</f>
        <v/>
      </c>
      <c r="J30" s="261" t="str">
        <f>IFERROR(MID(作者统计[[#This Row],[作者]],FIND("(",作者统计[[#This Row],[作者]],1)+1,FIND(")",作者统计[[#This Row],[作者]],1)-FIND("(",作者统计[[#This Row],[作者]],1)-1),"")</f>
        <v/>
      </c>
      <c r="L30" s="309"/>
      <c r="M30" s="121"/>
      <c r="N30" s="121"/>
      <c r="O30" s="92"/>
      <c r="P30" s="309"/>
      <c r="Q30" s="7"/>
      <c r="R30" s="296"/>
      <c r="S30" s="297"/>
      <c r="T30" s="297"/>
      <c r="U30" s="298"/>
      <c r="V30" s="299"/>
      <c r="W30"/>
    </row>
    <row r="31" spans="2:23" ht="18" customHeight="1" x14ac:dyDescent="0.25">
      <c r="B31" s="85"/>
      <c r="C31" s="120"/>
      <c r="D31" s="121"/>
      <c r="E31" s="121"/>
      <c r="F31" s="92"/>
      <c r="G31" s="92"/>
      <c r="H31" s="122"/>
      <c r="I31" s="68" t="str">
        <f>IFERROR(MID(作者统计[[#This Row],[作者]],FIND("[",作者统计[[#This Row],[作者]],1)+1,FIND("]",作者统计[[#This Row],[作者]],1)-FIND("[",作者统计[[#This Row],[作者]],1)-1),"")</f>
        <v/>
      </c>
      <c r="J31" s="68" t="str">
        <f>IFERROR(MID(作者统计[[#This Row],[作者]],FIND("(",作者统计[[#This Row],[作者]],1)+1,FIND(")",作者统计[[#This Row],[作者]],1)-FIND("(",作者统计[[#This Row],[作者]],1)-1),"")</f>
        <v/>
      </c>
      <c r="L31" s="85"/>
      <c r="M31" s="121"/>
      <c r="N31" s="121"/>
      <c r="O31" s="92"/>
      <c r="P31" s="309"/>
      <c r="Q31" s="7"/>
      <c r="R31" s="279"/>
      <c r="S31" s="208"/>
      <c r="T31" s="208"/>
      <c r="U31" s="209"/>
      <c r="V31" s="210"/>
      <c r="W31"/>
    </row>
    <row r="32" spans="2:23" ht="18" customHeight="1" x14ac:dyDescent="0.25">
      <c r="B32" s="256"/>
      <c r="C32" s="257"/>
      <c r="D32" s="258"/>
      <c r="E32" s="258"/>
      <c r="F32" s="259"/>
      <c r="G32" s="259"/>
      <c r="H32" s="260"/>
      <c r="I32" s="261" t="str">
        <f>IFERROR(MID(作者统计[[#This Row],[作者]],FIND("[",作者统计[[#This Row],[作者]],1)+1,FIND("]",作者统计[[#This Row],[作者]],1)-FIND("[",作者统计[[#This Row],[作者]],1)-1),"")</f>
        <v/>
      </c>
      <c r="J32" s="261" t="str">
        <f>IFERROR(MID(作者统计[[#This Row],[作者]],FIND("(",作者统计[[#This Row],[作者]],1)+1,FIND(")",作者统计[[#This Row],[作者]],1)-FIND("(",作者统计[[#This Row],[作者]],1)-1),"")</f>
        <v/>
      </c>
      <c r="L32" s="85"/>
      <c r="M32" s="121"/>
      <c r="N32" s="121"/>
      <c r="O32" s="92"/>
      <c r="P32" s="309"/>
      <c r="Q32" s="7"/>
      <c r="R32" s="303"/>
      <c r="S32" s="208"/>
      <c r="T32" s="208"/>
      <c r="U32" s="209"/>
      <c r="V32" s="210"/>
      <c r="W32"/>
    </row>
    <row r="33" spans="2:23" ht="18" customHeight="1" x14ac:dyDescent="0.25">
      <c r="B33" s="309"/>
      <c r="C33" s="120"/>
      <c r="D33" s="121"/>
      <c r="E33" s="121"/>
      <c r="F33" s="92"/>
      <c r="G33" s="92"/>
      <c r="H33" s="122"/>
      <c r="I33" s="68" t="str">
        <f>IFERROR(MID(作者统计[[#This Row],[作者]],FIND("[",作者统计[[#This Row],[作者]],1)+1,FIND("]",作者统计[[#This Row],[作者]],1)-FIND("[",作者统计[[#This Row],[作者]],1)-1),"")</f>
        <v/>
      </c>
      <c r="J33" s="68" t="str">
        <f>IFERROR(MID(作者统计[[#This Row],[作者]],FIND("(",作者统计[[#This Row],[作者]],1)+1,FIND(")",作者统计[[#This Row],[作者]],1)-FIND("(",作者统计[[#This Row],[作者]],1)-1),"")</f>
        <v/>
      </c>
      <c r="L33" s="85"/>
      <c r="M33" s="121"/>
      <c r="N33" s="121"/>
      <c r="O33" s="92"/>
      <c r="P33" s="309"/>
      <c r="Q33" s="7"/>
      <c r="U33" s="5"/>
      <c r="W33" s="10"/>
    </row>
    <row r="34" spans="2:23" ht="18" customHeight="1" x14ac:dyDescent="0.25">
      <c r="B34" s="309"/>
      <c r="C34" s="120"/>
      <c r="D34" s="121"/>
      <c r="E34" s="121"/>
      <c r="F34" s="92"/>
      <c r="G34" s="92"/>
      <c r="H34" s="122"/>
      <c r="I34" s="68" t="str">
        <f>IFERROR(MID(作者统计[[#This Row],[作者]],FIND("[",作者统计[[#This Row],[作者]],1)+1,FIND("]",作者统计[[#This Row],[作者]],1)-FIND("[",作者统计[[#This Row],[作者]],1)-1),"")</f>
        <v/>
      </c>
      <c r="J34" s="68" t="str">
        <f>IFERROR(MID(作者统计[[#This Row],[作者]],FIND("(",作者统计[[#This Row],[作者]],1)+1,FIND(")",作者统计[[#This Row],[作者]],1)-FIND("(",作者统计[[#This Row],[作者]],1)-1),"")</f>
        <v/>
      </c>
      <c r="L34" s="309"/>
      <c r="M34" s="121"/>
      <c r="N34" s="121"/>
      <c r="O34" s="92"/>
      <c r="P34" s="309"/>
      <c r="Q34" s="7"/>
      <c r="U34" s="5"/>
      <c r="W34"/>
    </row>
    <row r="35" spans="2:23" ht="18" customHeight="1" x14ac:dyDescent="0.25">
      <c r="B35" s="256"/>
      <c r="C35" s="257"/>
      <c r="D35" s="258"/>
      <c r="E35" s="258"/>
      <c r="F35" s="259"/>
      <c r="G35" s="259"/>
      <c r="H35" s="260"/>
      <c r="I35" s="261" t="str">
        <f>IFERROR(MID(作者统计[[#This Row],[作者]],FIND("[",作者统计[[#This Row],[作者]],1)+1,FIND("]",作者统计[[#This Row],[作者]],1)-FIND("[",作者统计[[#This Row],[作者]],1)-1),"")</f>
        <v/>
      </c>
      <c r="J35" s="261" t="str">
        <f>IFERROR(MID(作者统计[[#This Row],[作者]],FIND("(",作者统计[[#This Row],[作者]],1)+1,FIND(")",作者统计[[#This Row],[作者]],1)-FIND("(",作者统计[[#This Row],[作者]],1)-1),"")</f>
        <v/>
      </c>
      <c r="L35" s="309"/>
      <c r="M35" s="121"/>
      <c r="N35" s="121"/>
      <c r="O35" s="92"/>
      <c r="P35" s="309"/>
      <c r="Q35" s="7"/>
      <c r="U35" s="5"/>
      <c r="W35"/>
    </row>
    <row r="36" spans="2:23" ht="18" customHeight="1" x14ac:dyDescent="0.25">
      <c r="B36" s="85"/>
      <c r="C36" s="120"/>
      <c r="D36" s="121"/>
      <c r="E36" s="121"/>
      <c r="F36" s="92"/>
      <c r="G36" s="92"/>
      <c r="H36" s="122"/>
      <c r="I36" s="68" t="str">
        <f>IFERROR(MID(作者统计[[#This Row],[作者]],FIND("[",作者统计[[#This Row],[作者]],1)+1,FIND("]",作者统计[[#This Row],[作者]],1)-FIND("[",作者统计[[#This Row],[作者]],1)-1),"")</f>
        <v/>
      </c>
      <c r="J36" s="68" t="str">
        <f>IFERROR(MID(作者统计[[#This Row],[作者]],FIND("(",作者统计[[#This Row],[作者]],1)+1,FIND(")",作者统计[[#This Row],[作者]],1)-FIND("(",作者统计[[#This Row],[作者]],1)-1),"")</f>
        <v/>
      </c>
      <c r="L36" s="309"/>
      <c r="M36" s="121"/>
      <c r="N36" s="121"/>
      <c r="O36" s="92"/>
      <c r="P36" s="309"/>
      <c r="Q36" s="7"/>
      <c r="U36" s="5"/>
      <c r="W36"/>
    </row>
    <row r="37" spans="2:23" ht="18" customHeight="1" x14ac:dyDescent="0.25">
      <c r="B37" s="309"/>
      <c r="C37" s="120"/>
      <c r="D37" s="121"/>
      <c r="E37" s="121"/>
      <c r="F37" s="92"/>
      <c r="G37" s="92"/>
      <c r="H37" s="122"/>
      <c r="I37" s="68" t="str">
        <f>IFERROR(MID(作者统计[[#This Row],[作者]],FIND("[",作者统计[[#This Row],[作者]],1)+1,FIND("]",作者统计[[#This Row],[作者]],1)-FIND("[",作者统计[[#This Row],[作者]],1)-1),"")</f>
        <v/>
      </c>
      <c r="J37" s="68" t="str">
        <f>IFERROR(MID(作者统计[[#This Row],[作者]],FIND("(",作者统计[[#This Row],[作者]],1)+1,FIND(")",作者统计[[#This Row],[作者]],1)-FIND("(",作者统计[[#This Row],[作者]],1)-1),"")</f>
        <v/>
      </c>
      <c r="L37" s="309"/>
      <c r="M37" s="121"/>
      <c r="N37" s="121"/>
      <c r="O37" s="92"/>
      <c r="P37" s="309"/>
      <c r="Q37" s="7"/>
      <c r="U37" s="5"/>
      <c r="W37"/>
    </row>
    <row r="38" spans="2:23" ht="18" customHeight="1" x14ac:dyDescent="0.25">
      <c r="B38" s="256"/>
      <c r="C38" s="257"/>
      <c r="D38" s="258"/>
      <c r="E38" s="258"/>
      <c r="F38" s="259"/>
      <c r="G38" s="259"/>
      <c r="H38" s="260"/>
      <c r="I38" s="261" t="str">
        <f>IFERROR(MID(作者统计[[#This Row],[作者]],FIND("[",作者统计[[#This Row],[作者]],1)+1,FIND("]",作者统计[[#This Row],[作者]],1)-FIND("[",作者统计[[#This Row],[作者]],1)-1),"")</f>
        <v/>
      </c>
      <c r="J38" s="261" t="str">
        <f>IFERROR(MID(作者统计[[#This Row],[作者]],FIND("(",作者统计[[#This Row],[作者]],1)+1,FIND(")",作者统计[[#This Row],[作者]],1)-FIND("(",作者统计[[#This Row],[作者]],1)-1),"")</f>
        <v/>
      </c>
      <c r="L38" s="85"/>
      <c r="M38" s="121"/>
      <c r="N38" s="121"/>
      <c r="O38" s="92"/>
      <c r="P38" s="92"/>
      <c r="Q38" s="7"/>
      <c r="U38" s="5"/>
      <c r="W38"/>
    </row>
    <row r="39" spans="2:23" ht="18" customHeight="1" x14ac:dyDescent="0.25">
      <c r="B39" s="309"/>
      <c r="C39" s="120"/>
      <c r="D39" s="121"/>
      <c r="E39" s="121"/>
      <c r="F39" s="92"/>
      <c r="G39" s="92"/>
      <c r="H39" s="122"/>
      <c r="I39" s="68" t="str">
        <f>IFERROR(MID(作者统计[[#This Row],[作者]],FIND("[",作者统计[[#This Row],[作者]],1)+1,FIND("]",作者统计[[#This Row],[作者]],1)-FIND("[",作者统计[[#This Row],[作者]],1)-1),"")</f>
        <v/>
      </c>
      <c r="J39" s="68" t="str">
        <f>IFERROR(MID(作者统计[[#This Row],[作者]],FIND("(",作者统计[[#This Row],[作者]],1)+1,FIND(")",作者统计[[#This Row],[作者]],1)-FIND("(",作者统计[[#This Row],[作者]],1)-1),"")</f>
        <v/>
      </c>
      <c r="L39" s="309"/>
      <c r="M39" s="121"/>
      <c r="N39" s="121"/>
      <c r="O39" s="92"/>
      <c r="P39" s="92"/>
      <c r="Q39" s="7"/>
      <c r="U39" s="5"/>
      <c r="W39"/>
    </row>
    <row r="40" spans="2:23" ht="18" customHeight="1" x14ac:dyDescent="0.25">
      <c r="B40" s="85"/>
      <c r="C40" s="120"/>
      <c r="D40" s="121"/>
      <c r="E40" s="121"/>
      <c r="F40" s="92"/>
      <c r="G40" s="92"/>
      <c r="H40" s="122"/>
      <c r="I40" s="68" t="str">
        <f>IFERROR(MID(作者统计[[#This Row],[作者]],FIND("[",作者统计[[#This Row],[作者]],1)+1,FIND("]",作者统计[[#This Row],[作者]],1)-FIND("[",作者统计[[#This Row],[作者]],1)-1),"")</f>
        <v/>
      </c>
      <c r="J40" s="68" t="str">
        <f>IFERROR(MID(作者统计[[#This Row],[作者]],FIND("(",作者统计[[#This Row],[作者]],1)+1,FIND(")",作者统计[[#This Row],[作者]],1)-FIND("(",作者统计[[#This Row],[作者]],1)-1),"")</f>
        <v/>
      </c>
      <c r="L40" s="85"/>
      <c r="M40" s="121"/>
      <c r="N40" s="121"/>
      <c r="O40" s="92"/>
      <c r="P40" s="92"/>
      <c r="Q40" s="7"/>
      <c r="U40" s="5"/>
      <c r="W40"/>
    </row>
    <row r="41" spans="2:23" ht="18" customHeight="1" x14ac:dyDescent="0.25">
      <c r="B41" s="309"/>
      <c r="C41" s="120"/>
      <c r="D41" s="121"/>
      <c r="E41" s="121"/>
      <c r="F41" s="92"/>
      <c r="G41" s="92"/>
      <c r="H41" s="122"/>
      <c r="I41" s="68" t="str">
        <f>IFERROR(MID(作者统计[[#This Row],[作者]],FIND("[",作者统计[[#This Row],[作者]],1)+1,FIND("]",作者统计[[#This Row],[作者]],1)-FIND("[",作者统计[[#This Row],[作者]],1)-1),"")</f>
        <v/>
      </c>
      <c r="J41" s="68" t="str">
        <f>IFERROR(MID(作者统计[[#This Row],[作者]],FIND("(",作者统计[[#This Row],[作者]],1)+1,FIND(")",作者统计[[#This Row],[作者]],1)-FIND("(",作者统计[[#This Row],[作者]],1)-1),"")</f>
        <v/>
      </c>
      <c r="L41" s="85"/>
      <c r="M41" s="121"/>
      <c r="N41" s="121"/>
      <c r="O41" s="92"/>
      <c r="P41" s="92"/>
      <c r="Q41" s="7"/>
      <c r="U41" s="5"/>
      <c r="W41"/>
    </row>
    <row r="42" spans="2:23" ht="18" customHeight="1" x14ac:dyDescent="0.25">
      <c r="B42" s="256"/>
      <c r="C42" s="257"/>
      <c r="D42" s="258"/>
      <c r="E42" s="258"/>
      <c r="F42" s="259"/>
      <c r="G42" s="259"/>
      <c r="H42" s="260"/>
      <c r="I42" s="261" t="str">
        <f>IFERROR(MID(作者统计[[#This Row],[作者]],FIND("[",作者统计[[#This Row],[作者]],1)+1,FIND("]",作者统计[[#This Row],[作者]],1)-FIND("[",作者统计[[#This Row],[作者]],1)-1),"")</f>
        <v/>
      </c>
      <c r="J42" s="261" t="str">
        <f>IFERROR(MID(作者统计[[#This Row],[作者]],FIND("(",作者统计[[#This Row],[作者]],1)+1,FIND(")",作者统计[[#This Row],[作者]],1)-FIND("(",作者统计[[#This Row],[作者]],1)-1),"")</f>
        <v/>
      </c>
      <c r="L42" s="344"/>
      <c r="M42" s="121"/>
      <c r="N42" s="121"/>
      <c r="O42" s="92"/>
      <c r="P42" s="189"/>
      <c r="Q42" s="7"/>
      <c r="U42" s="5"/>
      <c r="W42"/>
    </row>
    <row r="43" spans="2:23" ht="18" customHeight="1" x14ac:dyDescent="0.25">
      <c r="B43" s="309"/>
      <c r="C43" s="120"/>
      <c r="D43" s="121"/>
      <c r="E43" s="121"/>
      <c r="F43" s="92"/>
      <c r="G43" s="92"/>
      <c r="H43" s="122"/>
      <c r="I43" s="68" t="str">
        <f>IFERROR(MID(作者统计[[#This Row],[作者]],FIND("[",作者统计[[#This Row],[作者]],1)+1,FIND("]",作者统计[[#This Row],[作者]],1)-FIND("[",作者统计[[#This Row],[作者]],1)-1),"")</f>
        <v/>
      </c>
      <c r="J43" s="68" t="str">
        <f>IFERROR(MID(作者统计[[#This Row],[作者]],FIND("(",作者统计[[#This Row],[作者]],1)+1,FIND(")",作者统计[[#This Row],[作者]],1)-FIND("(",作者统计[[#This Row],[作者]],1)-1),"")</f>
        <v/>
      </c>
      <c r="L43" s="344"/>
      <c r="M43" s="121"/>
      <c r="N43" s="121"/>
      <c r="O43" s="92"/>
      <c r="P43" s="189"/>
      <c r="Q43" s="7"/>
      <c r="U43" s="5"/>
      <c r="W43"/>
    </row>
    <row r="44" spans="2:23" ht="18" customHeight="1" x14ac:dyDescent="0.25">
      <c r="B44" s="309"/>
      <c r="C44" s="120"/>
      <c r="D44" s="121"/>
      <c r="E44" s="121"/>
      <c r="F44" s="92"/>
      <c r="G44" s="92"/>
      <c r="H44" s="122"/>
      <c r="I44" s="68" t="str">
        <f>IFERROR(MID(作者统计[[#This Row],[作者]],FIND("[",作者统计[[#This Row],[作者]],1)+1,FIND("]",作者统计[[#This Row],[作者]],1)-FIND("[",作者统计[[#This Row],[作者]],1)-1),"")</f>
        <v/>
      </c>
      <c r="J44" s="68" t="str">
        <f>IFERROR(MID(作者统计[[#This Row],[作者]],FIND("(",作者统计[[#This Row],[作者]],1)+1,FIND(")",作者统计[[#This Row],[作者]],1)-FIND("(",作者统计[[#This Row],[作者]],1)-1),"")</f>
        <v/>
      </c>
      <c r="L44" s="192"/>
      <c r="M44" s="181"/>
      <c r="N44" s="121"/>
      <c r="O44" s="182"/>
      <c r="P44" s="217"/>
      <c r="U44" s="5"/>
      <c r="W44"/>
    </row>
    <row r="45" spans="2:23" ht="18" customHeight="1" x14ac:dyDescent="0.25">
      <c r="B45" s="256"/>
      <c r="C45" s="257"/>
      <c r="D45" s="258"/>
      <c r="E45" s="258"/>
      <c r="F45" s="259"/>
      <c r="G45" s="259"/>
      <c r="H45" s="260"/>
      <c r="I45" s="261" t="str">
        <f>IFERROR(MID(作者统计[[#This Row],[作者]],FIND("[",作者统计[[#This Row],[作者]],1)+1,FIND("]",作者统计[[#This Row],[作者]],1)-FIND("[",作者统计[[#This Row],[作者]],1)-1),"")</f>
        <v/>
      </c>
      <c r="J45" s="261" t="str">
        <f>IFERROR(MID(作者统计[[#This Row],[作者]],FIND("(",作者统计[[#This Row],[作者]],1)+1,FIND(")",作者统计[[#This Row],[作者]],1)-FIND("(",作者统计[[#This Row],[作者]],1)-1),"")</f>
        <v/>
      </c>
      <c r="L45" s="268"/>
      <c r="M45" s="264"/>
      <c r="N45" s="258"/>
      <c r="O45" s="265"/>
      <c r="P45" s="269"/>
      <c r="U45" s="5"/>
      <c r="W45"/>
    </row>
    <row r="46" spans="2:23" ht="18" customHeight="1" x14ac:dyDescent="0.25">
      <c r="B46" s="85"/>
      <c r="C46" s="120"/>
      <c r="D46" s="121"/>
      <c r="E46" s="121"/>
      <c r="F46" s="92"/>
      <c r="G46" s="92"/>
      <c r="H46" s="122"/>
      <c r="I46" s="68" t="str">
        <f>IFERROR(MID(作者统计[[#This Row],[作者]],FIND("[",作者统计[[#This Row],[作者]],1)+1,FIND("]",作者统计[[#This Row],[作者]],1)-FIND("[",作者统计[[#This Row],[作者]],1)-1),"")</f>
        <v/>
      </c>
      <c r="J46" s="68" t="str">
        <f>IFERROR(MID(作者统计[[#This Row],[作者]],FIND("(",作者统计[[#This Row],[作者]],1)+1,FIND(")",作者统计[[#This Row],[作者]],1)-FIND("(",作者统计[[#This Row],[作者]],1)-1),"")</f>
        <v/>
      </c>
      <c r="L46" s="268"/>
      <c r="M46" s="264"/>
      <c r="N46" s="264"/>
      <c r="O46" s="265"/>
      <c r="P46" s="269"/>
      <c r="U46" s="5"/>
      <c r="W46"/>
    </row>
    <row r="47" spans="2:23" ht="18" customHeight="1" x14ac:dyDescent="0.25">
      <c r="B47" s="256"/>
      <c r="C47" s="257"/>
      <c r="D47" s="258"/>
      <c r="E47" s="258"/>
      <c r="F47" s="259"/>
      <c r="G47" s="259"/>
      <c r="H47" s="260"/>
      <c r="I47" s="261" t="str">
        <f>IFERROR(MID(作者统计[[#This Row],[作者]],FIND("[",作者统计[[#This Row],[作者]],1)+1,FIND("]",作者统计[[#This Row],[作者]],1)-FIND("[",作者统计[[#This Row],[作者]],1)-1),"")</f>
        <v/>
      </c>
      <c r="J47" s="261" t="str">
        <f>IFERROR(MID(作者统计[[#This Row],[作者]],FIND("(",作者统计[[#This Row],[作者]],1)+1,FIND(")",作者统计[[#This Row],[作者]],1)-FIND("(",作者统计[[#This Row],[作者]],1)-1),"")</f>
        <v/>
      </c>
      <c r="L47" s="270"/>
      <c r="M47" s="258"/>
      <c r="N47" s="258"/>
      <c r="O47" s="259"/>
      <c r="P47" s="271"/>
      <c r="U47" s="5"/>
      <c r="W47"/>
    </row>
    <row r="48" spans="2:23" ht="18" customHeight="1" x14ac:dyDescent="0.25">
      <c r="B48" s="256"/>
      <c r="C48" s="257"/>
      <c r="D48" s="258"/>
      <c r="E48" s="258"/>
      <c r="F48" s="259"/>
      <c r="G48" s="259"/>
      <c r="H48" s="260"/>
      <c r="I48" s="261" t="str">
        <f>IFERROR(MID(作者统计[[#This Row],[作者]],FIND("[",作者统计[[#This Row],[作者]],1)+1,FIND("]",作者统计[[#This Row],[作者]],1)-FIND("[",作者统计[[#This Row],[作者]],1)-1),"")</f>
        <v/>
      </c>
      <c r="J48" s="261" t="str">
        <f>IFERROR(MID(作者统计[[#This Row],[作者]],FIND("(",作者统计[[#This Row],[作者]],1)+1,FIND(")",作者统计[[#This Row],[作者]],1)-FIND("(",作者统计[[#This Row],[作者]],1)-1),"")</f>
        <v/>
      </c>
      <c r="L48" s="270"/>
      <c r="M48" s="258"/>
      <c r="N48" s="258"/>
      <c r="O48" s="259"/>
      <c r="P48" s="271"/>
      <c r="U48" s="5"/>
      <c r="W48"/>
    </row>
    <row r="49" spans="2:23" ht="18" customHeight="1" x14ac:dyDescent="0.25">
      <c r="B49" s="309"/>
      <c r="C49" s="120"/>
      <c r="D49" s="121"/>
      <c r="E49" s="121"/>
      <c r="F49" s="92"/>
      <c r="G49" s="92"/>
      <c r="H49" s="122"/>
      <c r="I49" s="68" t="str">
        <f>IFERROR(MID(作者统计[[#This Row],[作者]],FIND("[",作者统计[[#This Row],[作者]],1)+1,FIND("]",作者统计[[#This Row],[作者]],1)-FIND("[",作者统计[[#This Row],[作者]],1)-1),"")</f>
        <v/>
      </c>
      <c r="J49" s="68" t="str">
        <f>IFERROR(MID(作者统计[[#This Row],[作者]],FIND("(",作者统计[[#This Row],[作者]],1)+1,FIND(")",作者统计[[#This Row],[作者]],1)-FIND("(",作者统计[[#This Row],[作者]],1)-1),"")</f>
        <v/>
      </c>
      <c r="L49" s="268"/>
      <c r="M49" s="264"/>
      <c r="N49" s="264"/>
      <c r="O49" s="265"/>
      <c r="P49" s="269"/>
      <c r="U49" s="5"/>
      <c r="W49"/>
    </row>
    <row r="50" spans="2:23" ht="18" customHeight="1" x14ac:dyDescent="0.25">
      <c r="B50" s="309"/>
      <c r="C50" s="120"/>
      <c r="D50" s="121"/>
      <c r="E50" s="121"/>
      <c r="F50" s="92"/>
      <c r="G50" s="92"/>
      <c r="H50" s="122"/>
      <c r="I50" s="68" t="str">
        <f>IFERROR(MID(作者统计[[#This Row],[作者]],FIND("[",作者统计[[#This Row],[作者]],1)+1,FIND("]",作者统计[[#This Row],[作者]],1)-FIND("[",作者统计[[#This Row],[作者]],1)-1),"")</f>
        <v/>
      </c>
      <c r="J50" s="68" t="str">
        <f>IFERROR(MID(作者统计[[#This Row],[作者]],FIND("(",作者统计[[#This Row],[作者]],1)+1,FIND(")",作者统计[[#This Row],[作者]],1)-FIND("(",作者统计[[#This Row],[作者]],1)-1),"")</f>
        <v/>
      </c>
      <c r="L50" s="268"/>
      <c r="M50" s="264"/>
      <c r="N50" s="264"/>
      <c r="O50" s="265"/>
      <c r="P50" s="269"/>
      <c r="U50" s="5"/>
      <c r="W50"/>
    </row>
    <row r="51" spans="2:23" ht="18" customHeight="1" x14ac:dyDescent="0.25">
      <c r="B51" s="309"/>
      <c r="C51" s="120"/>
      <c r="D51" s="121"/>
      <c r="E51" s="121"/>
      <c r="F51" s="92"/>
      <c r="G51" s="92"/>
      <c r="H51" s="122"/>
      <c r="I51" s="68" t="str">
        <f>IFERROR(MID(作者统计[[#This Row],[作者]],FIND("[",作者统计[[#This Row],[作者]],1)+1,FIND("]",作者统计[[#This Row],[作者]],1)-FIND("[",作者统计[[#This Row],[作者]],1)-1),"")</f>
        <v/>
      </c>
      <c r="J51" s="68" t="str">
        <f>IFERROR(MID(作者统计[[#This Row],[作者]],FIND("(",作者统计[[#This Row],[作者]],1)+1,FIND(")",作者统计[[#This Row],[作者]],1)-FIND("(",作者统计[[#This Row],[作者]],1)-1),"")</f>
        <v/>
      </c>
      <c r="L51" s="268"/>
      <c r="M51" s="264"/>
      <c r="N51" s="264"/>
      <c r="O51" s="265"/>
      <c r="P51" s="269"/>
      <c r="U51" s="5"/>
      <c r="W51"/>
    </row>
    <row r="52" spans="2:23" ht="18" customHeight="1" x14ac:dyDescent="0.25">
      <c r="B52" s="309"/>
      <c r="C52" s="120"/>
      <c r="D52" s="121"/>
      <c r="E52" s="121"/>
      <c r="F52" s="92"/>
      <c r="G52" s="92"/>
      <c r="H52" s="122"/>
      <c r="I52" s="68" t="str">
        <f>IFERROR(MID(作者统计[[#This Row],[作者]],FIND("[",作者统计[[#This Row],[作者]],1)+1,FIND("]",作者统计[[#This Row],[作者]],1)-FIND("[",作者统计[[#This Row],[作者]],1)-1),"")</f>
        <v/>
      </c>
      <c r="J52" s="68" t="str">
        <f>IFERROR(MID(作者统计[[#This Row],[作者]],FIND("(",作者统计[[#This Row],[作者]],1)+1,FIND(")",作者统计[[#This Row],[作者]],1)-FIND("(",作者统计[[#This Row],[作者]],1)-1),"")</f>
        <v/>
      </c>
      <c r="L52" s="270"/>
      <c r="M52" s="258"/>
      <c r="N52" s="258"/>
      <c r="O52" s="259"/>
      <c r="P52" s="271"/>
      <c r="U52" s="5"/>
      <c r="W52"/>
    </row>
    <row r="53" spans="2:23" ht="18" customHeight="1" x14ac:dyDescent="0.25">
      <c r="B53" s="85"/>
      <c r="C53" s="120"/>
      <c r="D53" s="121"/>
      <c r="E53" s="121"/>
      <c r="F53" s="92"/>
      <c r="G53" s="92"/>
      <c r="H53" s="122"/>
      <c r="I53" s="68" t="str">
        <f>IFERROR(MID(作者统计[[#This Row],[作者]],FIND("[",作者统计[[#This Row],[作者]],1)+1,FIND("]",作者统计[[#This Row],[作者]],1)-FIND("[",作者统计[[#This Row],[作者]],1)-1),"")</f>
        <v/>
      </c>
      <c r="J53" s="68" t="str">
        <f>IFERROR(MID(作者统计[[#This Row],[作者]],FIND("(",作者统计[[#This Row],[作者]],1)+1,FIND(")",作者统计[[#This Row],[作者]],1)-FIND("(",作者统计[[#This Row],[作者]],1)-1),"")</f>
        <v/>
      </c>
      <c r="L53" s="268"/>
      <c r="M53" s="264"/>
      <c r="N53" s="264"/>
      <c r="O53" s="265"/>
      <c r="P53" s="269"/>
      <c r="U53" s="5"/>
      <c r="W53"/>
    </row>
    <row r="54" spans="2:23" ht="18" customHeight="1" x14ac:dyDescent="0.25">
      <c r="B54" s="85"/>
      <c r="C54" s="120"/>
      <c r="D54" s="121"/>
      <c r="E54" s="121"/>
      <c r="F54" s="92"/>
      <c r="G54" s="92"/>
      <c r="H54" s="122"/>
      <c r="I54" s="68" t="str">
        <f>IFERROR(MID(作者统计[[#This Row],[作者]],FIND("[",作者统计[[#This Row],[作者]],1)+1,FIND("]",作者统计[[#This Row],[作者]],1)-FIND("[",作者统计[[#This Row],[作者]],1)-1),"")</f>
        <v/>
      </c>
      <c r="J54" s="68" t="str">
        <f>IFERROR(MID(作者统计[[#This Row],[作者]],FIND("(",作者统计[[#This Row],[作者]],1)+1,FIND(")",作者统计[[#This Row],[作者]],1)-FIND("(",作者统计[[#This Row],[作者]],1)-1),"")</f>
        <v/>
      </c>
      <c r="L54" s="268"/>
      <c r="M54" s="264"/>
      <c r="N54" s="264"/>
      <c r="O54" s="265"/>
      <c r="P54" s="269"/>
      <c r="U54" s="5"/>
      <c r="W54"/>
    </row>
    <row r="55" spans="2:23" ht="18" customHeight="1" x14ac:dyDescent="0.25">
      <c r="B55" s="309"/>
      <c r="C55" s="120"/>
      <c r="D55" s="121"/>
      <c r="E55" s="121"/>
      <c r="F55" s="92"/>
      <c r="G55" s="92"/>
      <c r="H55" s="122"/>
      <c r="I55" s="68" t="str">
        <f>IFERROR(MID(作者统计[[#This Row],[作者]],FIND("[",作者统计[[#This Row],[作者]],1)+1,FIND("]",作者统计[[#This Row],[作者]],1)-FIND("[",作者统计[[#This Row],[作者]],1)-1),"")</f>
        <v/>
      </c>
      <c r="J55" s="68" t="str">
        <f>IFERROR(MID(作者统计[[#This Row],[作者]],FIND("(",作者统计[[#This Row],[作者]],1)+1,FIND(")",作者统计[[#This Row],[作者]],1)-FIND("(",作者统计[[#This Row],[作者]],1)-1),"")</f>
        <v/>
      </c>
      <c r="L55" s="192"/>
      <c r="M55" s="419"/>
      <c r="N55" s="419"/>
      <c r="O55" s="182"/>
      <c r="P55" s="217"/>
      <c r="U55" s="5"/>
      <c r="W55"/>
    </row>
    <row r="56" spans="2:23" ht="18" customHeight="1" x14ac:dyDescent="0.25">
      <c r="B56" s="309"/>
      <c r="C56" s="120"/>
      <c r="D56" s="121"/>
      <c r="E56" s="121"/>
      <c r="F56" s="92"/>
      <c r="G56" s="92"/>
      <c r="H56" s="122"/>
      <c r="I56" s="68" t="str">
        <f>IFERROR(MID(作者统计[[#This Row],[作者]],FIND("[",作者统计[[#This Row],[作者]],1)+1,FIND("]",作者统计[[#This Row],[作者]],1)-FIND("[",作者统计[[#This Row],[作者]],1)-1),"")</f>
        <v/>
      </c>
      <c r="J56" s="68" t="str">
        <f>IFERROR(MID(作者统计[[#This Row],[作者]],FIND("(",作者统计[[#This Row],[作者]],1)+1,FIND(")",作者统计[[#This Row],[作者]],1)-FIND("(",作者统计[[#This Row],[作者]],1)-1),"")</f>
        <v/>
      </c>
      <c r="L56" s="6"/>
      <c r="M56" s="5"/>
      <c r="U56" s="5"/>
      <c r="W56"/>
    </row>
    <row r="57" spans="2:23" ht="18" customHeight="1" x14ac:dyDescent="0.25">
      <c r="B57" s="309"/>
      <c r="C57" s="120"/>
      <c r="D57" s="121"/>
      <c r="E57" s="121"/>
      <c r="F57" s="92"/>
      <c r="G57" s="92"/>
      <c r="H57" s="122"/>
      <c r="I57" s="68" t="str">
        <f>IFERROR(MID(作者统计[[#This Row],[作者]],FIND("[",作者统计[[#This Row],[作者]],1)+1,FIND("]",作者统计[[#This Row],[作者]],1)-FIND("[",作者统计[[#This Row],[作者]],1)-1),"")</f>
        <v/>
      </c>
      <c r="J57" s="68" t="str">
        <f>IFERROR(MID(作者统计[[#This Row],[作者]],FIND("(",作者统计[[#This Row],[作者]],1)+1,FIND(")",作者统计[[#This Row],[作者]],1)-FIND("(",作者统计[[#This Row],[作者]],1)-1),"")</f>
        <v/>
      </c>
      <c r="L57" s="6"/>
      <c r="M57" s="5"/>
      <c r="U57" s="5"/>
      <c r="W57"/>
    </row>
    <row r="58" spans="2:23" ht="18" customHeight="1" x14ac:dyDescent="0.25">
      <c r="B58" s="85"/>
      <c r="C58" s="120"/>
      <c r="D58" s="121"/>
      <c r="E58" s="121"/>
      <c r="F58" s="92"/>
      <c r="G58" s="92"/>
      <c r="H58" s="122"/>
      <c r="I58" s="68" t="str">
        <f>IFERROR(MID(作者统计[[#This Row],[作者]],FIND("[",作者统计[[#This Row],[作者]],1)+1,FIND("]",作者统计[[#This Row],[作者]],1)-FIND("[",作者统计[[#This Row],[作者]],1)-1),"")</f>
        <v/>
      </c>
      <c r="J58" s="68" t="str">
        <f>IFERROR(MID(作者统计[[#This Row],[作者]],FIND("(",作者统计[[#This Row],[作者]],1)+1,FIND(")",作者统计[[#This Row],[作者]],1)-FIND("(",作者统计[[#This Row],[作者]],1)-1),"")</f>
        <v/>
      </c>
      <c r="L58" s="6"/>
      <c r="M58" s="5"/>
      <c r="U58" s="5"/>
      <c r="W58"/>
    </row>
    <row r="59" spans="2:23" ht="18" customHeight="1" x14ac:dyDescent="0.25">
      <c r="B59" s="85"/>
      <c r="C59" s="120"/>
      <c r="D59" s="121"/>
      <c r="E59" s="121"/>
      <c r="F59" s="92"/>
      <c r="G59" s="92"/>
      <c r="H59" s="122"/>
      <c r="I59" s="68" t="str">
        <f>IFERROR(MID(作者统计[[#This Row],[作者]],FIND("[",作者统计[[#This Row],[作者]],1)+1,FIND("]",作者统计[[#This Row],[作者]],1)-FIND("[",作者统计[[#This Row],[作者]],1)-1),"")</f>
        <v/>
      </c>
      <c r="J59" s="68" t="str">
        <f>IFERROR(MID(作者统计[[#This Row],[作者]],FIND("(",作者统计[[#This Row],[作者]],1)+1,FIND(")",作者统计[[#This Row],[作者]],1)-FIND("(",作者统计[[#This Row],[作者]],1)-1),"")</f>
        <v/>
      </c>
      <c r="L59" s="6"/>
      <c r="M59" s="5"/>
      <c r="U59" s="5"/>
      <c r="W59"/>
    </row>
    <row r="60" spans="2:23" ht="18" customHeight="1" x14ac:dyDescent="0.25">
      <c r="B60" s="256"/>
      <c r="C60" s="257"/>
      <c r="D60" s="258"/>
      <c r="E60" s="258"/>
      <c r="F60" s="259"/>
      <c r="G60" s="259"/>
      <c r="H60" s="260"/>
      <c r="I60" s="261" t="str">
        <f>IFERROR(MID(作者统计[[#This Row],[作者]],FIND("[",作者统计[[#This Row],[作者]],1)+1,FIND("]",作者统计[[#This Row],[作者]],1)-FIND("[",作者统计[[#This Row],[作者]],1)-1),"")</f>
        <v/>
      </c>
      <c r="J60" s="261" t="str">
        <f>IFERROR(MID(作者统计[[#This Row],[作者]],FIND("(",作者统计[[#This Row],[作者]],1)+1,FIND(")",作者统计[[#This Row],[作者]],1)-FIND("(",作者统计[[#This Row],[作者]],1)-1),"")</f>
        <v/>
      </c>
      <c r="L60" s="6"/>
      <c r="M60" s="5"/>
      <c r="U60" s="5"/>
      <c r="W60"/>
    </row>
    <row r="61" spans="2:23" ht="18" customHeight="1" x14ac:dyDescent="0.25">
      <c r="B61" s="85"/>
      <c r="C61" s="120"/>
      <c r="D61" s="121"/>
      <c r="E61" s="121"/>
      <c r="F61" s="92"/>
      <c r="G61" s="92"/>
      <c r="H61" s="122"/>
      <c r="I61" s="68" t="str">
        <f>IFERROR(MID(作者统计[[#This Row],[作者]],FIND("[",作者统计[[#This Row],[作者]],1)+1,FIND("]",作者统计[[#This Row],[作者]],1)-FIND("[",作者统计[[#This Row],[作者]],1)-1),"")</f>
        <v/>
      </c>
      <c r="J61" s="68" t="str">
        <f>IFERROR(MID(作者统计[[#This Row],[作者]],FIND("(",作者统计[[#This Row],[作者]],1)+1,FIND(")",作者统计[[#This Row],[作者]],1)-FIND("(",作者统计[[#This Row],[作者]],1)-1),"")</f>
        <v/>
      </c>
      <c r="L61" s="6"/>
      <c r="M61" s="5"/>
      <c r="U61" s="5"/>
      <c r="W61"/>
    </row>
    <row r="62" spans="2:23" ht="18" customHeight="1" x14ac:dyDescent="0.25">
      <c r="B62" s="256"/>
      <c r="C62" s="257"/>
      <c r="D62" s="258"/>
      <c r="E62" s="258"/>
      <c r="F62" s="259"/>
      <c r="G62" s="259"/>
      <c r="H62" s="260"/>
      <c r="I62" s="261" t="str">
        <f>IFERROR(MID(作者统计[[#This Row],[作者]],FIND("[",作者统计[[#This Row],[作者]],1)+1,FIND("]",作者统计[[#This Row],[作者]],1)-FIND("[",作者统计[[#This Row],[作者]],1)-1),"")</f>
        <v/>
      </c>
      <c r="J62" s="261" t="str">
        <f>IFERROR(MID(作者统计[[#This Row],[作者]],FIND("(",作者统计[[#This Row],[作者]],1)+1,FIND(")",作者统计[[#This Row],[作者]],1)-FIND("(",作者统计[[#This Row],[作者]],1)-1),"")</f>
        <v/>
      </c>
      <c r="L62" s="6"/>
      <c r="M62" s="5"/>
      <c r="U62" s="5"/>
      <c r="W62"/>
    </row>
    <row r="63" spans="2:23" ht="18" customHeight="1" x14ac:dyDescent="0.25">
      <c r="B63" s="256"/>
      <c r="C63" s="257"/>
      <c r="D63" s="258"/>
      <c r="E63" s="258"/>
      <c r="F63" s="259"/>
      <c r="G63" s="259"/>
      <c r="H63" s="260"/>
      <c r="I63" s="261" t="str">
        <f>IFERROR(MID(作者统计[[#This Row],[作者]],FIND("[",作者统计[[#This Row],[作者]],1)+1,FIND("]",作者统计[[#This Row],[作者]],1)-FIND("[",作者统计[[#This Row],[作者]],1)-1),"")</f>
        <v/>
      </c>
      <c r="J63" s="261" t="str">
        <f>IFERROR(MID(作者统计[[#This Row],[作者]],FIND("(",作者统计[[#This Row],[作者]],1)+1,FIND(")",作者统计[[#This Row],[作者]],1)-FIND("(",作者统计[[#This Row],[作者]],1)-1),"")</f>
        <v/>
      </c>
      <c r="L63" s="6"/>
      <c r="M63" s="5"/>
      <c r="U63" s="5"/>
      <c r="W63"/>
    </row>
    <row r="64" spans="2:23" ht="18" customHeight="1" x14ac:dyDescent="0.25">
      <c r="B64" s="256"/>
      <c r="C64" s="257"/>
      <c r="D64" s="258"/>
      <c r="E64" s="258"/>
      <c r="F64" s="259"/>
      <c r="G64" s="259"/>
      <c r="H64" s="260"/>
      <c r="I64" s="261" t="str">
        <f>IFERROR(MID(作者统计[[#This Row],[作者]],FIND("[",作者统计[[#This Row],[作者]],1)+1,FIND("]",作者统计[[#This Row],[作者]],1)-FIND("[",作者统计[[#This Row],[作者]],1)-1),"")</f>
        <v/>
      </c>
      <c r="J64" s="261" t="str">
        <f>IFERROR(MID(作者统计[[#This Row],[作者]],FIND("(",作者统计[[#This Row],[作者]],1)+1,FIND(")",作者统计[[#This Row],[作者]],1)-FIND("(",作者统计[[#This Row],[作者]],1)-1),"")</f>
        <v/>
      </c>
      <c r="L64" s="6"/>
      <c r="M64" s="5"/>
      <c r="U64" s="5"/>
      <c r="W64"/>
    </row>
    <row r="65" spans="2:23" ht="18" customHeight="1" x14ac:dyDescent="0.25">
      <c r="B65" s="85"/>
      <c r="C65" s="120"/>
      <c r="D65" s="121"/>
      <c r="E65" s="121"/>
      <c r="F65" s="92"/>
      <c r="G65" s="92"/>
      <c r="H65" s="122"/>
      <c r="I65" s="68" t="str">
        <f>IFERROR(MID(作者统计[[#This Row],[作者]],FIND("[",作者统计[[#This Row],[作者]],1)+1,FIND("]",作者统计[[#This Row],[作者]],1)-FIND("[",作者统计[[#This Row],[作者]],1)-1),"")</f>
        <v/>
      </c>
      <c r="J65" s="68" t="str">
        <f>IFERROR(MID(作者统计[[#This Row],[作者]],FIND("(",作者统计[[#This Row],[作者]],1)+1,FIND(")",作者统计[[#This Row],[作者]],1)-FIND("(",作者统计[[#This Row],[作者]],1)-1),"")</f>
        <v/>
      </c>
      <c r="L65" s="6"/>
      <c r="M65" s="5"/>
      <c r="U65" s="5"/>
      <c r="W65"/>
    </row>
    <row r="66" spans="2:23" ht="18" customHeight="1" x14ac:dyDescent="0.25">
      <c r="B66" s="256"/>
      <c r="C66" s="257"/>
      <c r="D66" s="258"/>
      <c r="E66" s="258"/>
      <c r="F66" s="259"/>
      <c r="G66" s="259"/>
      <c r="H66" s="260"/>
      <c r="I66" s="261" t="str">
        <f>IFERROR(MID(作者统计[[#This Row],[作者]],FIND("[",作者统计[[#This Row],[作者]],1)+1,FIND("]",作者统计[[#This Row],[作者]],1)-FIND("[",作者统计[[#This Row],[作者]],1)-1),"")</f>
        <v/>
      </c>
      <c r="J66" s="261" t="str">
        <f>IFERROR(MID(作者统计[[#This Row],[作者]],FIND("(",作者统计[[#This Row],[作者]],1)+1,FIND(")",作者统计[[#This Row],[作者]],1)-FIND("(",作者统计[[#This Row],[作者]],1)-1),"")</f>
        <v/>
      </c>
      <c r="L66" s="6"/>
      <c r="M66" s="5"/>
      <c r="U66" s="5"/>
      <c r="W66"/>
    </row>
    <row r="67" spans="2:23" ht="18" customHeight="1" x14ac:dyDescent="0.25">
      <c r="B67" s="85"/>
      <c r="C67" s="120"/>
      <c r="D67" s="121"/>
      <c r="E67" s="121"/>
      <c r="F67" s="92"/>
      <c r="G67" s="92"/>
      <c r="H67" s="122"/>
      <c r="I67" s="68" t="str">
        <f>IFERROR(MID(作者统计[[#This Row],[作者]],FIND("[",作者统计[[#This Row],[作者]],1)+1,FIND("]",作者统计[[#This Row],[作者]],1)-FIND("[",作者统计[[#This Row],[作者]],1)-1),"")</f>
        <v/>
      </c>
      <c r="J67" s="68" t="str">
        <f>IFERROR(MID(作者统计[[#This Row],[作者]],FIND("(",作者统计[[#This Row],[作者]],1)+1,FIND(")",作者统计[[#This Row],[作者]],1)-FIND("(",作者统计[[#This Row],[作者]],1)-1),"")</f>
        <v/>
      </c>
      <c r="L67" s="6"/>
      <c r="M67" s="5"/>
      <c r="U67" s="5"/>
      <c r="W67"/>
    </row>
    <row r="68" spans="2:23" ht="18" customHeight="1" x14ac:dyDescent="0.25">
      <c r="B68" s="85"/>
      <c r="C68" s="120"/>
      <c r="D68" s="121"/>
      <c r="E68" s="121"/>
      <c r="F68" s="92"/>
      <c r="G68" s="92"/>
      <c r="H68" s="122"/>
      <c r="I68" s="68" t="str">
        <f>IFERROR(MID(作者统计[[#This Row],[作者]],FIND("[",作者统计[[#This Row],[作者]],1)+1,FIND("]",作者统计[[#This Row],[作者]],1)-FIND("[",作者统计[[#This Row],[作者]],1)-1),"")</f>
        <v/>
      </c>
      <c r="J68" s="68" t="str">
        <f>IFERROR(MID(作者统计[[#This Row],[作者]],FIND("(",作者统计[[#This Row],[作者]],1)+1,FIND(")",作者统计[[#This Row],[作者]],1)-FIND("(",作者统计[[#This Row],[作者]],1)-1),"")</f>
        <v/>
      </c>
      <c r="L68" s="6"/>
      <c r="M68" s="5"/>
      <c r="U68" s="5"/>
      <c r="W68"/>
    </row>
    <row r="69" spans="2:23" ht="18" customHeight="1" x14ac:dyDescent="0.25">
      <c r="B69" s="256"/>
      <c r="C69" s="257"/>
      <c r="D69" s="258"/>
      <c r="E69" s="258"/>
      <c r="F69" s="259"/>
      <c r="G69" s="259"/>
      <c r="H69" s="260"/>
      <c r="I69" s="261" t="str">
        <f>IFERROR(MID(作者统计[[#This Row],[作者]],FIND("[",作者统计[[#This Row],[作者]],1)+1,FIND("]",作者统计[[#This Row],[作者]],1)-FIND("[",作者统计[[#This Row],[作者]],1)-1),"")</f>
        <v/>
      </c>
      <c r="J69" s="261" t="str">
        <f>IFERROR(MID(作者统计[[#This Row],[作者]],FIND("(",作者统计[[#This Row],[作者]],1)+1,FIND(")",作者统计[[#This Row],[作者]],1)-FIND("(",作者统计[[#This Row],[作者]],1)-1),"")</f>
        <v/>
      </c>
      <c r="L69" s="6"/>
      <c r="M69" s="5"/>
      <c r="U69" s="5"/>
      <c r="W69"/>
    </row>
    <row r="70" spans="2:23" ht="18" customHeight="1" x14ac:dyDescent="0.25">
      <c r="B70" s="256"/>
      <c r="C70" s="257"/>
      <c r="D70" s="258"/>
      <c r="E70" s="258"/>
      <c r="F70" s="259"/>
      <c r="G70" s="259"/>
      <c r="H70" s="260"/>
      <c r="I70" s="261" t="str">
        <f>IFERROR(MID(作者统计[[#This Row],[作者]],FIND("[",作者统计[[#This Row],[作者]],1)+1,FIND("]",作者统计[[#This Row],[作者]],1)-FIND("[",作者统计[[#This Row],[作者]],1)-1),"")</f>
        <v/>
      </c>
      <c r="J70" s="261" t="str">
        <f>IFERROR(MID(作者统计[[#This Row],[作者]],FIND("(",作者统计[[#This Row],[作者]],1)+1,FIND(")",作者统计[[#This Row],[作者]],1)-FIND("(",作者统计[[#This Row],[作者]],1)-1),"")</f>
        <v/>
      </c>
      <c r="L70" s="6"/>
      <c r="M70" s="5"/>
      <c r="U70" s="5"/>
      <c r="W70"/>
    </row>
    <row r="71" spans="2:23" ht="18" customHeight="1" x14ac:dyDescent="0.25">
      <c r="B71" s="309"/>
      <c r="C71" s="120"/>
      <c r="D71" s="121"/>
      <c r="E71" s="121"/>
      <c r="F71" s="92"/>
      <c r="G71" s="92"/>
      <c r="H71" s="122"/>
      <c r="I71" s="68" t="str">
        <f>IFERROR(MID(作者统计[[#This Row],[作者]],FIND("[",作者统计[[#This Row],[作者]],1)+1,FIND("]",作者统计[[#This Row],[作者]],1)-FIND("[",作者统计[[#This Row],[作者]],1)-1),"")</f>
        <v/>
      </c>
      <c r="J71" s="68" t="str">
        <f>IFERROR(MID(作者统计[[#This Row],[作者]],FIND("(",作者统计[[#This Row],[作者]],1)+1,FIND(")",作者统计[[#This Row],[作者]],1)-FIND("(",作者统计[[#This Row],[作者]],1)-1),"")</f>
        <v/>
      </c>
      <c r="L71" s="6"/>
      <c r="M71" s="5"/>
      <c r="U71" s="5"/>
      <c r="W71"/>
    </row>
    <row r="72" spans="2:23" ht="18" customHeight="1" x14ac:dyDescent="0.25">
      <c r="B72" s="256"/>
      <c r="C72" s="257"/>
      <c r="D72" s="258"/>
      <c r="E72" s="258"/>
      <c r="F72" s="259"/>
      <c r="G72" s="259"/>
      <c r="H72" s="260"/>
      <c r="I72" s="261" t="str">
        <f>IFERROR(MID(作者统计[[#This Row],[作者]],FIND("[",作者统计[[#This Row],[作者]],1)+1,FIND("]",作者统计[[#This Row],[作者]],1)-FIND("[",作者统计[[#This Row],[作者]],1)-1),"")</f>
        <v/>
      </c>
      <c r="J72" s="261" t="str">
        <f>IFERROR(MID(作者统计[[#This Row],[作者]],FIND("(",作者统计[[#This Row],[作者]],1)+1,FIND(")",作者统计[[#This Row],[作者]],1)-FIND("(",作者统计[[#This Row],[作者]],1)-1),"")</f>
        <v/>
      </c>
      <c r="L72" s="6"/>
      <c r="M72" s="5"/>
      <c r="U72" s="5"/>
      <c r="W72"/>
    </row>
    <row r="73" spans="2:23" ht="18" customHeight="1" x14ac:dyDescent="0.25">
      <c r="B73" s="309"/>
      <c r="C73" s="120"/>
      <c r="D73" s="121"/>
      <c r="E73" s="121"/>
      <c r="F73" s="92"/>
      <c r="G73" s="92"/>
      <c r="H73" s="122"/>
      <c r="I73" s="68" t="str">
        <f>IFERROR(MID(作者统计[[#This Row],[作者]],FIND("[",作者统计[[#This Row],[作者]],1)+1,FIND("]",作者统计[[#This Row],[作者]],1)-FIND("[",作者统计[[#This Row],[作者]],1)-1),"")</f>
        <v/>
      </c>
      <c r="J73" s="68" t="str">
        <f>IFERROR(MID(作者统计[[#This Row],[作者]],FIND("(",作者统计[[#This Row],[作者]],1)+1,FIND(")",作者统计[[#This Row],[作者]],1)-FIND("(",作者统计[[#This Row],[作者]],1)-1),"")</f>
        <v/>
      </c>
      <c r="L73" s="6"/>
      <c r="M73" s="5"/>
      <c r="U73" s="5"/>
      <c r="W73"/>
    </row>
    <row r="74" spans="2:23" ht="18" customHeight="1" x14ac:dyDescent="0.25">
      <c r="B74" s="309"/>
      <c r="C74" s="120"/>
      <c r="D74" s="121"/>
      <c r="E74" s="121"/>
      <c r="F74" s="92"/>
      <c r="G74" s="92"/>
      <c r="H74" s="122"/>
      <c r="I74" s="68" t="str">
        <f>IFERROR(MID(作者统计[[#This Row],[作者]],FIND("[",作者统计[[#This Row],[作者]],1)+1,FIND("]",作者统计[[#This Row],[作者]],1)-FIND("[",作者统计[[#This Row],[作者]],1)-1),"")</f>
        <v/>
      </c>
      <c r="J74" s="68" t="str">
        <f>IFERROR(MID(作者统计[[#This Row],[作者]],FIND("(",作者统计[[#This Row],[作者]],1)+1,FIND(")",作者统计[[#This Row],[作者]],1)-FIND("(",作者统计[[#This Row],[作者]],1)-1),"")</f>
        <v/>
      </c>
      <c r="L74" s="6"/>
      <c r="M74" s="5"/>
      <c r="U74" s="5"/>
      <c r="W74"/>
    </row>
    <row r="75" spans="2:23" ht="18" customHeight="1" x14ac:dyDescent="0.25">
      <c r="B75" s="256"/>
      <c r="C75" s="257"/>
      <c r="D75" s="258"/>
      <c r="E75" s="258"/>
      <c r="F75" s="259"/>
      <c r="G75" s="259"/>
      <c r="H75" s="260"/>
      <c r="I75" s="261" t="str">
        <f>IFERROR(MID(作者统计[[#This Row],[作者]],FIND("[",作者统计[[#This Row],[作者]],1)+1,FIND("]",作者统计[[#This Row],[作者]],1)-FIND("[",作者统计[[#This Row],[作者]],1)-1),"")</f>
        <v/>
      </c>
      <c r="J75" s="261" t="str">
        <f>IFERROR(MID(作者统计[[#This Row],[作者]],FIND("(",作者统计[[#This Row],[作者]],1)+1,FIND(")",作者统计[[#This Row],[作者]],1)-FIND("(",作者统计[[#This Row],[作者]],1)-1),"")</f>
        <v/>
      </c>
      <c r="L75" s="6"/>
      <c r="M75" s="5"/>
      <c r="U75" s="5"/>
      <c r="W75"/>
    </row>
    <row r="76" spans="2:23" ht="18" customHeight="1" x14ac:dyDescent="0.25">
      <c r="B76" s="256"/>
      <c r="C76" s="257"/>
      <c r="D76" s="258"/>
      <c r="E76" s="258"/>
      <c r="F76" s="259"/>
      <c r="G76" s="259"/>
      <c r="H76" s="260"/>
      <c r="I76" s="261" t="str">
        <f>IFERROR(MID(作者统计[[#This Row],[作者]],FIND("[",作者统计[[#This Row],[作者]],1)+1,FIND("]",作者统计[[#This Row],[作者]],1)-FIND("[",作者统计[[#This Row],[作者]],1)-1),"")</f>
        <v/>
      </c>
      <c r="J76" s="261" t="str">
        <f>IFERROR(MID(作者统计[[#This Row],[作者]],FIND("(",作者统计[[#This Row],[作者]],1)+1,FIND(")",作者统计[[#This Row],[作者]],1)-FIND("(",作者统计[[#This Row],[作者]],1)-1),"")</f>
        <v/>
      </c>
      <c r="L76" s="6"/>
      <c r="M76" s="5"/>
      <c r="U76" s="5"/>
      <c r="W76"/>
    </row>
    <row r="77" spans="2:23" ht="18" customHeight="1" x14ac:dyDescent="0.25">
      <c r="B77" s="256"/>
      <c r="C77" s="257"/>
      <c r="D77" s="258"/>
      <c r="E77" s="258"/>
      <c r="F77" s="259"/>
      <c r="G77" s="259"/>
      <c r="H77" s="260"/>
      <c r="I77" s="261" t="str">
        <f>IFERROR(MID(作者统计[[#This Row],[作者]],FIND("[",作者统计[[#This Row],[作者]],1)+1,FIND("]",作者统计[[#This Row],[作者]],1)-FIND("[",作者统计[[#This Row],[作者]],1)-1),"")</f>
        <v/>
      </c>
      <c r="J77" s="261" t="str">
        <f>IFERROR(MID(作者统计[[#This Row],[作者]],FIND("(",作者统计[[#This Row],[作者]],1)+1,FIND(")",作者统计[[#This Row],[作者]],1)-FIND("(",作者统计[[#This Row],[作者]],1)-1),"")</f>
        <v/>
      </c>
      <c r="L77" s="6"/>
      <c r="M77" s="5"/>
      <c r="U77" s="5"/>
      <c r="W77"/>
    </row>
    <row r="78" spans="2:23" ht="18" customHeight="1" x14ac:dyDescent="0.25">
      <c r="B78" s="256"/>
      <c r="C78" s="257"/>
      <c r="D78" s="258"/>
      <c r="E78" s="258"/>
      <c r="F78" s="259"/>
      <c r="G78" s="259"/>
      <c r="H78" s="260"/>
      <c r="I78" s="261" t="str">
        <f>IFERROR(MID(作者统计[[#This Row],[作者]],FIND("[",作者统计[[#This Row],[作者]],1)+1,FIND("]",作者统计[[#This Row],[作者]],1)-FIND("[",作者统计[[#This Row],[作者]],1)-1),"")</f>
        <v/>
      </c>
      <c r="J78" s="261" t="str">
        <f>IFERROR(MID(作者统计[[#This Row],[作者]],FIND("(",作者统计[[#This Row],[作者]],1)+1,FIND(")",作者统计[[#This Row],[作者]],1)-FIND("(",作者统计[[#This Row],[作者]],1)-1),"")</f>
        <v/>
      </c>
      <c r="L78" s="6"/>
      <c r="M78" s="5"/>
      <c r="U78" s="5"/>
      <c r="W78"/>
    </row>
    <row r="79" spans="2:23" ht="18" customHeight="1" x14ac:dyDescent="0.25">
      <c r="B79" s="256"/>
      <c r="C79" s="257"/>
      <c r="D79" s="258"/>
      <c r="E79" s="258"/>
      <c r="F79" s="259"/>
      <c r="G79" s="259"/>
      <c r="H79" s="260"/>
      <c r="I79" s="261" t="str">
        <f>IFERROR(MID(作者统计[[#This Row],[作者]],FIND("[",作者统计[[#This Row],[作者]],1)+1,FIND("]",作者统计[[#This Row],[作者]],1)-FIND("[",作者统计[[#This Row],[作者]],1)-1),"")</f>
        <v/>
      </c>
      <c r="J79" s="261" t="str">
        <f>IFERROR(MID(作者统计[[#This Row],[作者]],FIND("(",作者统计[[#This Row],[作者]],1)+1,FIND(")",作者统计[[#This Row],[作者]],1)-FIND("(",作者统计[[#This Row],[作者]],1)-1),"")</f>
        <v/>
      </c>
      <c r="L79" s="6"/>
      <c r="M79" s="5"/>
      <c r="U79" s="5"/>
      <c r="W79"/>
    </row>
    <row r="80" spans="2:23" ht="18" customHeight="1" x14ac:dyDescent="0.25">
      <c r="B80" s="309"/>
      <c r="C80" s="120"/>
      <c r="D80" s="121"/>
      <c r="E80" s="121"/>
      <c r="F80" s="92"/>
      <c r="G80" s="92"/>
      <c r="H80" s="122"/>
      <c r="I80" s="68" t="str">
        <f>IFERROR(MID(作者统计[[#This Row],[作者]],FIND("[",作者统计[[#This Row],[作者]],1)+1,FIND("]",作者统计[[#This Row],[作者]],1)-FIND("[",作者统计[[#This Row],[作者]],1)-1),"")</f>
        <v/>
      </c>
      <c r="J80" s="68" t="str">
        <f>IFERROR(MID(作者统计[[#This Row],[作者]],FIND("(",作者统计[[#This Row],[作者]],1)+1,FIND(")",作者统计[[#This Row],[作者]],1)-FIND("(",作者统计[[#This Row],[作者]],1)-1),"")</f>
        <v/>
      </c>
      <c r="L80" s="6"/>
      <c r="M80" s="5"/>
      <c r="U80" s="5"/>
      <c r="W80"/>
    </row>
    <row r="81" spans="2:23" ht="18" customHeight="1" x14ac:dyDescent="0.25">
      <c r="B81" s="85"/>
      <c r="C81" s="120"/>
      <c r="D81" s="121"/>
      <c r="E81" s="121"/>
      <c r="F81" s="92"/>
      <c r="G81" s="92"/>
      <c r="H81" s="122"/>
      <c r="I81" s="68" t="str">
        <f>IFERROR(MID(作者统计[[#This Row],[作者]],FIND("[",作者统计[[#This Row],[作者]],1)+1,FIND("]",作者统计[[#This Row],[作者]],1)-FIND("[",作者统计[[#This Row],[作者]],1)-1),"")</f>
        <v/>
      </c>
      <c r="J81" s="68" t="str">
        <f>IFERROR(MID(作者统计[[#This Row],[作者]],FIND("(",作者统计[[#This Row],[作者]],1)+1,FIND(")",作者统计[[#This Row],[作者]],1)-FIND("(",作者统计[[#This Row],[作者]],1)-1),"")</f>
        <v/>
      </c>
      <c r="L81" s="6"/>
      <c r="M81" s="5"/>
      <c r="U81" s="5"/>
      <c r="W81"/>
    </row>
    <row r="82" spans="2:23" ht="18" customHeight="1" x14ac:dyDescent="0.25">
      <c r="B82" s="85"/>
      <c r="C82" s="120"/>
      <c r="D82" s="121"/>
      <c r="E82" s="121"/>
      <c r="F82" s="92"/>
      <c r="G82" s="92"/>
      <c r="H82" s="122"/>
      <c r="I82" s="68" t="str">
        <f>IFERROR(MID(作者统计[[#This Row],[作者]],FIND("[",作者统计[[#This Row],[作者]],1)+1,FIND("]",作者统计[[#This Row],[作者]],1)-FIND("[",作者统计[[#This Row],[作者]],1)-1),"")</f>
        <v/>
      </c>
      <c r="J82" s="68" t="str">
        <f>IFERROR(MID(作者统计[[#This Row],[作者]],FIND("(",作者统计[[#This Row],[作者]],1)+1,FIND(")",作者统计[[#This Row],[作者]],1)-FIND("(",作者统计[[#This Row],[作者]],1)-1),"")</f>
        <v/>
      </c>
      <c r="L82" s="6"/>
      <c r="M82" s="5"/>
      <c r="U82" s="5"/>
      <c r="W82"/>
    </row>
    <row r="83" spans="2:23" ht="18" customHeight="1" x14ac:dyDescent="0.25">
      <c r="B83" s="256"/>
      <c r="C83" s="257"/>
      <c r="D83" s="258"/>
      <c r="E83" s="258"/>
      <c r="F83" s="259"/>
      <c r="G83" s="259"/>
      <c r="H83" s="260"/>
      <c r="I83" s="261" t="str">
        <f>IFERROR(MID(作者统计[[#This Row],[作者]],FIND("[",作者统计[[#This Row],[作者]],1)+1,FIND("]",作者统计[[#This Row],[作者]],1)-FIND("[",作者统计[[#This Row],[作者]],1)-1),"")</f>
        <v/>
      </c>
      <c r="J83" s="261" t="str">
        <f>IFERROR(MID(作者统计[[#This Row],[作者]],FIND("(",作者统计[[#This Row],[作者]],1)+1,FIND(")",作者统计[[#This Row],[作者]],1)-FIND("(",作者统计[[#This Row],[作者]],1)-1),"")</f>
        <v/>
      </c>
      <c r="L83" s="6"/>
      <c r="M83" s="5"/>
      <c r="U83" s="5"/>
      <c r="W83"/>
    </row>
    <row r="84" spans="2:23" ht="18" customHeight="1" x14ac:dyDescent="0.25">
      <c r="B84" s="85"/>
      <c r="C84" s="120"/>
      <c r="D84" s="121"/>
      <c r="E84" s="121"/>
      <c r="F84" s="92"/>
      <c r="G84" s="92"/>
      <c r="H84" s="122"/>
      <c r="I84" s="68" t="str">
        <f>IFERROR(MID(作者统计[[#This Row],[作者]],FIND("[",作者统计[[#This Row],[作者]],1)+1,FIND("]",作者统计[[#This Row],[作者]],1)-FIND("[",作者统计[[#This Row],[作者]],1)-1),"")</f>
        <v/>
      </c>
      <c r="J84" s="68" t="str">
        <f>IFERROR(MID(作者统计[[#This Row],[作者]],FIND("(",作者统计[[#This Row],[作者]],1)+1,FIND(")",作者统计[[#This Row],[作者]],1)-FIND("(",作者统计[[#This Row],[作者]],1)-1),"")</f>
        <v/>
      </c>
      <c r="L84" s="6"/>
      <c r="M84" s="5"/>
      <c r="U84" s="5"/>
      <c r="W84"/>
    </row>
    <row r="85" spans="2:23" ht="18" customHeight="1" x14ac:dyDescent="0.25">
      <c r="B85" s="256"/>
      <c r="C85" s="257"/>
      <c r="D85" s="258"/>
      <c r="E85" s="258"/>
      <c r="F85" s="259"/>
      <c r="G85" s="259"/>
      <c r="H85" s="260"/>
      <c r="I85" s="261" t="str">
        <f>IFERROR(MID(作者统计[[#This Row],[作者]],FIND("[",作者统计[[#This Row],[作者]],1)+1,FIND("]",作者统计[[#This Row],[作者]],1)-FIND("[",作者统计[[#This Row],[作者]],1)-1),"")</f>
        <v/>
      </c>
      <c r="J85" s="261" t="str">
        <f>IFERROR(MID(作者统计[[#This Row],[作者]],FIND("(",作者统计[[#This Row],[作者]],1)+1,FIND(")",作者统计[[#This Row],[作者]],1)-FIND("(",作者统计[[#This Row],[作者]],1)-1),"")</f>
        <v/>
      </c>
      <c r="L85" s="6"/>
      <c r="M85" s="5"/>
      <c r="U85" s="5"/>
      <c r="W85"/>
    </row>
    <row r="86" spans="2:23" ht="18" customHeight="1" x14ac:dyDescent="0.25">
      <c r="B86" s="85"/>
      <c r="C86" s="120"/>
      <c r="D86" s="121"/>
      <c r="E86" s="121"/>
      <c r="F86" s="92"/>
      <c r="G86" s="92"/>
      <c r="H86" s="122"/>
      <c r="I86" s="68" t="str">
        <f>IFERROR(MID(作者统计[[#This Row],[作者]],FIND("[",作者统计[[#This Row],[作者]],1)+1,FIND("]",作者统计[[#This Row],[作者]],1)-FIND("[",作者统计[[#This Row],[作者]],1)-1),"")</f>
        <v/>
      </c>
      <c r="J86" s="68" t="str">
        <f>IFERROR(MID(作者统计[[#This Row],[作者]],FIND("(",作者统计[[#This Row],[作者]],1)+1,FIND(")",作者统计[[#This Row],[作者]],1)-FIND("(",作者统计[[#This Row],[作者]],1)-1),"")</f>
        <v/>
      </c>
      <c r="L86" s="6"/>
      <c r="M86" s="5"/>
      <c r="U86" s="5"/>
      <c r="W86"/>
    </row>
    <row r="87" spans="2:23" ht="18" customHeight="1" x14ac:dyDescent="0.25">
      <c r="B87" s="309"/>
      <c r="C87" s="120"/>
      <c r="D87" s="121"/>
      <c r="E87" s="121"/>
      <c r="F87" s="92"/>
      <c r="G87" s="92"/>
      <c r="H87" s="122"/>
      <c r="I87" s="68" t="str">
        <f>IFERROR(MID(作者统计[[#This Row],[作者]],FIND("[",作者统计[[#This Row],[作者]],1)+1,FIND("]",作者统计[[#This Row],[作者]],1)-FIND("[",作者统计[[#This Row],[作者]],1)-1),"")</f>
        <v/>
      </c>
      <c r="J87" s="68" t="str">
        <f>IFERROR(MID(作者统计[[#This Row],[作者]],FIND("(",作者统计[[#This Row],[作者]],1)+1,FIND(")",作者统计[[#This Row],[作者]],1)-FIND("(",作者统计[[#This Row],[作者]],1)-1),"")</f>
        <v/>
      </c>
      <c r="L87" s="6"/>
      <c r="M87" s="5"/>
      <c r="U87" s="5"/>
      <c r="W87"/>
    </row>
    <row r="88" spans="2:23" ht="18" customHeight="1" x14ac:dyDescent="0.25">
      <c r="B88" s="256"/>
      <c r="C88" s="257"/>
      <c r="D88" s="258"/>
      <c r="E88" s="258"/>
      <c r="F88" s="259"/>
      <c r="G88" s="259"/>
      <c r="H88" s="260"/>
      <c r="I88" s="261" t="str">
        <f>IFERROR(MID(作者统计[[#This Row],[作者]],FIND("[",作者统计[[#This Row],[作者]],1)+1,FIND("]",作者统计[[#This Row],[作者]],1)-FIND("[",作者统计[[#This Row],[作者]],1)-1),"")</f>
        <v/>
      </c>
      <c r="J88" s="261" t="str">
        <f>IFERROR(MID(作者统计[[#This Row],[作者]],FIND("(",作者统计[[#This Row],[作者]],1)+1,FIND(")",作者统计[[#This Row],[作者]],1)-FIND("(",作者统计[[#This Row],[作者]],1)-1),"")</f>
        <v/>
      </c>
      <c r="L88" s="6"/>
      <c r="M88" s="5"/>
      <c r="U88" s="5"/>
      <c r="W88"/>
    </row>
    <row r="89" spans="2:23" ht="18" customHeight="1" x14ac:dyDescent="0.25">
      <c r="B89" s="256"/>
      <c r="C89" s="257"/>
      <c r="D89" s="258"/>
      <c r="E89" s="258"/>
      <c r="F89" s="259"/>
      <c r="G89" s="259"/>
      <c r="H89" s="260"/>
      <c r="I89" s="261" t="str">
        <f>IFERROR(MID(作者统计[[#This Row],[作者]],FIND("[",作者统计[[#This Row],[作者]],1)+1,FIND("]",作者统计[[#This Row],[作者]],1)-FIND("[",作者统计[[#This Row],[作者]],1)-1),"")</f>
        <v/>
      </c>
      <c r="J89" s="261" t="str">
        <f>IFERROR(MID(作者统计[[#This Row],[作者]],FIND("(",作者统计[[#This Row],[作者]],1)+1,FIND(")",作者统计[[#This Row],[作者]],1)-FIND("(",作者统计[[#This Row],[作者]],1)-1),"")</f>
        <v/>
      </c>
      <c r="L89" s="6"/>
      <c r="M89" s="5"/>
      <c r="U89" s="5"/>
      <c r="W89"/>
    </row>
    <row r="90" spans="2:23" ht="18" customHeight="1" x14ac:dyDescent="0.25">
      <c r="B90" s="309"/>
      <c r="C90" s="120"/>
      <c r="D90" s="121"/>
      <c r="E90" s="121"/>
      <c r="F90" s="92"/>
      <c r="G90" s="92"/>
      <c r="H90" s="122"/>
      <c r="I90" s="68" t="str">
        <f>IFERROR(MID(作者统计[[#This Row],[作者]],FIND("[",作者统计[[#This Row],[作者]],1)+1,FIND("]",作者统计[[#This Row],[作者]],1)-FIND("[",作者统计[[#This Row],[作者]],1)-1),"")</f>
        <v/>
      </c>
      <c r="J90" s="68" t="str">
        <f>IFERROR(MID(作者统计[[#This Row],[作者]],FIND("(",作者统计[[#This Row],[作者]],1)+1,FIND(")",作者统计[[#This Row],[作者]],1)-FIND("(",作者统计[[#This Row],[作者]],1)-1),"")</f>
        <v/>
      </c>
      <c r="L90" s="6"/>
      <c r="M90" s="5"/>
      <c r="U90" s="5"/>
      <c r="W90"/>
    </row>
    <row r="91" spans="2:23" ht="18" customHeight="1" x14ac:dyDescent="0.25">
      <c r="B91" s="256"/>
      <c r="C91" s="257"/>
      <c r="D91" s="258"/>
      <c r="E91" s="258"/>
      <c r="F91" s="259"/>
      <c r="G91" s="259"/>
      <c r="H91" s="260"/>
      <c r="I91" s="261" t="str">
        <f>IFERROR(MID(作者统计[[#This Row],[作者]],FIND("[",作者统计[[#This Row],[作者]],1)+1,FIND("]",作者统计[[#This Row],[作者]],1)-FIND("[",作者统计[[#This Row],[作者]],1)-1),"")</f>
        <v/>
      </c>
      <c r="J91" s="261" t="str">
        <f>IFERROR(MID(作者统计[[#This Row],[作者]],FIND("(",作者统计[[#This Row],[作者]],1)+1,FIND(")",作者统计[[#This Row],[作者]],1)-FIND("(",作者统计[[#This Row],[作者]],1)-1),"")</f>
        <v/>
      </c>
      <c r="L91" s="6"/>
      <c r="M91" s="5"/>
      <c r="U91" s="5"/>
      <c r="W91"/>
    </row>
    <row r="92" spans="2:23" ht="18" customHeight="1" x14ac:dyDescent="0.25">
      <c r="B92" s="85"/>
      <c r="C92" s="120"/>
      <c r="D92" s="121"/>
      <c r="E92" s="121"/>
      <c r="F92" s="92"/>
      <c r="G92" s="92"/>
      <c r="H92" s="122"/>
      <c r="I92" s="68" t="str">
        <f>IFERROR(MID(作者统计[[#This Row],[作者]],FIND("[",作者统计[[#This Row],[作者]],1)+1,FIND("]",作者统计[[#This Row],[作者]],1)-FIND("[",作者统计[[#This Row],[作者]],1)-1),"")</f>
        <v/>
      </c>
      <c r="J92" s="68" t="str">
        <f>IFERROR(MID(作者统计[[#This Row],[作者]],FIND("(",作者统计[[#This Row],[作者]],1)+1,FIND(")",作者统计[[#This Row],[作者]],1)-FIND("(",作者统计[[#This Row],[作者]],1)-1),"")</f>
        <v/>
      </c>
      <c r="L92" s="6"/>
      <c r="M92" s="5"/>
      <c r="U92" s="5"/>
      <c r="W92"/>
    </row>
    <row r="93" spans="2:23" ht="18" customHeight="1" x14ac:dyDescent="0.25">
      <c r="B93" s="309"/>
      <c r="C93" s="120"/>
      <c r="D93" s="121"/>
      <c r="E93" s="121"/>
      <c r="F93" s="92"/>
      <c r="G93" s="92"/>
      <c r="H93" s="122"/>
      <c r="I93" s="68" t="str">
        <f>IFERROR(MID(作者统计[[#This Row],[作者]],FIND("[",作者统计[[#This Row],[作者]],1)+1,FIND("]",作者统计[[#This Row],[作者]],1)-FIND("[",作者统计[[#This Row],[作者]],1)-1),"")</f>
        <v/>
      </c>
      <c r="J93" s="68" t="str">
        <f>IFERROR(MID(作者统计[[#This Row],[作者]],FIND("(",作者统计[[#This Row],[作者]],1)+1,FIND(")",作者统计[[#This Row],[作者]],1)-FIND("(",作者统计[[#This Row],[作者]],1)-1),"")</f>
        <v/>
      </c>
      <c r="L93" s="6"/>
      <c r="M93" s="5"/>
      <c r="U93" s="5"/>
      <c r="W93"/>
    </row>
    <row r="94" spans="2:23" ht="18" customHeight="1" x14ac:dyDescent="0.25">
      <c r="B94" s="85"/>
      <c r="C94" s="120"/>
      <c r="D94" s="121"/>
      <c r="E94" s="121"/>
      <c r="F94" s="92"/>
      <c r="G94" s="92"/>
      <c r="H94" s="122"/>
      <c r="I94" s="68" t="str">
        <f>IFERROR(MID(作者统计[[#This Row],[作者]],FIND("[",作者统计[[#This Row],[作者]],1)+1,FIND("]",作者统计[[#This Row],[作者]],1)-FIND("[",作者统计[[#This Row],[作者]],1)-1),"")</f>
        <v/>
      </c>
      <c r="J94" s="68" t="str">
        <f>IFERROR(MID(作者统计[[#This Row],[作者]],FIND("(",作者统计[[#This Row],[作者]],1)+1,FIND(")",作者统计[[#This Row],[作者]],1)-FIND("(",作者统计[[#This Row],[作者]],1)-1),"")</f>
        <v/>
      </c>
      <c r="L94" s="6"/>
      <c r="M94" s="5"/>
      <c r="U94" s="5"/>
      <c r="W94"/>
    </row>
    <row r="95" spans="2:23" ht="18" customHeight="1" x14ac:dyDescent="0.25">
      <c r="B95" s="85"/>
      <c r="C95" s="120"/>
      <c r="D95" s="121"/>
      <c r="E95" s="121"/>
      <c r="F95" s="92"/>
      <c r="G95" s="92"/>
      <c r="H95" s="122"/>
      <c r="I95" s="68" t="str">
        <f>IFERROR(MID(作者统计[[#This Row],[作者]],FIND("[",作者统计[[#This Row],[作者]],1)+1,FIND("]",作者统计[[#This Row],[作者]],1)-FIND("[",作者统计[[#This Row],[作者]],1)-1),"")</f>
        <v/>
      </c>
      <c r="J95" s="68" t="str">
        <f>IFERROR(MID(作者统计[[#This Row],[作者]],FIND("(",作者统计[[#This Row],[作者]],1)+1,FIND(")",作者统计[[#This Row],[作者]],1)-FIND("(",作者统计[[#This Row],[作者]],1)-1),"")</f>
        <v/>
      </c>
      <c r="L95" s="6"/>
      <c r="M95" s="5"/>
      <c r="U95" s="5"/>
      <c r="W95"/>
    </row>
    <row r="96" spans="2:23" ht="18" customHeight="1" x14ac:dyDescent="0.25">
      <c r="B96" s="309"/>
      <c r="C96" s="120"/>
      <c r="D96" s="121"/>
      <c r="E96" s="121"/>
      <c r="F96" s="92"/>
      <c r="G96" s="92"/>
      <c r="H96" s="122"/>
      <c r="I96" s="68" t="str">
        <f>IFERROR(MID(作者统计[[#This Row],[作者]],FIND("[",作者统计[[#This Row],[作者]],1)+1,FIND("]",作者统计[[#This Row],[作者]],1)-FIND("[",作者统计[[#This Row],[作者]],1)-1),"")</f>
        <v/>
      </c>
      <c r="J96" s="68" t="str">
        <f>IFERROR(MID(作者统计[[#This Row],[作者]],FIND("(",作者统计[[#This Row],[作者]],1)+1,FIND(")",作者统计[[#This Row],[作者]],1)-FIND("(",作者统计[[#This Row],[作者]],1)-1),"")</f>
        <v/>
      </c>
      <c r="L96" s="6"/>
      <c r="M96" s="5"/>
      <c r="U96" s="5"/>
      <c r="W96"/>
    </row>
    <row r="97" spans="2:23" ht="18" customHeight="1" x14ac:dyDescent="0.25">
      <c r="B97" s="309"/>
      <c r="C97" s="120"/>
      <c r="D97" s="121"/>
      <c r="E97" s="121"/>
      <c r="F97" s="92"/>
      <c r="G97" s="92"/>
      <c r="H97" s="122"/>
      <c r="I97" s="68" t="str">
        <f>IFERROR(MID(作者统计[[#This Row],[作者]],FIND("[",作者统计[[#This Row],[作者]],1)+1,FIND("]",作者统计[[#This Row],[作者]],1)-FIND("[",作者统计[[#This Row],[作者]],1)-1),"")</f>
        <v/>
      </c>
      <c r="J97" s="68" t="str">
        <f>IFERROR(MID(作者统计[[#This Row],[作者]],FIND("(",作者统计[[#This Row],[作者]],1)+1,FIND(")",作者统计[[#This Row],[作者]],1)-FIND("(",作者统计[[#This Row],[作者]],1)-1),"")</f>
        <v/>
      </c>
      <c r="L97" s="6"/>
      <c r="M97" s="5"/>
      <c r="U97" s="5"/>
      <c r="W97"/>
    </row>
    <row r="98" spans="2:23" ht="18" customHeight="1" x14ac:dyDescent="0.25">
      <c r="B98" s="256"/>
      <c r="C98" s="257"/>
      <c r="D98" s="258"/>
      <c r="E98" s="258"/>
      <c r="F98" s="259"/>
      <c r="G98" s="259"/>
      <c r="H98" s="260"/>
      <c r="I98" s="261" t="str">
        <f>IFERROR(MID(作者统计[[#This Row],[作者]],FIND("[",作者统计[[#This Row],[作者]],1)+1,FIND("]",作者统计[[#This Row],[作者]],1)-FIND("[",作者统计[[#This Row],[作者]],1)-1),"")</f>
        <v/>
      </c>
      <c r="J98" s="261" t="str">
        <f>IFERROR(MID(作者统计[[#This Row],[作者]],FIND("(",作者统计[[#This Row],[作者]],1)+1,FIND(")",作者统计[[#This Row],[作者]],1)-FIND("(",作者统计[[#This Row],[作者]],1)-1),"")</f>
        <v/>
      </c>
      <c r="L98" s="6"/>
      <c r="M98" s="5"/>
      <c r="U98" s="5"/>
      <c r="W98"/>
    </row>
    <row r="99" spans="2:23" ht="18" customHeight="1" x14ac:dyDescent="0.25">
      <c r="B99" s="256"/>
      <c r="C99" s="257"/>
      <c r="D99" s="258"/>
      <c r="E99" s="258"/>
      <c r="F99" s="259"/>
      <c r="G99" s="259"/>
      <c r="H99" s="260"/>
      <c r="I99" s="261" t="str">
        <f>IFERROR(MID(作者统计[[#This Row],[作者]],FIND("[",作者统计[[#This Row],[作者]],1)+1,FIND("]",作者统计[[#This Row],[作者]],1)-FIND("[",作者统计[[#This Row],[作者]],1)-1),"")</f>
        <v/>
      </c>
      <c r="J99" s="261" t="str">
        <f>IFERROR(MID(作者统计[[#This Row],[作者]],FIND("(",作者统计[[#This Row],[作者]],1)+1,FIND(")",作者统计[[#This Row],[作者]],1)-FIND("(",作者统计[[#This Row],[作者]],1)-1),"")</f>
        <v/>
      </c>
      <c r="L99" s="6"/>
      <c r="M99" s="5"/>
      <c r="U99" s="5"/>
      <c r="W99"/>
    </row>
    <row r="100" spans="2:23" ht="18" customHeight="1" x14ac:dyDescent="0.25">
      <c r="B100" s="309"/>
      <c r="C100" s="120"/>
      <c r="D100" s="121"/>
      <c r="E100" s="121"/>
      <c r="F100" s="92"/>
      <c r="G100" s="92"/>
      <c r="H100" s="122"/>
      <c r="I100" s="68" t="str">
        <f>IFERROR(MID(作者统计[[#This Row],[作者]],FIND("[",作者统计[[#This Row],[作者]],1)+1,FIND("]",作者统计[[#This Row],[作者]],1)-FIND("[",作者统计[[#This Row],[作者]],1)-1),"")</f>
        <v/>
      </c>
      <c r="J100" s="68" t="str">
        <f>IFERROR(MID(作者统计[[#This Row],[作者]],FIND("(",作者统计[[#This Row],[作者]],1)+1,FIND(")",作者统计[[#This Row],[作者]],1)-FIND("(",作者统计[[#This Row],[作者]],1)-1),"")</f>
        <v/>
      </c>
      <c r="L100" s="6"/>
      <c r="M100" s="5"/>
      <c r="U100" s="5"/>
      <c r="W100"/>
    </row>
    <row r="101" spans="2:23" ht="18" customHeight="1" x14ac:dyDescent="0.25">
      <c r="B101" s="309"/>
      <c r="C101" s="120"/>
      <c r="D101" s="121"/>
      <c r="E101" s="121"/>
      <c r="F101" s="92"/>
      <c r="G101" s="92"/>
      <c r="H101" s="122"/>
      <c r="I101" s="68" t="str">
        <f>IFERROR(MID(作者统计[[#This Row],[作者]],FIND("[",作者统计[[#This Row],[作者]],1)+1,FIND("]",作者统计[[#This Row],[作者]],1)-FIND("[",作者统计[[#This Row],[作者]],1)-1),"")</f>
        <v/>
      </c>
      <c r="J101" s="68" t="str">
        <f>IFERROR(MID(作者统计[[#This Row],[作者]],FIND("(",作者统计[[#This Row],[作者]],1)+1,FIND(")",作者统计[[#This Row],[作者]],1)-FIND("(",作者统计[[#This Row],[作者]],1)-1),"")</f>
        <v/>
      </c>
      <c r="L101" s="6"/>
      <c r="M101" s="5"/>
      <c r="U101" s="5"/>
      <c r="W101"/>
    </row>
    <row r="102" spans="2:23" ht="18" customHeight="1" x14ac:dyDescent="0.25">
      <c r="B102" s="256"/>
      <c r="C102" s="257"/>
      <c r="D102" s="258"/>
      <c r="E102" s="258"/>
      <c r="F102" s="259"/>
      <c r="G102" s="259"/>
      <c r="H102" s="260"/>
      <c r="I102" s="261" t="str">
        <f>IFERROR(MID(作者统计[[#This Row],[作者]],FIND("[",作者统计[[#This Row],[作者]],1)+1,FIND("]",作者统计[[#This Row],[作者]],1)-FIND("[",作者统计[[#This Row],[作者]],1)-1),"")</f>
        <v/>
      </c>
      <c r="J102" s="261" t="str">
        <f>IFERROR(MID(作者统计[[#This Row],[作者]],FIND("(",作者统计[[#This Row],[作者]],1)+1,FIND(")",作者统计[[#This Row],[作者]],1)-FIND("(",作者统计[[#This Row],[作者]],1)-1),"")</f>
        <v/>
      </c>
      <c r="L102" s="6"/>
      <c r="M102" s="5"/>
      <c r="U102" s="5"/>
      <c r="W102"/>
    </row>
    <row r="103" spans="2:23" ht="18" customHeight="1" x14ac:dyDescent="0.25">
      <c r="B103" s="256"/>
      <c r="C103" s="257"/>
      <c r="D103" s="258"/>
      <c r="E103" s="258"/>
      <c r="F103" s="259"/>
      <c r="G103" s="259"/>
      <c r="H103" s="260"/>
      <c r="I103" s="261" t="str">
        <f>IFERROR(MID(作者统计[[#This Row],[作者]],FIND("[",作者统计[[#This Row],[作者]],1)+1,FIND("]",作者统计[[#This Row],[作者]],1)-FIND("[",作者统计[[#This Row],[作者]],1)-1),"")</f>
        <v/>
      </c>
      <c r="J103" s="261" t="str">
        <f>IFERROR(MID(作者统计[[#This Row],[作者]],FIND("(",作者统计[[#This Row],[作者]],1)+1,FIND(")",作者统计[[#This Row],[作者]],1)-FIND("(",作者统计[[#This Row],[作者]],1)-1),"")</f>
        <v/>
      </c>
      <c r="L103" s="6"/>
      <c r="M103" s="5"/>
      <c r="U103" s="5"/>
      <c r="W103"/>
    </row>
    <row r="104" spans="2:23" ht="18" customHeight="1" x14ac:dyDescent="0.25">
      <c r="B104" s="309"/>
      <c r="C104" s="120"/>
      <c r="D104" s="121"/>
      <c r="E104" s="121"/>
      <c r="F104" s="92"/>
      <c r="G104" s="92"/>
      <c r="H104" s="122"/>
      <c r="I104" s="68" t="str">
        <f>IFERROR(MID(作者统计[[#This Row],[作者]],FIND("[",作者统计[[#This Row],[作者]],1)+1,FIND("]",作者统计[[#This Row],[作者]],1)-FIND("[",作者统计[[#This Row],[作者]],1)-1),"")</f>
        <v/>
      </c>
      <c r="J104" s="68" t="str">
        <f>IFERROR(MID(作者统计[[#This Row],[作者]],FIND("(",作者统计[[#This Row],[作者]],1)+1,FIND(")",作者统计[[#This Row],[作者]],1)-FIND("(",作者统计[[#This Row],[作者]],1)-1),"")</f>
        <v/>
      </c>
      <c r="L104" s="6"/>
      <c r="M104" s="5"/>
      <c r="U104" s="5"/>
      <c r="W104"/>
    </row>
    <row r="105" spans="2:23" ht="18" customHeight="1" x14ac:dyDescent="0.25">
      <c r="B105" s="85"/>
      <c r="C105" s="120"/>
      <c r="D105" s="121"/>
      <c r="E105" s="121"/>
      <c r="F105" s="92"/>
      <c r="G105" s="92"/>
      <c r="H105" s="122"/>
      <c r="I105" s="68" t="str">
        <f>IFERROR(MID(作者统计[[#This Row],[作者]],FIND("[",作者统计[[#This Row],[作者]],1)+1,FIND("]",作者统计[[#This Row],[作者]],1)-FIND("[",作者统计[[#This Row],[作者]],1)-1),"")</f>
        <v/>
      </c>
      <c r="J105" s="68" t="str">
        <f>IFERROR(MID(作者统计[[#This Row],[作者]],FIND("(",作者统计[[#This Row],[作者]],1)+1,FIND(")",作者统计[[#This Row],[作者]],1)-FIND("(",作者统计[[#This Row],[作者]],1)-1),"")</f>
        <v/>
      </c>
      <c r="L105" s="6"/>
      <c r="M105" s="5"/>
      <c r="U105" s="5"/>
      <c r="W105"/>
    </row>
    <row r="106" spans="2:23" ht="18" customHeight="1" x14ac:dyDescent="0.25">
      <c r="B106" s="309"/>
      <c r="C106" s="120"/>
      <c r="D106" s="121"/>
      <c r="E106" s="121"/>
      <c r="F106" s="92"/>
      <c r="G106" s="92"/>
      <c r="H106" s="122"/>
      <c r="I106" s="68" t="str">
        <f>IFERROR(MID(作者统计[[#This Row],[作者]],FIND("[",作者统计[[#This Row],[作者]],1)+1,FIND("]",作者统计[[#This Row],[作者]],1)-FIND("[",作者统计[[#This Row],[作者]],1)-1),"")</f>
        <v/>
      </c>
      <c r="J106" s="68" t="str">
        <f>IFERROR(MID(作者统计[[#This Row],[作者]],FIND("(",作者统计[[#This Row],[作者]],1)+1,FIND(")",作者统计[[#This Row],[作者]],1)-FIND("(",作者统计[[#This Row],[作者]],1)-1),"")</f>
        <v/>
      </c>
      <c r="L106" s="6"/>
      <c r="M106" s="5"/>
      <c r="U106" s="5"/>
      <c r="W106"/>
    </row>
    <row r="107" spans="2:23" ht="18" customHeight="1" x14ac:dyDescent="0.25">
      <c r="B107" s="309"/>
      <c r="C107" s="120"/>
      <c r="D107" s="121"/>
      <c r="E107" s="121"/>
      <c r="F107" s="92"/>
      <c r="G107" s="92"/>
      <c r="H107" s="122"/>
      <c r="I107" s="68" t="str">
        <f>IFERROR(MID(作者统计[[#This Row],[作者]],FIND("[",作者统计[[#This Row],[作者]],1)+1,FIND("]",作者统计[[#This Row],[作者]],1)-FIND("[",作者统计[[#This Row],[作者]],1)-1),"")</f>
        <v/>
      </c>
      <c r="J107" s="68" t="str">
        <f>IFERROR(MID(作者统计[[#This Row],[作者]],FIND("(",作者统计[[#This Row],[作者]],1)+1,FIND(")",作者统计[[#This Row],[作者]],1)-FIND("(",作者统计[[#This Row],[作者]],1)-1),"")</f>
        <v/>
      </c>
      <c r="L107" s="6"/>
      <c r="M107" s="5"/>
      <c r="U107" s="5"/>
      <c r="W107"/>
    </row>
    <row r="108" spans="2:23" ht="18" customHeight="1" x14ac:dyDescent="0.25">
      <c r="B108" s="256"/>
      <c r="C108" s="257"/>
      <c r="D108" s="258"/>
      <c r="E108" s="258"/>
      <c r="F108" s="259"/>
      <c r="G108" s="259"/>
      <c r="H108" s="260"/>
      <c r="I108" s="261" t="str">
        <f>IFERROR(MID(作者统计[[#This Row],[作者]],FIND("[",作者统计[[#This Row],[作者]],1)+1,FIND("]",作者统计[[#This Row],[作者]],1)-FIND("[",作者统计[[#This Row],[作者]],1)-1),"")</f>
        <v/>
      </c>
      <c r="J108" s="261" t="str">
        <f>IFERROR(MID(作者统计[[#This Row],[作者]],FIND("(",作者统计[[#This Row],[作者]],1)+1,FIND(")",作者统计[[#This Row],[作者]],1)-FIND("(",作者统计[[#This Row],[作者]],1)-1),"")</f>
        <v/>
      </c>
      <c r="L108" s="6"/>
      <c r="M108" s="5"/>
      <c r="U108" s="5"/>
      <c r="W108"/>
    </row>
    <row r="109" spans="2:23" ht="18" customHeight="1" x14ac:dyDescent="0.25">
      <c r="B109" s="256"/>
      <c r="C109" s="257"/>
      <c r="D109" s="258"/>
      <c r="E109" s="258"/>
      <c r="F109" s="259"/>
      <c r="G109" s="259"/>
      <c r="H109" s="260"/>
      <c r="I109" s="261" t="str">
        <f>IFERROR(MID(作者统计[[#This Row],[作者]],FIND("[",作者统计[[#This Row],[作者]],1)+1,FIND("]",作者统计[[#This Row],[作者]],1)-FIND("[",作者统计[[#This Row],[作者]],1)-1),"")</f>
        <v/>
      </c>
      <c r="J109" s="261" t="str">
        <f>IFERROR(MID(作者统计[[#This Row],[作者]],FIND("(",作者统计[[#This Row],[作者]],1)+1,FIND(")",作者统计[[#This Row],[作者]],1)-FIND("(",作者统计[[#This Row],[作者]],1)-1),"")</f>
        <v/>
      </c>
      <c r="L109" s="6"/>
      <c r="M109" s="5"/>
      <c r="U109" s="5"/>
      <c r="W109"/>
    </row>
    <row r="110" spans="2:23" ht="18" customHeight="1" x14ac:dyDescent="0.25">
      <c r="B110" s="309"/>
      <c r="C110" s="120"/>
      <c r="D110" s="121"/>
      <c r="E110" s="121"/>
      <c r="F110" s="92"/>
      <c r="G110" s="92"/>
      <c r="H110" s="122"/>
      <c r="I110" s="68" t="str">
        <f>IFERROR(MID(作者统计[[#This Row],[作者]],FIND("[",作者统计[[#This Row],[作者]],1)+1,FIND("]",作者统计[[#This Row],[作者]],1)-FIND("[",作者统计[[#This Row],[作者]],1)-1),"")</f>
        <v/>
      </c>
      <c r="J110" s="68" t="str">
        <f>IFERROR(MID(作者统计[[#This Row],[作者]],FIND("(",作者统计[[#This Row],[作者]],1)+1,FIND(")",作者统计[[#This Row],[作者]],1)-FIND("(",作者统计[[#This Row],[作者]],1)-1),"")</f>
        <v/>
      </c>
      <c r="L110" s="6"/>
      <c r="M110" s="5"/>
      <c r="U110" s="5"/>
      <c r="W110"/>
    </row>
    <row r="111" spans="2:23" ht="18" customHeight="1" x14ac:dyDescent="0.25">
      <c r="B111" s="256"/>
      <c r="C111" s="257"/>
      <c r="D111" s="258"/>
      <c r="E111" s="258"/>
      <c r="F111" s="259"/>
      <c r="G111" s="259"/>
      <c r="H111" s="260"/>
      <c r="I111" s="261" t="str">
        <f>IFERROR(MID(作者统计[[#This Row],[作者]],FIND("[",作者统计[[#This Row],[作者]],1)+1,FIND("]",作者统计[[#This Row],[作者]],1)-FIND("[",作者统计[[#This Row],[作者]],1)-1),"")</f>
        <v/>
      </c>
      <c r="J111" s="261" t="str">
        <f>IFERROR(MID(作者统计[[#This Row],[作者]],FIND("(",作者统计[[#This Row],[作者]],1)+1,FIND(")",作者统计[[#This Row],[作者]],1)-FIND("(",作者统计[[#This Row],[作者]],1)-1),"")</f>
        <v/>
      </c>
      <c r="L111" s="6"/>
      <c r="M111" s="5"/>
      <c r="U111" s="5"/>
      <c r="W111"/>
    </row>
    <row r="112" spans="2:23" ht="18" customHeight="1" x14ac:dyDescent="0.25">
      <c r="B112" s="256"/>
      <c r="C112" s="257"/>
      <c r="D112" s="258"/>
      <c r="E112" s="258"/>
      <c r="F112" s="259"/>
      <c r="G112" s="259"/>
      <c r="H112" s="260"/>
      <c r="I112" s="261" t="str">
        <f>IFERROR(MID(作者统计[[#This Row],[作者]],FIND("[",作者统计[[#This Row],[作者]],1)+1,FIND("]",作者统计[[#This Row],[作者]],1)-FIND("[",作者统计[[#This Row],[作者]],1)-1),"")</f>
        <v/>
      </c>
      <c r="J112" s="261" t="str">
        <f>IFERROR(MID(作者统计[[#This Row],[作者]],FIND("(",作者统计[[#This Row],[作者]],1)+1,FIND(")",作者统计[[#This Row],[作者]],1)-FIND("(",作者统计[[#This Row],[作者]],1)-1),"")</f>
        <v/>
      </c>
      <c r="L112" s="6"/>
      <c r="M112" s="5"/>
      <c r="U112" s="5"/>
      <c r="W112"/>
    </row>
    <row r="113" spans="2:23" ht="18" customHeight="1" x14ac:dyDescent="0.25">
      <c r="B113" s="256"/>
      <c r="C113" s="257"/>
      <c r="D113" s="258"/>
      <c r="E113" s="258"/>
      <c r="F113" s="259"/>
      <c r="G113" s="259"/>
      <c r="H113" s="260"/>
      <c r="I113" s="261" t="str">
        <f>IFERROR(MID(作者统计[[#This Row],[作者]],FIND("[",作者统计[[#This Row],[作者]],1)+1,FIND("]",作者统计[[#This Row],[作者]],1)-FIND("[",作者统计[[#This Row],[作者]],1)-1),"")</f>
        <v/>
      </c>
      <c r="J113" s="261" t="str">
        <f>IFERROR(MID(作者统计[[#This Row],[作者]],FIND("(",作者统计[[#This Row],[作者]],1)+1,FIND(")",作者统计[[#This Row],[作者]],1)-FIND("(",作者统计[[#This Row],[作者]],1)-1),"")</f>
        <v/>
      </c>
      <c r="L113" s="6"/>
      <c r="M113" s="5"/>
      <c r="U113" s="5"/>
      <c r="W113"/>
    </row>
    <row r="114" spans="2:23" ht="18" customHeight="1" x14ac:dyDescent="0.25">
      <c r="B114" s="256"/>
      <c r="C114" s="257"/>
      <c r="D114" s="258"/>
      <c r="E114" s="258"/>
      <c r="F114" s="259"/>
      <c r="G114" s="259"/>
      <c r="H114" s="260"/>
      <c r="I114" s="261" t="str">
        <f>IFERROR(MID(作者统计[[#This Row],[作者]],FIND("[",作者统计[[#This Row],[作者]],1)+1,FIND("]",作者统计[[#This Row],[作者]],1)-FIND("[",作者统计[[#This Row],[作者]],1)-1),"")</f>
        <v/>
      </c>
      <c r="J114" s="261" t="str">
        <f>IFERROR(MID(作者统计[[#This Row],[作者]],FIND("(",作者统计[[#This Row],[作者]],1)+1,FIND(")",作者统计[[#This Row],[作者]],1)-FIND("(",作者统计[[#This Row],[作者]],1)-1),"")</f>
        <v/>
      </c>
      <c r="L114" s="6"/>
      <c r="M114" s="5"/>
      <c r="U114" s="5"/>
      <c r="W114"/>
    </row>
    <row r="115" spans="2:23" ht="18" customHeight="1" x14ac:dyDescent="0.25">
      <c r="B115" s="256"/>
      <c r="C115" s="257"/>
      <c r="D115" s="258"/>
      <c r="E115" s="258"/>
      <c r="F115" s="259"/>
      <c r="G115" s="259"/>
      <c r="H115" s="260"/>
      <c r="I115" s="261" t="str">
        <f>IFERROR(MID(作者统计[[#This Row],[作者]],FIND("[",作者统计[[#This Row],[作者]],1)+1,FIND("]",作者统计[[#This Row],[作者]],1)-FIND("[",作者统计[[#This Row],[作者]],1)-1),"")</f>
        <v/>
      </c>
      <c r="J115" s="261" t="str">
        <f>IFERROR(MID(作者统计[[#This Row],[作者]],FIND("(",作者统计[[#This Row],[作者]],1)+1,FIND(")",作者统计[[#This Row],[作者]],1)-FIND("(",作者统计[[#This Row],[作者]],1)-1),"")</f>
        <v/>
      </c>
      <c r="L115" s="6"/>
      <c r="M115" s="5"/>
      <c r="U115" s="5"/>
      <c r="W115"/>
    </row>
    <row r="116" spans="2:23" ht="18" customHeight="1" x14ac:dyDescent="0.25">
      <c r="B116" s="256"/>
      <c r="C116" s="257"/>
      <c r="D116" s="258"/>
      <c r="E116" s="258"/>
      <c r="F116" s="259"/>
      <c r="G116" s="259"/>
      <c r="H116" s="260"/>
      <c r="I116" s="261" t="str">
        <f>IFERROR(MID(作者统计[[#This Row],[作者]],FIND("[",作者统计[[#This Row],[作者]],1)+1,FIND("]",作者统计[[#This Row],[作者]],1)-FIND("[",作者统计[[#This Row],[作者]],1)-1),"")</f>
        <v/>
      </c>
      <c r="J116" s="261" t="str">
        <f>IFERROR(MID(作者统计[[#This Row],[作者]],FIND("(",作者统计[[#This Row],[作者]],1)+1,FIND(")",作者统计[[#This Row],[作者]],1)-FIND("(",作者统计[[#This Row],[作者]],1)-1),"")</f>
        <v/>
      </c>
      <c r="L116" s="6"/>
      <c r="M116" s="5"/>
      <c r="U116" s="5"/>
      <c r="W116"/>
    </row>
    <row r="117" spans="2:23" ht="18" customHeight="1" x14ac:dyDescent="0.25">
      <c r="B117" s="256"/>
      <c r="C117" s="257"/>
      <c r="D117" s="258"/>
      <c r="E117" s="258"/>
      <c r="F117" s="259"/>
      <c r="G117" s="259"/>
      <c r="H117" s="260"/>
      <c r="I117" s="261" t="str">
        <f>IFERROR(MID(作者统计[[#This Row],[作者]],FIND("[",作者统计[[#This Row],[作者]],1)+1,FIND("]",作者统计[[#This Row],[作者]],1)-FIND("[",作者统计[[#This Row],[作者]],1)-1),"")</f>
        <v/>
      </c>
      <c r="J117" s="261" t="str">
        <f>IFERROR(MID(作者统计[[#This Row],[作者]],FIND("(",作者统计[[#This Row],[作者]],1)+1,FIND(")",作者统计[[#This Row],[作者]],1)-FIND("(",作者统计[[#This Row],[作者]],1)-1),"")</f>
        <v/>
      </c>
      <c r="L117" s="6"/>
      <c r="M117" s="5"/>
      <c r="U117" s="5"/>
      <c r="W117"/>
    </row>
    <row r="118" spans="2:23" ht="18" customHeight="1" x14ac:dyDescent="0.25">
      <c r="B118" s="85"/>
      <c r="C118" s="120"/>
      <c r="D118" s="121"/>
      <c r="E118" s="121"/>
      <c r="F118" s="92"/>
      <c r="G118" s="92"/>
      <c r="H118" s="122"/>
      <c r="I118" s="68" t="str">
        <f>IFERROR(MID(作者统计[[#This Row],[作者]],FIND("[",作者统计[[#This Row],[作者]],1)+1,FIND("]",作者统计[[#This Row],[作者]],1)-FIND("[",作者统计[[#This Row],[作者]],1)-1),"")</f>
        <v/>
      </c>
      <c r="J118" s="68" t="str">
        <f>IFERROR(MID(作者统计[[#This Row],[作者]],FIND("(",作者统计[[#This Row],[作者]],1)+1,FIND(")",作者统计[[#This Row],[作者]],1)-FIND("(",作者统计[[#This Row],[作者]],1)-1),"")</f>
        <v/>
      </c>
      <c r="L118" s="6"/>
      <c r="M118" s="5"/>
      <c r="U118" s="5"/>
      <c r="W118"/>
    </row>
    <row r="119" spans="2:23" ht="18" customHeight="1" x14ac:dyDescent="0.25">
      <c r="B119" s="309"/>
      <c r="C119" s="120"/>
      <c r="D119" s="121"/>
      <c r="E119" s="121"/>
      <c r="F119" s="92"/>
      <c r="G119" s="92"/>
      <c r="H119" s="122"/>
      <c r="I119" s="68" t="str">
        <f>IFERROR(MID(作者统计[[#This Row],[作者]],FIND("[",作者统计[[#This Row],[作者]],1)+1,FIND("]",作者统计[[#This Row],[作者]],1)-FIND("[",作者统计[[#This Row],[作者]],1)-1),"")</f>
        <v/>
      </c>
      <c r="J119" s="68" t="str">
        <f>IFERROR(MID(作者统计[[#This Row],[作者]],FIND("(",作者统计[[#This Row],[作者]],1)+1,FIND(")",作者统计[[#This Row],[作者]],1)-FIND("(",作者统计[[#This Row],[作者]],1)-1),"")</f>
        <v/>
      </c>
      <c r="L119" s="6"/>
      <c r="M119" s="5"/>
      <c r="U119" s="5"/>
      <c r="W119"/>
    </row>
    <row r="120" spans="2:23" ht="18" customHeight="1" x14ac:dyDescent="0.25">
      <c r="B120" s="85"/>
      <c r="C120" s="120"/>
      <c r="D120" s="121"/>
      <c r="E120" s="121"/>
      <c r="F120" s="92"/>
      <c r="G120" s="92"/>
      <c r="H120" s="122"/>
      <c r="I120" s="68" t="str">
        <f>IFERROR(MID(作者统计[[#This Row],[作者]],FIND("[",作者统计[[#This Row],[作者]],1)+1,FIND("]",作者统计[[#This Row],[作者]],1)-FIND("[",作者统计[[#This Row],[作者]],1)-1),"")</f>
        <v/>
      </c>
      <c r="J120" s="68" t="str">
        <f>IFERROR(MID(作者统计[[#This Row],[作者]],FIND("(",作者统计[[#This Row],[作者]],1)+1,FIND(")",作者统计[[#This Row],[作者]],1)-FIND("(",作者统计[[#This Row],[作者]],1)-1),"")</f>
        <v/>
      </c>
      <c r="L120" s="6"/>
      <c r="M120" s="5"/>
      <c r="U120" s="5"/>
      <c r="W120"/>
    </row>
    <row r="121" spans="2:23" ht="18" customHeight="1" x14ac:dyDescent="0.25">
      <c r="B121" s="85"/>
      <c r="C121" s="120"/>
      <c r="D121" s="121"/>
      <c r="E121" s="121"/>
      <c r="F121" s="92"/>
      <c r="G121" s="92"/>
      <c r="H121" s="122"/>
      <c r="I121" s="68" t="str">
        <f>IFERROR(MID(作者统计[[#This Row],[作者]],FIND("[",作者统计[[#This Row],[作者]],1)+1,FIND("]",作者统计[[#This Row],[作者]],1)-FIND("[",作者统计[[#This Row],[作者]],1)-1),"")</f>
        <v/>
      </c>
      <c r="J121" s="68" t="str">
        <f>IFERROR(MID(作者统计[[#This Row],[作者]],FIND("(",作者统计[[#This Row],[作者]],1)+1,FIND(")",作者统计[[#This Row],[作者]],1)-FIND("(",作者统计[[#This Row],[作者]],1)-1),"")</f>
        <v/>
      </c>
      <c r="L121" s="6"/>
      <c r="M121" s="5"/>
      <c r="U121" s="5"/>
      <c r="W121"/>
    </row>
    <row r="122" spans="2:23" ht="18" customHeight="1" x14ac:dyDescent="0.25">
      <c r="B122" s="309"/>
      <c r="C122" s="120"/>
      <c r="D122" s="121"/>
      <c r="E122" s="121"/>
      <c r="F122" s="92"/>
      <c r="G122" s="92"/>
      <c r="H122" s="122"/>
      <c r="I122" s="68" t="str">
        <f>IFERROR(MID(作者统计[[#This Row],[作者]],FIND("[",作者统计[[#This Row],[作者]],1)+1,FIND("]",作者统计[[#This Row],[作者]],1)-FIND("[",作者统计[[#This Row],[作者]],1)-1),"")</f>
        <v/>
      </c>
      <c r="J122" s="68" t="str">
        <f>IFERROR(MID(作者统计[[#This Row],[作者]],FIND("(",作者统计[[#This Row],[作者]],1)+1,FIND(")",作者统计[[#This Row],[作者]],1)-FIND("(",作者统计[[#This Row],[作者]],1)-1),"")</f>
        <v/>
      </c>
      <c r="L122" s="6"/>
      <c r="M122" s="5"/>
      <c r="U122" s="5"/>
      <c r="W122"/>
    </row>
    <row r="123" spans="2:23" ht="18" customHeight="1" x14ac:dyDescent="0.25">
      <c r="B123" s="85"/>
      <c r="C123" s="120"/>
      <c r="D123" s="121"/>
      <c r="E123" s="121"/>
      <c r="F123" s="92"/>
      <c r="G123" s="92"/>
      <c r="H123" s="122"/>
      <c r="I123" s="68" t="str">
        <f>IFERROR(MID(作者统计[[#This Row],[作者]],FIND("[",作者统计[[#This Row],[作者]],1)+1,FIND("]",作者统计[[#This Row],[作者]],1)-FIND("[",作者统计[[#This Row],[作者]],1)-1),"")</f>
        <v/>
      </c>
      <c r="J123" s="68" t="str">
        <f>IFERROR(MID(作者统计[[#This Row],[作者]],FIND("(",作者统计[[#This Row],[作者]],1)+1,FIND(")",作者统计[[#This Row],[作者]],1)-FIND("(",作者统计[[#This Row],[作者]],1)-1),"")</f>
        <v/>
      </c>
      <c r="L123" s="6"/>
      <c r="M123" s="5"/>
      <c r="U123" s="5"/>
      <c r="W123"/>
    </row>
    <row r="124" spans="2:23" ht="18" customHeight="1" x14ac:dyDescent="0.25">
      <c r="B124" s="85"/>
      <c r="C124" s="120"/>
      <c r="D124" s="121"/>
      <c r="E124" s="121"/>
      <c r="F124" s="92"/>
      <c r="G124" s="92"/>
      <c r="H124" s="123"/>
      <c r="I124" s="68" t="str">
        <f>IFERROR(MID(作者统计[[#This Row],[作者]],FIND("[",作者统计[[#This Row],[作者]],1)+1,FIND("]",作者统计[[#This Row],[作者]],1)-FIND("[",作者统计[[#This Row],[作者]],1)-1),"")</f>
        <v/>
      </c>
      <c r="J124" s="68" t="str">
        <f>IFERROR(MID(作者统计[[#This Row],[作者]],FIND("(",作者统计[[#This Row],[作者]],1)+1,FIND(")",作者统计[[#This Row],[作者]],1)-FIND("(",作者统计[[#This Row],[作者]],1)-1),"")</f>
        <v/>
      </c>
      <c r="L124" s="6"/>
      <c r="M124" s="5"/>
      <c r="U124" s="5"/>
      <c r="W124"/>
    </row>
    <row r="125" spans="2:23" ht="18" customHeight="1" x14ac:dyDescent="0.25">
      <c r="B125" s="309"/>
      <c r="C125" s="120"/>
      <c r="D125" s="121"/>
      <c r="E125" s="121"/>
      <c r="F125" s="92"/>
      <c r="G125" s="92"/>
      <c r="H125" s="122"/>
      <c r="I125" s="68" t="str">
        <f>IFERROR(MID(作者统计[[#This Row],[作者]],FIND("[",作者统计[[#This Row],[作者]],1)+1,FIND("]",作者统计[[#This Row],[作者]],1)-FIND("[",作者统计[[#This Row],[作者]],1)-1),"")</f>
        <v/>
      </c>
      <c r="J125" s="68" t="str">
        <f>IFERROR(MID(作者统计[[#This Row],[作者]],FIND("(",作者统计[[#This Row],[作者]],1)+1,FIND(")",作者统计[[#This Row],[作者]],1)-FIND("(",作者统计[[#This Row],[作者]],1)-1),"")</f>
        <v/>
      </c>
      <c r="L125" s="6"/>
      <c r="M125" s="5"/>
      <c r="U125" s="5"/>
      <c r="W125"/>
    </row>
    <row r="126" spans="2:23" ht="18" customHeight="1" x14ac:dyDescent="0.25">
      <c r="B126" s="85"/>
      <c r="C126" s="120"/>
      <c r="D126" s="121"/>
      <c r="E126" s="121"/>
      <c r="F126" s="92"/>
      <c r="G126" s="92"/>
      <c r="H126" s="122"/>
      <c r="I126" s="68" t="str">
        <f>IFERROR(MID(作者统计[[#This Row],[作者]],FIND("[",作者统计[[#This Row],[作者]],1)+1,FIND("]",作者统计[[#This Row],[作者]],1)-FIND("[",作者统计[[#This Row],[作者]],1)-1),"")</f>
        <v/>
      </c>
      <c r="J126" s="68" t="str">
        <f>IFERROR(MID(作者统计[[#This Row],[作者]],FIND("(",作者统计[[#This Row],[作者]],1)+1,FIND(")",作者统计[[#This Row],[作者]],1)-FIND("(",作者统计[[#This Row],[作者]],1)-1),"")</f>
        <v/>
      </c>
      <c r="L126" s="6"/>
      <c r="M126" s="5"/>
      <c r="U126" s="5"/>
      <c r="W126"/>
    </row>
    <row r="127" spans="2:23" ht="18" customHeight="1" x14ac:dyDescent="0.25">
      <c r="B127" s="256"/>
      <c r="C127" s="257"/>
      <c r="D127" s="258"/>
      <c r="E127" s="258"/>
      <c r="F127" s="259"/>
      <c r="G127" s="259"/>
      <c r="H127" s="260"/>
      <c r="I127" s="261" t="str">
        <f>IFERROR(MID(作者统计[[#This Row],[作者]],FIND("[",作者统计[[#This Row],[作者]],1)+1,FIND("]",作者统计[[#This Row],[作者]],1)-FIND("[",作者统计[[#This Row],[作者]],1)-1),"")</f>
        <v/>
      </c>
      <c r="J127" s="261" t="str">
        <f>IFERROR(MID(作者统计[[#This Row],[作者]],FIND("(",作者统计[[#This Row],[作者]],1)+1,FIND(")",作者统计[[#This Row],[作者]],1)-FIND("(",作者统计[[#This Row],[作者]],1)-1),"")</f>
        <v/>
      </c>
      <c r="L127" s="6"/>
      <c r="M127" s="5"/>
      <c r="U127" s="5"/>
      <c r="W127"/>
    </row>
    <row r="128" spans="2:23" ht="18" customHeight="1" x14ac:dyDescent="0.25">
      <c r="B128" s="309"/>
      <c r="C128" s="120"/>
      <c r="D128" s="121"/>
      <c r="E128" s="121"/>
      <c r="F128" s="92"/>
      <c r="G128" s="92"/>
      <c r="H128" s="122"/>
      <c r="I128" s="68" t="str">
        <f>IFERROR(MID(作者统计[[#This Row],[作者]],FIND("[",作者统计[[#This Row],[作者]],1)+1,FIND("]",作者统计[[#This Row],[作者]],1)-FIND("[",作者统计[[#This Row],[作者]],1)-1),"")</f>
        <v/>
      </c>
      <c r="J128" s="68" t="str">
        <f>IFERROR(MID(作者统计[[#This Row],[作者]],FIND("(",作者统计[[#This Row],[作者]],1)+1,FIND(")",作者统计[[#This Row],[作者]],1)-FIND("(",作者统计[[#This Row],[作者]],1)-1),"")</f>
        <v/>
      </c>
      <c r="L128" s="6"/>
      <c r="M128" s="5"/>
      <c r="U128" s="5"/>
      <c r="W128"/>
    </row>
    <row r="129" spans="2:23" ht="18" customHeight="1" x14ac:dyDescent="0.25">
      <c r="B129" s="256"/>
      <c r="C129" s="257"/>
      <c r="D129" s="258"/>
      <c r="E129" s="258"/>
      <c r="F129" s="259"/>
      <c r="G129" s="259"/>
      <c r="H129" s="260"/>
      <c r="I129" s="261" t="str">
        <f>IFERROR(MID(作者统计[[#This Row],[作者]],FIND("[",作者统计[[#This Row],[作者]],1)+1,FIND("]",作者统计[[#This Row],[作者]],1)-FIND("[",作者统计[[#This Row],[作者]],1)-1),"")</f>
        <v/>
      </c>
      <c r="J129" s="261" t="str">
        <f>IFERROR(MID(作者统计[[#This Row],[作者]],FIND("(",作者统计[[#This Row],[作者]],1)+1,FIND(")",作者统计[[#This Row],[作者]],1)-FIND("(",作者统计[[#This Row],[作者]],1)-1),"")</f>
        <v/>
      </c>
      <c r="L129" s="6"/>
      <c r="M129" s="5"/>
      <c r="U129" s="5"/>
      <c r="W129"/>
    </row>
    <row r="130" spans="2:23" ht="18" customHeight="1" x14ac:dyDescent="0.25">
      <c r="B130" s="256"/>
      <c r="C130" s="257"/>
      <c r="D130" s="258"/>
      <c r="E130" s="258"/>
      <c r="F130" s="259"/>
      <c r="G130" s="259"/>
      <c r="H130" s="260"/>
      <c r="I130" s="261" t="str">
        <f>IFERROR(MID(作者统计[[#This Row],[作者]],FIND("[",作者统计[[#This Row],[作者]],1)+1,FIND("]",作者统计[[#This Row],[作者]],1)-FIND("[",作者统计[[#This Row],[作者]],1)-1),"")</f>
        <v/>
      </c>
      <c r="J130" s="261" t="str">
        <f>IFERROR(MID(作者统计[[#This Row],[作者]],FIND("(",作者统计[[#This Row],[作者]],1)+1,FIND(")",作者统计[[#This Row],[作者]],1)-FIND("(",作者统计[[#This Row],[作者]],1)-1),"")</f>
        <v/>
      </c>
      <c r="L130" s="6"/>
      <c r="M130" s="5"/>
      <c r="U130" s="5"/>
      <c r="W130"/>
    </row>
    <row r="131" spans="2:23" ht="18" customHeight="1" x14ac:dyDescent="0.25">
      <c r="B131" s="309"/>
      <c r="C131" s="120"/>
      <c r="D131" s="121"/>
      <c r="E131" s="121"/>
      <c r="F131" s="92"/>
      <c r="G131" s="92"/>
      <c r="H131" s="122"/>
      <c r="I131" s="68" t="str">
        <f>IFERROR(MID(作者统计[[#This Row],[作者]],FIND("[",作者统计[[#This Row],[作者]],1)+1,FIND("]",作者统计[[#This Row],[作者]],1)-FIND("[",作者统计[[#This Row],[作者]],1)-1),"")</f>
        <v/>
      </c>
      <c r="J131" s="68" t="str">
        <f>IFERROR(MID(作者统计[[#This Row],[作者]],FIND("(",作者统计[[#This Row],[作者]],1)+1,FIND(")",作者统计[[#This Row],[作者]],1)-FIND("(",作者统计[[#This Row],[作者]],1)-1),"")</f>
        <v/>
      </c>
      <c r="L131" s="6"/>
      <c r="M131" s="5"/>
      <c r="U131" s="5"/>
      <c r="W131"/>
    </row>
    <row r="132" spans="2:23" ht="18" customHeight="1" x14ac:dyDescent="0.25">
      <c r="B132" s="309"/>
      <c r="C132" s="120"/>
      <c r="D132" s="121"/>
      <c r="E132" s="121"/>
      <c r="F132" s="92"/>
      <c r="G132" s="92"/>
      <c r="H132" s="122"/>
      <c r="I132" s="68" t="str">
        <f>IFERROR(MID(作者统计[[#This Row],[作者]],FIND("[",作者统计[[#This Row],[作者]],1)+1,FIND("]",作者统计[[#This Row],[作者]],1)-FIND("[",作者统计[[#This Row],[作者]],1)-1),"")</f>
        <v/>
      </c>
      <c r="J132" s="68" t="str">
        <f>IFERROR(MID(作者统计[[#This Row],[作者]],FIND("(",作者统计[[#This Row],[作者]],1)+1,FIND(")",作者统计[[#This Row],[作者]],1)-FIND("(",作者统计[[#This Row],[作者]],1)-1),"")</f>
        <v/>
      </c>
      <c r="L132" s="6"/>
      <c r="M132" s="5"/>
      <c r="U132" s="5"/>
      <c r="W132"/>
    </row>
    <row r="133" spans="2:23" ht="18" customHeight="1" x14ac:dyDescent="0.25">
      <c r="B133" s="309"/>
      <c r="C133" s="120"/>
      <c r="D133" s="121"/>
      <c r="E133" s="121"/>
      <c r="F133" s="92"/>
      <c r="G133" s="92"/>
      <c r="H133" s="122"/>
      <c r="I133" s="68" t="str">
        <f>IFERROR(MID(作者统计[[#This Row],[作者]],FIND("[",作者统计[[#This Row],[作者]],1)+1,FIND("]",作者统计[[#This Row],[作者]],1)-FIND("[",作者统计[[#This Row],[作者]],1)-1),"")</f>
        <v/>
      </c>
      <c r="J133" s="68" t="str">
        <f>IFERROR(MID(作者统计[[#This Row],[作者]],FIND("(",作者统计[[#This Row],[作者]],1)+1,FIND(")",作者统计[[#This Row],[作者]],1)-FIND("(",作者统计[[#This Row],[作者]],1)-1),"")</f>
        <v/>
      </c>
      <c r="L133" s="6"/>
      <c r="M133" s="5"/>
      <c r="U133" s="5"/>
      <c r="W133"/>
    </row>
    <row r="134" spans="2:23" ht="18" customHeight="1" x14ac:dyDescent="0.25">
      <c r="B134" s="256"/>
      <c r="C134" s="257"/>
      <c r="D134" s="258"/>
      <c r="E134" s="258"/>
      <c r="F134" s="259"/>
      <c r="G134" s="259"/>
      <c r="H134" s="260"/>
      <c r="I134" s="261" t="str">
        <f>IFERROR(MID(作者统计[[#This Row],[作者]],FIND("[",作者统计[[#This Row],[作者]],1)+1,FIND("]",作者统计[[#This Row],[作者]],1)-FIND("[",作者统计[[#This Row],[作者]],1)-1),"")</f>
        <v/>
      </c>
      <c r="J134" s="261" t="str">
        <f>IFERROR(MID(作者统计[[#This Row],[作者]],FIND("(",作者统计[[#This Row],[作者]],1)+1,FIND(")",作者统计[[#This Row],[作者]],1)-FIND("(",作者统计[[#This Row],[作者]],1)-1),"")</f>
        <v/>
      </c>
      <c r="L134" s="6"/>
      <c r="M134" s="5"/>
      <c r="U134" s="5"/>
      <c r="W134"/>
    </row>
    <row r="135" spans="2:23" ht="18" customHeight="1" x14ac:dyDescent="0.25">
      <c r="B135" s="256"/>
      <c r="C135" s="257"/>
      <c r="D135" s="258"/>
      <c r="E135" s="258"/>
      <c r="F135" s="259"/>
      <c r="G135" s="259"/>
      <c r="H135" s="260"/>
      <c r="I135" s="261" t="str">
        <f>IFERROR(MID(作者统计[[#This Row],[作者]],FIND("[",作者统计[[#This Row],[作者]],1)+1,FIND("]",作者统计[[#This Row],[作者]],1)-FIND("[",作者统计[[#This Row],[作者]],1)-1),"")</f>
        <v/>
      </c>
      <c r="J135" s="261" t="str">
        <f>IFERROR(MID(作者统计[[#This Row],[作者]],FIND("(",作者统计[[#This Row],[作者]],1)+1,FIND(")",作者统计[[#This Row],[作者]],1)-FIND("(",作者统计[[#This Row],[作者]],1)-1),"")</f>
        <v/>
      </c>
      <c r="L135" s="6"/>
      <c r="M135" s="5"/>
      <c r="U135" s="5"/>
      <c r="W135"/>
    </row>
    <row r="136" spans="2:23" ht="18" customHeight="1" x14ac:dyDescent="0.25">
      <c r="B136" s="309"/>
      <c r="C136" s="120"/>
      <c r="D136" s="121"/>
      <c r="E136" s="121"/>
      <c r="F136" s="92"/>
      <c r="G136" s="92"/>
      <c r="H136" s="122"/>
      <c r="I136" s="68" t="str">
        <f>IFERROR(MID(作者统计[[#This Row],[作者]],FIND("[",作者统计[[#This Row],[作者]],1)+1,FIND("]",作者统计[[#This Row],[作者]],1)-FIND("[",作者统计[[#This Row],[作者]],1)-1),"")</f>
        <v/>
      </c>
      <c r="J136" s="68" t="str">
        <f>IFERROR(MID(作者统计[[#This Row],[作者]],FIND("(",作者统计[[#This Row],[作者]],1)+1,FIND(")",作者统计[[#This Row],[作者]],1)-FIND("(",作者统计[[#This Row],[作者]],1)-1),"")</f>
        <v/>
      </c>
      <c r="L136" s="6"/>
      <c r="M136" s="5"/>
      <c r="U136" s="5"/>
      <c r="W136"/>
    </row>
    <row r="137" spans="2:23" ht="18" customHeight="1" x14ac:dyDescent="0.25">
      <c r="B137" s="85"/>
      <c r="C137" s="120"/>
      <c r="D137" s="121"/>
      <c r="E137" s="121"/>
      <c r="F137" s="92"/>
      <c r="G137" s="92"/>
      <c r="H137" s="122"/>
      <c r="I137" s="68" t="str">
        <f>IFERROR(MID(作者统计[[#This Row],[作者]],FIND("[",作者统计[[#This Row],[作者]],1)+1,FIND("]",作者统计[[#This Row],[作者]],1)-FIND("[",作者统计[[#This Row],[作者]],1)-1),"")</f>
        <v/>
      </c>
      <c r="J137" s="68" t="str">
        <f>IFERROR(MID(作者统计[[#This Row],[作者]],FIND("(",作者统计[[#This Row],[作者]],1)+1,FIND(")",作者统计[[#This Row],[作者]],1)-FIND("(",作者统计[[#This Row],[作者]],1)-1),"")</f>
        <v/>
      </c>
      <c r="L137" s="6"/>
      <c r="M137" s="5"/>
      <c r="U137" s="5"/>
      <c r="W137"/>
    </row>
    <row r="138" spans="2:23" ht="18" customHeight="1" x14ac:dyDescent="0.25">
      <c r="B138" s="85"/>
      <c r="C138" s="120"/>
      <c r="D138" s="121"/>
      <c r="E138" s="121"/>
      <c r="F138" s="92"/>
      <c r="G138" s="92"/>
      <c r="H138" s="122"/>
      <c r="I138" s="68" t="str">
        <f>IFERROR(MID(作者统计[[#This Row],[作者]],FIND("[",作者统计[[#This Row],[作者]],1)+1,FIND("]",作者统计[[#This Row],[作者]],1)-FIND("[",作者统计[[#This Row],[作者]],1)-1),"")</f>
        <v/>
      </c>
      <c r="J138" s="68" t="str">
        <f>IFERROR(MID(作者统计[[#This Row],[作者]],FIND("(",作者统计[[#This Row],[作者]],1)+1,FIND(")",作者统计[[#This Row],[作者]],1)-FIND("(",作者统计[[#This Row],[作者]],1)-1),"")</f>
        <v/>
      </c>
      <c r="L138" s="6"/>
      <c r="M138" s="5"/>
      <c r="U138" s="5"/>
      <c r="W138"/>
    </row>
    <row r="139" spans="2:23" ht="18" customHeight="1" x14ac:dyDescent="0.25">
      <c r="B139" s="309"/>
      <c r="C139" s="120"/>
      <c r="D139" s="121"/>
      <c r="E139" s="121"/>
      <c r="F139" s="92"/>
      <c r="G139" s="92"/>
      <c r="H139" s="122"/>
      <c r="I139" s="68" t="str">
        <f>IFERROR(MID(作者统计[[#This Row],[作者]],FIND("[",作者统计[[#This Row],[作者]],1)+1,FIND("]",作者统计[[#This Row],[作者]],1)-FIND("[",作者统计[[#This Row],[作者]],1)-1),"")</f>
        <v/>
      </c>
      <c r="J139" s="68" t="str">
        <f>IFERROR(MID(作者统计[[#This Row],[作者]],FIND("(",作者统计[[#This Row],[作者]],1)+1,FIND(")",作者统计[[#This Row],[作者]],1)-FIND("(",作者统计[[#This Row],[作者]],1)-1),"")</f>
        <v/>
      </c>
      <c r="L139" s="6"/>
      <c r="M139" s="5"/>
      <c r="U139" s="5"/>
      <c r="W139"/>
    </row>
    <row r="140" spans="2:23" ht="18" customHeight="1" x14ac:dyDescent="0.25">
      <c r="B140" s="309"/>
      <c r="C140" s="120"/>
      <c r="D140" s="121"/>
      <c r="E140" s="121"/>
      <c r="F140" s="92"/>
      <c r="G140" s="92"/>
      <c r="H140" s="122"/>
      <c r="I140" s="68" t="str">
        <f>IFERROR(MID(作者统计[[#This Row],[作者]],FIND("[",作者统计[[#This Row],[作者]],1)+1,FIND("]",作者统计[[#This Row],[作者]],1)-FIND("[",作者统计[[#This Row],[作者]],1)-1),"")</f>
        <v/>
      </c>
      <c r="J140" s="68" t="str">
        <f>IFERROR(MID(作者统计[[#This Row],[作者]],FIND("(",作者统计[[#This Row],[作者]],1)+1,FIND(")",作者统计[[#This Row],[作者]],1)-FIND("(",作者统计[[#This Row],[作者]],1)-1),"")</f>
        <v/>
      </c>
      <c r="L140" s="6"/>
      <c r="M140" s="5"/>
      <c r="U140" s="5"/>
      <c r="W140"/>
    </row>
    <row r="141" spans="2:23" ht="18" customHeight="1" x14ac:dyDescent="0.25">
      <c r="B141" s="309"/>
      <c r="C141" s="120"/>
      <c r="D141" s="121"/>
      <c r="E141" s="121"/>
      <c r="F141" s="92"/>
      <c r="G141" s="92"/>
      <c r="H141" s="122"/>
      <c r="I141" s="68" t="str">
        <f>IFERROR(MID(作者统计[[#This Row],[作者]],FIND("[",作者统计[[#This Row],[作者]],1)+1,FIND("]",作者统计[[#This Row],[作者]],1)-FIND("[",作者统计[[#This Row],[作者]],1)-1),"")</f>
        <v/>
      </c>
      <c r="J141" s="68" t="str">
        <f>IFERROR(MID(作者统计[[#This Row],[作者]],FIND("(",作者统计[[#This Row],[作者]],1)+1,FIND(")",作者统计[[#This Row],[作者]],1)-FIND("(",作者统计[[#This Row],[作者]],1)-1),"")</f>
        <v/>
      </c>
      <c r="L141" s="6"/>
      <c r="M141" s="5"/>
      <c r="U141" s="5"/>
      <c r="W141"/>
    </row>
    <row r="142" spans="2:23" ht="18" customHeight="1" x14ac:dyDescent="0.25">
      <c r="B142" s="85"/>
      <c r="C142" s="120"/>
      <c r="D142" s="121"/>
      <c r="E142" s="121"/>
      <c r="F142" s="92"/>
      <c r="G142" s="92"/>
      <c r="H142" s="122"/>
      <c r="I142" s="68" t="str">
        <f>IFERROR(MID(作者统计[[#This Row],[作者]],FIND("[",作者统计[[#This Row],[作者]],1)+1,FIND("]",作者统计[[#This Row],[作者]],1)-FIND("[",作者统计[[#This Row],[作者]],1)-1),"")</f>
        <v/>
      </c>
      <c r="J142" s="68" t="str">
        <f>IFERROR(MID(作者统计[[#This Row],[作者]],FIND("(",作者统计[[#This Row],[作者]],1)+1,FIND(")",作者统计[[#This Row],[作者]],1)-FIND("(",作者统计[[#This Row],[作者]],1)-1),"")</f>
        <v/>
      </c>
      <c r="L142" s="6"/>
      <c r="M142" s="5"/>
      <c r="U142" s="5"/>
      <c r="W142"/>
    </row>
    <row r="143" spans="2:23" ht="18" customHeight="1" x14ac:dyDescent="0.25">
      <c r="B143" s="256"/>
      <c r="C143" s="257"/>
      <c r="D143" s="258"/>
      <c r="E143" s="258"/>
      <c r="F143" s="259"/>
      <c r="G143" s="259"/>
      <c r="H143" s="260"/>
      <c r="I143" s="261" t="str">
        <f>IFERROR(MID(作者统计[[#This Row],[作者]],FIND("[",作者统计[[#This Row],[作者]],1)+1,FIND("]",作者统计[[#This Row],[作者]],1)-FIND("[",作者统计[[#This Row],[作者]],1)-1),"")</f>
        <v/>
      </c>
      <c r="J143" s="261" t="str">
        <f>IFERROR(MID(作者统计[[#This Row],[作者]],FIND("(",作者统计[[#This Row],[作者]],1)+1,FIND(")",作者统计[[#This Row],[作者]],1)-FIND("(",作者统计[[#This Row],[作者]],1)-1),"")</f>
        <v/>
      </c>
      <c r="L143" s="6"/>
      <c r="M143" s="5"/>
      <c r="U143" s="5"/>
      <c r="W143"/>
    </row>
    <row r="144" spans="2:23" ht="18" customHeight="1" x14ac:dyDescent="0.25">
      <c r="B144" s="309"/>
      <c r="C144" s="120"/>
      <c r="D144" s="121"/>
      <c r="E144" s="121"/>
      <c r="F144" s="92"/>
      <c r="G144" s="92"/>
      <c r="H144" s="122"/>
      <c r="I144" s="68" t="str">
        <f>IFERROR(MID(作者统计[[#This Row],[作者]],FIND("[",作者统计[[#This Row],[作者]],1)+1,FIND("]",作者统计[[#This Row],[作者]],1)-FIND("[",作者统计[[#This Row],[作者]],1)-1),"")</f>
        <v/>
      </c>
      <c r="J144" s="68" t="str">
        <f>IFERROR(MID(作者统计[[#This Row],[作者]],FIND("(",作者统计[[#This Row],[作者]],1)+1,FIND(")",作者统计[[#This Row],[作者]],1)-FIND("(",作者统计[[#This Row],[作者]],1)-1),"")</f>
        <v/>
      </c>
      <c r="L144" s="6"/>
      <c r="M144" s="5"/>
      <c r="U144" s="5"/>
      <c r="W144"/>
    </row>
    <row r="145" spans="2:23" ht="18" customHeight="1" x14ac:dyDescent="0.25">
      <c r="B145" s="256"/>
      <c r="C145" s="257"/>
      <c r="D145" s="258"/>
      <c r="E145" s="258"/>
      <c r="F145" s="259"/>
      <c r="G145" s="259"/>
      <c r="H145" s="260"/>
      <c r="I145" s="261" t="str">
        <f>IFERROR(MID(作者统计[[#This Row],[作者]],FIND("[",作者统计[[#This Row],[作者]],1)+1,FIND("]",作者统计[[#This Row],[作者]],1)-FIND("[",作者统计[[#This Row],[作者]],1)-1),"")</f>
        <v/>
      </c>
      <c r="J145" s="261" t="str">
        <f>IFERROR(MID(作者统计[[#This Row],[作者]],FIND("(",作者统计[[#This Row],[作者]],1)+1,FIND(")",作者统计[[#This Row],[作者]],1)-FIND("(",作者统计[[#This Row],[作者]],1)-1),"")</f>
        <v/>
      </c>
      <c r="L145" s="6"/>
      <c r="M145" s="5"/>
      <c r="U145" s="5"/>
      <c r="W145"/>
    </row>
    <row r="146" spans="2:23" ht="18" customHeight="1" x14ac:dyDescent="0.25">
      <c r="B146" s="309"/>
      <c r="C146" s="120"/>
      <c r="D146" s="121"/>
      <c r="E146" s="121"/>
      <c r="F146" s="92"/>
      <c r="G146" s="92"/>
      <c r="H146" s="122"/>
      <c r="I146" s="68" t="str">
        <f>IFERROR(MID(作者统计[[#This Row],[作者]],FIND("[",作者统计[[#This Row],[作者]],1)+1,FIND("]",作者统计[[#This Row],[作者]],1)-FIND("[",作者统计[[#This Row],[作者]],1)-1),"")</f>
        <v/>
      </c>
      <c r="J146" s="68" t="str">
        <f>IFERROR(MID(作者统计[[#This Row],[作者]],FIND("(",作者统计[[#This Row],[作者]],1)+1,FIND(")",作者统计[[#This Row],[作者]],1)-FIND("(",作者统计[[#This Row],[作者]],1)-1),"")</f>
        <v/>
      </c>
      <c r="L146" s="6"/>
      <c r="M146" s="5"/>
      <c r="U146" s="5"/>
      <c r="W146"/>
    </row>
    <row r="147" spans="2:23" ht="18" customHeight="1" x14ac:dyDescent="0.25">
      <c r="B147" s="309"/>
      <c r="C147" s="120"/>
      <c r="D147" s="121"/>
      <c r="E147" s="121"/>
      <c r="F147" s="92"/>
      <c r="G147" s="92"/>
      <c r="H147" s="122"/>
      <c r="I147" s="68" t="str">
        <f>IFERROR(MID(作者统计[[#This Row],[作者]],FIND("[",作者统计[[#This Row],[作者]],1)+1,FIND("]",作者统计[[#This Row],[作者]],1)-FIND("[",作者统计[[#This Row],[作者]],1)-1),"")</f>
        <v/>
      </c>
      <c r="J147" s="68" t="str">
        <f>IFERROR(MID(作者统计[[#This Row],[作者]],FIND("(",作者统计[[#This Row],[作者]],1)+1,FIND(")",作者统计[[#This Row],[作者]],1)-FIND("(",作者统计[[#This Row],[作者]],1)-1),"")</f>
        <v/>
      </c>
      <c r="L147" s="6"/>
      <c r="M147" s="5"/>
      <c r="U147" s="5"/>
      <c r="W147"/>
    </row>
    <row r="148" spans="2:23" ht="18" customHeight="1" x14ac:dyDescent="0.25">
      <c r="B148" s="309"/>
      <c r="C148" s="120"/>
      <c r="D148" s="121"/>
      <c r="E148" s="121"/>
      <c r="F148" s="92"/>
      <c r="G148" s="92"/>
      <c r="H148" s="122"/>
      <c r="I148" s="68" t="str">
        <f>IFERROR(MID(作者统计[[#This Row],[作者]],FIND("[",作者统计[[#This Row],[作者]],1)+1,FIND("]",作者统计[[#This Row],[作者]],1)-FIND("[",作者统计[[#This Row],[作者]],1)-1),"")</f>
        <v/>
      </c>
      <c r="J148" s="68" t="str">
        <f>IFERROR(MID(作者统计[[#This Row],[作者]],FIND("(",作者统计[[#This Row],[作者]],1)+1,FIND(")",作者统计[[#This Row],[作者]],1)-FIND("(",作者统计[[#This Row],[作者]],1)-1),"")</f>
        <v/>
      </c>
      <c r="L148" s="6"/>
      <c r="M148" s="5"/>
      <c r="U148" s="5"/>
      <c r="W148"/>
    </row>
    <row r="149" spans="2:23" ht="18" customHeight="1" x14ac:dyDescent="0.25">
      <c r="B149" s="256"/>
      <c r="C149" s="257"/>
      <c r="D149" s="258"/>
      <c r="E149" s="258"/>
      <c r="F149" s="259"/>
      <c r="G149" s="259"/>
      <c r="H149" s="260"/>
      <c r="I149" s="261" t="str">
        <f>IFERROR(MID(作者统计[[#This Row],[作者]],FIND("[",作者统计[[#This Row],[作者]],1)+1,FIND("]",作者统计[[#This Row],[作者]],1)-FIND("[",作者统计[[#This Row],[作者]],1)-1),"")</f>
        <v/>
      </c>
      <c r="J149" s="261" t="str">
        <f>IFERROR(MID(作者统计[[#This Row],[作者]],FIND("(",作者统计[[#This Row],[作者]],1)+1,FIND(")",作者统计[[#This Row],[作者]],1)-FIND("(",作者统计[[#This Row],[作者]],1)-1),"")</f>
        <v/>
      </c>
      <c r="L149" s="6"/>
      <c r="M149" s="5"/>
      <c r="U149" s="5"/>
      <c r="W149"/>
    </row>
    <row r="150" spans="2:23" ht="18" customHeight="1" x14ac:dyDescent="0.25">
      <c r="B150" s="256"/>
      <c r="C150" s="257"/>
      <c r="D150" s="258"/>
      <c r="E150" s="258"/>
      <c r="F150" s="259"/>
      <c r="G150" s="259"/>
      <c r="H150" s="260"/>
      <c r="I150" s="261" t="str">
        <f>IFERROR(MID(作者统计[[#This Row],[作者]],FIND("[",作者统计[[#This Row],[作者]],1)+1,FIND("]",作者统计[[#This Row],[作者]],1)-FIND("[",作者统计[[#This Row],[作者]],1)-1),"")</f>
        <v/>
      </c>
      <c r="J150" s="261" t="str">
        <f>IFERROR(MID(作者统计[[#This Row],[作者]],FIND("(",作者统计[[#This Row],[作者]],1)+1,FIND(")",作者统计[[#This Row],[作者]],1)-FIND("(",作者统计[[#This Row],[作者]],1)-1),"")</f>
        <v/>
      </c>
      <c r="L150" s="6"/>
      <c r="M150" s="5"/>
      <c r="U150" s="5"/>
      <c r="W150"/>
    </row>
    <row r="151" spans="2:23" ht="18" customHeight="1" x14ac:dyDescent="0.25">
      <c r="B151" s="85"/>
      <c r="C151" s="120"/>
      <c r="D151" s="121"/>
      <c r="E151" s="121"/>
      <c r="F151" s="92"/>
      <c r="G151" s="92"/>
      <c r="H151" s="122"/>
      <c r="I151" s="68" t="str">
        <f>IFERROR(MID(作者统计[[#This Row],[作者]],FIND("[",作者统计[[#This Row],[作者]],1)+1,FIND("]",作者统计[[#This Row],[作者]],1)-FIND("[",作者统计[[#This Row],[作者]],1)-1),"")</f>
        <v/>
      </c>
      <c r="J151" s="68" t="str">
        <f>IFERROR(MID(作者统计[[#This Row],[作者]],FIND("(",作者统计[[#This Row],[作者]],1)+1,FIND(")",作者统计[[#This Row],[作者]],1)-FIND("(",作者统计[[#This Row],[作者]],1)-1),"")</f>
        <v/>
      </c>
      <c r="L151" s="6"/>
      <c r="M151" s="5"/>
      <c r="U151" s="5"/>
      <c r="W151"/>
    </row>
    <row r="152" spans="2:23" ht="18" customHeight="1" x14ac:dyDescent="0.25">
      <c r="B152" s="85"/>
      <c r="C152" s="120"/>
      <c r="D152" s="121"/>
      <c r="E152" s="121"/>
      <c r="F152" s="92"/>
      <c r="G152" s="92"/>
      <c r="H152" s="122"/>
      <c r="I152" s="68" t="str">
        <f>IFERROR(MID(作者统计[[#This Row],[作者]],FIND("[",作者统计[[#This Row],[作者]],1)+1,FIND("]",作者统计[[#This Row],[作者]],1)-FIND("[",作者统计[[#This Row],[作者]],1)-1),"")</f>
        <v/>
      </c>
      <c r="J152" s="68" t="str">
        <f>IFERROR(MID(作者统计[[#This Row],[作者]],FIND("(",作者统计[[#This Row],[作者]],1)+1,FIND(")",作者统计[[#This Row],[作者]],1)-FIND("(",作者统计[[#This Row],[作者]],1)-1),"")</f>
        <v/>
      </c>
      <c r="L152" s="6"/>
      <c r="M152" s="5"/>
      <c r="U152" s="5"/>
      <c r="W152"/>
    </row>
    <row r="153" spans="2:23" ht="18" customHeight="1" x14ac:dyDescent="0.25">
      <c r="B153" s="309"/>
      <c r="C153" s="120"/>
      <c r="D153" s="121"/>
      <c r="E153" s="121"/>
      <c r="F153" s="92"/>
      <c r="G153" s="92"/>
      <c r="H153" s="122"/>
      <c r="I153" s="68" t="str">
        <f>IFERROR(MID(作者统计[[#This Row],[作者]],FIND("[",作者统计[[#This Row],[作者]],1)+1,FIND("]",作者统计[[#This Row],[作者]],1)-FIND("[",作者统计[[#This Row],[作者]],1)-1),"")</f>
        <v/>
      </c>
      <c r="J153" s="68" t="str">
        <f>IFERROR(MID(作者统计[[#This Row],[作者]],FIND("(",作者统计[[#This Row],[作者]],1)+1,FIND(")",作者统计[[#This Row],[作者]],1)-FIND("(",作者统计[[#This Row],[作者]],1)-1),"")</f>
        <v/>
      </c>
      <c r="L153" s="6"/>
      <c r="M153" s="5"/>
      <c r="U153" s="5"/>
      <c r="W153"/>
    </row>
    <row r="154" spans="2:23" ht="18" customHeight="1" x14ac:dyDescent="0.25">
      <c r="B154" s="256"/>
      <c r="C154" s="257"/>
      <c r="D154" s="258"/>
      <c r="E154" s="258"/>
      <c r="F154" s="259"/>
      <c r="G154" s="259"/>
      <c r="H154" s="260"/>
      <c r="I154" s="261" t="str">
        <f>IFERROR(MID(作者统计[[#This Row],[作者]],FIND("[",作者统计[[#This Row],[作者]],1)+1,FIND("]",作者统计[[#This Row],[作者]],1)-FIND("[",作者统计[[#This Row],[作者]],1)-1),"")</f>
        <v/>
      </c>
      <c r="J154" s="261" t="str">
        <f>IFERROR(MID(作者统计[[#This Row],[作者]],FIND("(",作者统计[[#This Row],[作者]],1)+1,FIND(")",作者统计[[#This Row],[作者]],1)-FIND("(",作者统计[[#This Row],[作者]],1)-1),"")</f>
        <v/>
      </c>
      <c r="L154" s="6"/>
      <c r="M154" s="5"/>
      <c r="U154" s="5"/>
      <c r="W154"/>
    </row>
    <row r="155" spans="2:23" ht="18" customHeight="1" x14ac:dyDescent="0.25">
      <c r="B155" s="256"/>
      <c r="C155" s="257"/>
      <c r="D155" s="258"/>
      <c r="E155" s="258"/>
      <c r="F155" s="259"/>
      <c r="G155" s="259"/>
      <c r="H155" s="260"/>
      <c r="I155" s="261" t="str">
        <f>IFERROR(MID(作者统计[[#This Row],[作者]],FIND("[",作者统计[[#This Row],[作者]],1)+1,FIND("]",作者统计[[#This Row],[作者]],1)-FIND("[",作者统计[[#This Row],[作者]],1)-1),"")</f>
        <v/>
      </c>
      <c r="J155" s="261" t="str">
        <f>IFERROR(MID(作者统计[[#This Row],[作者]],FIND("(",作者统计[[#This Row],[作者]],1)+1,FIND(")",作者统计[[#This Row],[作者]],1)-FIND("(",作者统计[[#This Row],[作者]],1)-1),"")</f>
        <v/>
      </c>
      <c r="L155" s="6"/>
      <c r="M155" s="5"/>
      <c r="U155" s="5"/>
      <c r="W155"/>
    </row>
    <row r="156" spans="2:23" ht="18" customHeight="1" x14ac:dyDescent="0.25">
      <c r="B156" s="85"/>
      <c r="C156" s="120"/>
      <c r="D156" s="121"/>
      <c r="E156" s="121"/>
      <c r="F156" s="92"/>
      <c r="G156" s="92"/>
      <c r="H156" s="122"/>
      <c r="I156" s="68" t="str">
        <f>IFERROR(MID(作者统计[[#This Row],[作者]],FIND("[",作者统计[[#This Row],[作者]],1)+1,FIND("]",作者统计[[#This Row],[作者]],1)-FIND("[",作者统计[[#This Row],[作者]],1)-1),"")</f>
        <v/>
      </c>
      <c r="J156" s="68" t="str">
        <f>IFERROR(MID(作者统计[[#This Row],[作者]],FIND("(",作者统计[[#This Row],[作者]],1)+1,FIND(")",作者统计[[#This Row],[作者]],1)-FIND("(",作者统计[[#This Row],[作者]],1)-1),"")</f>
        <v/>
      </c>
      <c r="L156" s="6"/>
      <c r="M156" s="5"/>
      <c r="U156" s="5"/>
      <c r="W156"/>
    </row>
    <row r="157" spans="2:23" ht="18" customHeight="1" x14ac:dyDescent="0.25">
      <c r="B157" s="309"/>
      <c r="C157" s="120"/>
      <c r="D157" s="121"/>
      <c r="E157" s="121"/>
      <c r="F157" s="92"/>
      <c r="G157" s="92"/>
      <c r="H157" s="122"/>
      <c r="I157" s="68" t="str">
        <f>IFERROR(MID(作者统计[[#This Row],[作者]],FIND("[",作者统计[[#This Row],[作者]],1)+1,FIND("]",作者统计[[#This Row],[作者]],1)-FIND("[",作者统计[[#This Row],[作者]],1)-1),"")</f>
        <v/>
      </c>
      <c r="J157" s="68" t="str">
        <f>IFERROR(MID(作者统计[[#This Row],[作者]],FIND("(",作者统计[[#This Row],[作者]],1)+1,FIND(")",作者统计[[#This Row],[作者]],1)-FIND("(",作者统计[[#This Row],[作者]],1)-1),"")</f>
        <v/>
      </c>
      <c r="L157" s="6"/>
      <c r="M157" s="5"/>
      <c r="U157" s="5"/>
      <c r="W157"/>
    </row>
    <row r="158" spans="2:23" ht="18" customHeight="1" x14ac:dyDescent="0.25">
      <c r="B158" s="85"/>
      <c r="C158" s="120"/>
      <c r="D158" s="121"/>
      <c r="E158" s="121"/>
      <c r="F158" s="92"/>
      <c r="G158" s="92"/>
      <c r="H158" s="122"/>
      <c r="I158" s="68" t="str">
        <f>IFERROR(MID(作者统计[[#This Row],[作者]],FIND("[",作者统计[[#This Row],[作者]],1)+1,FIND("]",作者统计[[#This Row],[作者]],1)-FIND("[",作者统计[[#This Row],[作者]],1)-1),"")</f>
        <v/>
      </c>
      <c r="J158" s="68" t="str">
        <f>IFERROR(MID(作者统计[[#This Row],[作者]],FIND("(",作者统计[[#This Row],[作者]],1)+1,FIND(")",作者统计[[#This Row],[作者]],1)-FIND("(",作者统计[[#This Row],[作者]],1)-1),"")</f>
        <v/>
      </c>
      <c r="L158" s="6"/>
      <c r="M158" s="5"/>
      <c r="U158" s="5"/>
      <c r="W158"/>
    </row>
    <row r="159" spans="2:23" ht="18" customHeight="1" x14ac:dyDescent="0.25">
      <c r="B159" s="85"/>
      <c r="C159" s="120"/>
      <c r="D159" s="121"/>
      <c r="E159" s="121"/>
      <c r="F159" s="92"/>
      <c r="G159" s="92"/>
      <c r="H159" s="122"/>
      <c r="I159" s="68" t="str">
        <f>IFERROR(MID(作者统计[[#This Row],[作者]],FIND("[",作者统计[[#This Row],[作者]],1)+1,FIND("]",作者统计[[#This Row],[作者]],1)-FIND("[",作者统计[[#This Row],[作者]],1)-1),"")</f>
        <v/>
      </c>
      <c r="J159" s="68" t="str">
        <f>IFERROR(MID(作者统计[[#This Row],[作者]],FIND("(",作者统计[[#This Row],[作者]],1)+1,FIND(")",作者统计[[#This Row],[作者]],1)-FIND("(",作者统计[[#This Row],[作者]],1)-1),"")</f>
        <v/>
      </c>
      <c r="L159" s="6"/>
      <c r="M159" s="5"/>
      <c r="U159" s="5"/>
      <c r="W159"/>
    </row>
    <row r="160" spans="2:23" ht="18" customHeight="1" x14ac:dyDescent="0.25">
      <c r="B160" s="309"/>
      <c r="C160" s="120"/>
      <c r="D160" s="121"/>
      <c r="E160" s="121"/>
      <c r="F160" s="92"/>
      <c r="G160" s="92"/>
      <c r="H160" s="122"/>
      <c r="I160" s="68" t="str">
        <f>IFERROR(MID(作者统计[[#This Row],[作者]],FIND("[",作者统计[[#This Row],[作者]],1)+1,FIND("]",作者统计[[#This Row],[作者]],1)-FIND("[",作者统计[[#This Row],[作者]],1)-1),"")</f>
        <v/>
      </c>
      <c r="J160" s="68" t="str">
        <f>IFERROR(MID(作者统计[[#This Row],[作者]],FIND("(",作者统计[[#This Row],[作者]],1)+1,FIND(")",作者统计[[#This Row],[作者]],1)-FIND("(",作者统计[[#This Row],[作者]],1)-1),"")</f>
        <v/>
      </c>
      <c r="L160" s="6"/>
      <c r="M160" s="5"/>
      <c r="U160" s="5"/>
      <c r="W160"/>
    </row>
    <row r="161" spans="2:23" ht="18" customHeight="1" x14ac:dyDescent="0.25">
      <c r="B161" s="256"/>
      <c r="C161" s="257"/>
      <c r="D161" s="258"/>
      <c r="E161" s="258"/>
      <c r="F161" s="259"/>
      <c r="G161" s="259"/>
      <c r="H161" s="260"/>
      <c r="I161" s="261" t="str">
        <f>IFERROR(MID(作者统计[[#This Row],[作者]],FIND("[",作者统计[[#This Row],[作者]],1)+1,FIND("]",作者统计[[#This Row],[作者]],1)-FIND("[",作者统计[[#This Row],[作者]],1)-1),"")</f>
        <v/>
      </c>
      <c r="J161" s="261" t="str">
        <f>IFERROR(MID(作者统计[[#This Row],[作者]],FIND("(",作者统计[[#This Row],[作者]],1)+1,FIND(")",作者统计[[#This Row],[作者]],1)-FIND("(",作者统计[[#This Row],[作者]],1)-1),"")</f>
        <v/>
      </c>
      <c r="L161" s="6"/>
      <c r="M161" s="5"/>
      <c r="U161" s="5"/>
      <c r="W161"/>
    </row>
    <row r="162" spans="2:23" ht="18" customHeight="1" x14ac:dyDescent="0.25">
      <c r="B162" s="85"/>
      <c r="C162" s="120"/>
      <c r="D162" s="121"/>
      <c r="E162" s="121"/>
      <c r="F162" s="92"/>
      <c r="G162" s="92"/>
      <c r="H162" s="122"/>
      <c r="I162" s="68" t="str">
        <f>IFERROR(MID(作者统计[[#This Row],[作者]],FIND("[",作者统计[[#This Row],[作者]],1)+1,FIND("]",作者统计[[#This Row],[作者]],1)-FIND("[",作者统计[[#This Row],[作者]],1)-1),"")</f>
        <v/>
      </c>
      <c r="J162" s="68" t="str">
        <f>IFERROR(MID(作者统计[[#This Row],[作者]],FIND("(",作者统计[[#This Row],[作者]],1)+1,FIND(")",作者统计[[#This Row],[作者]],1)-FIND("(",作者统计[[#This Row],[作者]],1)-1),"")</f>
        <v/>
      </c>
      <c r="L162" s="6"/>
      <c r="M162" s="5"/>
      <c r="U162" s="5"/>
      <c r="W162"/>
    </row>
    <row r="163" spans="2:23" ht="18" customHeight="1" x14ac:dyDescent="0.25">
      <c r="B163" s="309"/>
      <c r="C163" s="120"/>
      <c r="D163" s="121"/>
      <c r="E163" s="121"/>
      <c r="F163" s="92"/>
      <c r="G163" s="92"/>
      <c r="H163" s="122"/>
      <c r="I163" s="68" t="str">
        <f>IFERROR(MID(作者统计[[#This Row],[作者]],FIND("[",作者统计[[#This Row],[作者]],1)+1,FIND("]",作者统计[[#This Row],[作者]],1)-FIND("[",作者统计[[#This Row],[作者]],1)-1),"")</f>
        <v/>
      </c>
      <c r="J163" s="68" t="str">
        <f>IFERROR(MID(作者统计[[#This Row],[作者]],FIND("(",作者统计[[#This Row],[作者]],1)+1,FIND(")",作者统计[[#This Row],[作者]],1)-FIND("(",作者统计[[#This Row],[作者]],1)-1),"")</f>
        <v/>
      </c>
      <c r="L163" s="6"/>
      <c r="M163" s="5"/>
      <c r="U163" s="5"/>
      <c r="W163"/>
    </row>
    <row r="164" spans="2:23" ht="18" customHeight="1" x14ac:dyDescent="0.25">
      <c r="B164" s="256"/>
      <c r="C164" s="257"/>
      <c r="D164" s="258"/>
      <c r="E164" s="258"/>
      <c r="F164" s="259"/>
      <c r="G164" s="259"/>
      <c r="H164" s="260"/>
      <c r="I164" s="261" t="str">
        <f>IFERROR(MID(作者统计[[#This Row],[作者]],FIND("[",作者统计[[#This Row],[作者]],1)+1,FIND("]",作者统计[[#This Row],[作者]],1)-FIND("[",作者统计[[#This Row],[作者]],1)-1),"")</f>
        <v/>
      </c>
      <c r="J164" s="261" t="str">
        <f>IFERROR(MID(作者统计[[#This Row],[作者]],FIND("(",作者统计[[#This Row],[作者]],1)+1,FIND(")",作者统计[[#This Row],[作者]],1)-FIND("(",作者统计[[#This Row],[作者]],1)-1),"")</f>
        <v/>
      </c>
      <c r="L164" s="6"/>
      <c r="M164" s="5"/>
      <c r="U164" s="5"/>
      <c r="W164"/>
    </row>
    <row r="165" spans="2:23" ht="18" customHeight="1" x14ac:dyDescent="0.25">
      <c r="B165" s="309"/>
      <c r="C165" s="120"/>
      <c r="D165" s="121"/>
      <c r="E165" s="121"/>
      <c r="F165" s="92"/>
      <c r="G165" s="92"/>
      <c r="H165" s="122"/>
      <c r="I165" s="68" t="str">
        <f>IFERROR(MID(作者统计[[#This Row],[作者]],FIND("[",作者统计[[#This Row],[作者]],1)+1,FIND("]",作者统计[[#This Row],[作者]],1)-FIND("[",作者统计[[#This Row],[作者]],1)-1),"")</f>
        <v/>
      </c>
      <c r="J165" s="68" t="str">
        <f>IFERROR(MID(作者统计[[#This Row],[作者]],FIND("(",作者统计[[#This Row],[作者]],1)+1,FIND(")",作者统计[[#This Row],[作者]],1)-FIND("(",作者统计[[#This Row],[作者]],1)-1),"")</f>
        <v/>
      </c>
      <c r="L165" s="6"/>
      <c r="M165" s="5"/>
      <c r="U165" s="5"/>
      <c r="W165"/>
    </row>
    <row r="166" spans="2:23" ht="18" customHeight="1" x14ac:dyDescent="0.25">
      <c r="B166" s="309"/>
      <c r="C166" s="120"/>
      <c r="D166" s="121"/>
      <c r="E166" s="121"/>
      <c r="F166" s="92"/>
      <c r="G166" s="92"/>
      <c r="H166" s="122"/>
      <c r="I166" s="68" t="str">
        <f>IFERROR(MID(作者统计[[#This Row],[作者]],FIND("[",作者统计[[#This Row],[作者]],1)+1,FIND("]",作者统计[[#This Row],[作者]],1)-FIND("[",作者统计[[#This Row],[作者]],1)-1),"")</f>
        <v/>
      </c>
      <c r="J166" s="68" t="str">
        <f>IFERROR(MID(作者统计[[#This Row],[作者]],FIND("(",作者统计[[#This Row],[作者]],1)+1,FIND(")",作者统计[[#This Row],[作者]],1)-FIND("(",作者统计[[#This Row],[作者]],1)-1),"")</f>
        <v/>
      </c>
      <c r="L166" s="6"/>
      <c r="M166" s="5"/>
      <c r="U166" s="5"/>
      <c r="W166"/>
    </row>
    <row r="167" spans="2:23" ht="18" customHeight="1" x14ac:dyDescent="0.25">
      <c r="B167" s="85"/>
      <c r="C167" s="120"/>
      <c r="D167" s="121"/>
      <c r="E167" s="121"/>
      <c r="F167" s="92"/>
      <c r="G167" s="92"/>
      <c r="H167" s="122"/>
      <c r="I167" s="68" t="str">
        <f>IFERROR(MID(作者统计[[#This Row],[作者]],FIND("[",作者统计[[#This Row],[作者]],1)+1,FIND("]",作者统计[[#This Row],[作者]],1)-FIND("[",作者统计[[#This Row],[作者]],1)-1),"")</f>
        <v/>
      </c>
      <c r="J167" s="68" t="str">
        <f>IFERROR(MID(作者统计[[#This Row],[作者]],FIND("(",作者统计[[#This Row],[作者]],1)+1,FIND(")",作者统计[[#This Row],[作者]],1)-FIND("(",作者统计[[#This Row],[作者]],1)-1),"")</f>
        <v/>
      </c>
      <c r="L167" s="6"/>
      <c r="M167" s="5"/>
      <c r="U167" s="5"/>
      <c r="W167"/>
    </row>
    <row r="168" spans="2:23" ht="18" customHeight="1" x14ac:dyDescent="0.25">
      <c r="B168" s="309"/>
      <c r="C168" s="120"/>
      <c r="D168" s="121"/>
      <c r="E168" s="121"/>
      <c r="F168" s="92"/>
      <c r="G168" s="92"/>
      <c r="H168" s="122"/>
      <c r="I168" s="68" t="str">
        <f>IFERROR(MID(作者统计[[#This Row],[作者]],FIND("[",作者统计[[#This Row],[作者]],1)+1,FIND("]",作者统计[[#This Row],[作者]],1)-FIND("[",作者统计[[#This Row],[作者]],1)-1),"")</f>
        <v/>
      </c>
      <c r="J168" s="68" t="str">
        <f>IFERROR(MID(作者统计[[#This Row],[作者]],FIND("(",作者统计[[#This Row],[作者]],1)+1,FIND(")",作者统计[[#This Row],[作者]],1)-FIND("(",作者统计[[#This Row],[作者]],1)-1),"")</f>
        <v/>
      </c>
      <c r="L168" s="6"/>
      <c r="M168" s="5"/>
      <c r="U168" s="5"/>
      <c r="W168"/>
    </row>
    <row r="169" spans="2:23" ht="18" customHeight="1" x14ac:dyDescent="0.25">
      <c r="B169" s="309"/>
      <c r="C169" s="120"/>
      <c r="D169" s="121"/>
      <c r="E169" s="121"/>
      <c r="F169" s="92"/>
      <c r="G169" s="92"/>
      <c r="H169" s="122"/>
      <c r="I169" s="68" t="str">
        <f>IFERROR(MID(作者统计[[#This Row],[作者]],FIND("[",作者统计[[#This Row],[作者]],1)+1,FIND("]",作者统计[[#This Row],[作者]],1)-FIND("[",作者统计[[#This Row],[作者]],1)-1),"")</f>
        <v/>
      </c>
      <c r="J169" s="68" t="str">
        <f>IFERROR(MID(作者统计[[#This Row],[作者]],FIND("(",作者统计[[#This Row],[作者]],1)+1,FIND(")",作者统计[[#This Row],[作者]],1)-FIND("(",作者统计[[#This Row],[作者]],1)-1),"")</f>
        <v/>
      </c>
      <c r="L169" s="6"/>
      <c r="M169" s="5"/>
      <c r="U169" s="5"/>
      <c r="W169"/>
    </row>
    <row r="170" spans="2:23" ht="18" customHeight="1" x14ac:dyDescent="0.25">
      <c r="B170" s="85"/>
      <c r="C170" s="120"/>
      <c r="D170" s="121"/>
      <c r="E170" s="121"/>
      <c r="F170" s="92"/>
      <c r="G170" s="92"/>
      <c r="H170" s="122"/>
      <c r="I170" s="68" t="str">
        <f>IFERROR(MID(作者统计[[#This Row],[作者]],FIND("[",作者统计[[#This Row],[作者]],1)+1,FIND("]",作者统计[[#This Row],[作者]],1)-FIND("[",作者统计[[#This Row],[作者]],1)-1),"")</f>
        <v/>
      </c>
      <c r="J170" s="68" t="str">
        <f>IFERROR(MID(作者统计[[#This Row],[作者]],FIND("(",作者统计[[#This Row],[作者]],1)+1,FIND(")",作者统计[[#This Row],[作者]],1)-FIND("(",作者统计[[#This Row],[作者]],1)-1),"")</f>
        <v/>
      </c>
      <c r="L170" s="6"/>
      <c r="M170" s="5"/>
      <c r="U170" s="5"/>
      <c r="W170"/>
    </row>
    <row r="171" spans="2:23" ht="18" customHeight="1" x14ac:dyDescent="0.25">
      <c r="B171" s="256"/>
      <c r="C171" s="257"/>
      <c r="D171" s="258"/>
      <c r="E171" s="258"/>
      <c r="F171" s="259"/>
      <c r="G171" s="259"/>
      <c r="H171" s="260"/>
      <c r="I171" s="261" t="str">
        <f>IFERROR(MID(作者统计[[#This Row],[作者]],FIND("[",作者统计[[#This Row],[作者]],1)+1,FIND("]",作者统计[[#This Row],[作者]],1)-FIND("[",作者统计[[#This Row],[作者]],1)-1),"")</f>
        <v/>
      </c>
      <c r="J171" s="261" t="str">
        <f>IFERROR(MID(作者统计[[#This Row],[作者]],FIND("(",作者统计[[#This Row],[作者]],1)+1,FIND(")",作者统计[[#This Row],[作者]],1)-FIND("(",作者统计[[#This Row],[作者]],1)-1),"")</f>
        <v/>
      </c>
      <c r="L171" s="6"/>
      <c r="M171" s="5"/>
      <c r="U171" s="5"/>
      <c r="W171"/>
    </row>
    <row r="172" spans="2:23" ht="18" customHeight="1" x14ac:dyDescent="0.25">
      <c r="B172" s="85"/>
      <c r="C172" s="120"/>
      <c r="D172" s="121"/>
      <c r="E172" s="121"/>
      <c r="F172" s="92"/>
      <c r="G172" s="92"/>
      <c r="H172" s="122"/>
      <c r="I172" s="68" t="str">
        <f>IFERROR(MID(作者统计[[#This Row],[作者]],FIND("[",作者统计[[#This Row],[作者]],1)+1,FIND("]",作者统计[[#This Row],[作者]],1)-FIND("[",作者统计[[#This Row],[作者]],1)-1),"")</f>
        <v/>
      </c>
      <c r="J172" s="68" t="str">
        <f>IFERROR(MID(作者统计[[#This Row],[作者]],FIND("(",作者统计[[#This Row],[作者]],1)+1,FIND(")",作者统计[[#This Row],[作者]],1)-FIND("(",作者统计[[#This Row],[作者]],1)-1),"")</f>
        <v/>
      </c>
      <c r="L172" s="6"/>
      <c r="M172" s="5"/>
      <c r="U172" s="5"/>
      <c r="W172"/>
    </row>
    <row r="173" spans="2:23" ht="18" customHeight="1" x14ac:dyDescent="0.25">
      <c r="B173" s="85"/>
      <c r="C173" s="120"/>
      <c r="D173" s="121"/>
      <c r="E173" s="121"/>
      <c r="F173" s="92"/>
      <c r="G173" s="92"/>
      <c r="H173" s="122"/>
      <c r="I173" s="68" t="str">
        <f>IFERROR(MID(作者统计[[#This Row],[作者]],FIND("[",作者统计[[#This Row],[作者]],1)+1,FIND("]",作者统计[[#This Row],[作者]],1)-FIND("[",作者统计[[#This Row],[作者]],1)-1),"")</f>
        <v/>
      </c>
      <c r="J173" s="68" t="str">
        <f>IFERROR(MID(作者统计[[#This Row],[作者]],FIND("(",作者统计[[#This Row],[作者]],1)+1,FIND(")",作者统计[[#This Row],[作者]],1)-FIND("(",作者统计[[#This Row],[作者]],1)-1),"")</f>
        <v/>
      </c>
      <c r="L173" s="6"/>
      <c r="M173" s="5"/>
      <c r="U173" s="5"/>
      <c r="W173"/>
    </row>
    <row r="174" spans="2:23" ht="18" customHeight="1" x14ac:dyDescent="0.25">
      <c r="B174" s="85"/>
      <c r="C174" s="120"/>
      <c r="D174" s="121"/>
      <c r="E174" s="121"/>
      <c r="F174" s="92"/>
      <c r="G174" s="92"/>
      <c r="H174" s="123"/>
      <c r="I174" s="68" t="str">
        <f>IFERROR(MID(作者统计[[#This Row],[作者]],FIND("[",作者统计[[#This Row],[作者]],1)+1,FIND("]",作者统计[[#This Row],[作者]],1)-FIND("[",作者统计[[#This Row],[作者]],1)-1),"")</f>
        <v/>
      </c>
      <c r="J174" s="68" t="str">
        <f>IFERROR(MID(作者统计[[#This Row],[作者]],FIND("(",作者统计[[#This Row],[作者]],1)+1,FIND(")",作者统计[[#This Row],[作者]],1)-FIND("(",作者统计[[#This Row],[作者]],1)-1),"")</f>
        <v/>
      </c>
      <c r="L174" s="6"/>
      <c r="M174" s="5"/>
      <c r="U174" s="5"/>
      <c r="W174"/>
    </row>
    <row r="175" spans="2:23" ht="18" customHeight="1" x14ac:dyDescent="0.25">
      <c r="B175" s="309"/>
      <c r="C175" s="120"/>
      <c r="D175" s="121"/>
      <c r="E175" s="121"/>
      <c r="F175" s="92"/>
      <c r="G175" s="92"/>
      <c r="H175" s="122"/>
      <c r="I175" s="68" t="str">
        <f>IFERROR(MID(作者统计[[#This Row],[作者]],FIND("[",作者统计[[#This Row],[作者]],1)+1,FIND("]",作者统计[[#This Row],[作者]],1)-FIND("[",作者统计[[#This Row],[作者]],1)-1),"")</f>
        <v/>
      </c>
      <c r="J175" s="68" t="str">
        <f>IFERROR(MID(作者统计[[#This Row],[作者]],FIND("(",作者统计[[#This Row],[作者]],1)+1,FIND(")",作者统计[[#This Row],[作者]],1)-FIND("(",作者统计[[#This Row],[作者]],1)-1),"")</f>
        <v/>
      </c>
      <c r="L175" s="6"/>
      <c r="M175" s="5"/>
      <c r="U175" s="5"/>
      <c r="W175"/>
    </row>
    <row r="176" spans="2:23" ht="18" customHeight="1" x14ac:dyDescent="0.25">
      <c r="B176" s="256"/>
      <c r="C176" s="257"/>
      <c r="D176" s="258"/>
      <c r="E176" s="258"/>
      <c r="F176" s="259"/>
      <c r="G176" s="259"/>
      <c r="H176" s="260"/>
      <c r="I176" s="261" t="str">
        <f>IFERROR(MID(作者统计[[#This Row],[作者]],FIND("[",作者统计[[#This Row],[作者]],1)+1,FIND("]",作者统计[[#This Row],[作者]],1)-FIND("[",作者统计[[#This Row],[作者]],1)-1),"")</f>
        <v/>
      </c>
      <c r="J176" s="261" t="str">
        <f>IFERROR(MID(作者统计[[#This Row],[作者]],FIND("(",作者统计[[#This Row],[作者]],1)+1,FIND(")",作者统计[[#This Row],[作者]],1)-FIND("(",作者统计[[#This Row],[作者]],1)-1),"")</f>
        <v/>
      </c>
      <c r="L176" s="6"/>
      <c r="M176" s="5"/>
      <c r="U176" s="5"/>
      <c r="W176"/>
    </row>
    <row r="177" spans="2:23" ht="18" customHeight="1" x14ac:dyDescent="0.25">
      <c r="B177" s="256"/>
      <c r="C177" s="257"/>
      <c r="D177" s="258"/>
      <c r="E177" s="258"/>
      <c r="F177" s="259"/>
      <c r="G177" s="259"/>
      <c r="H177" s="260"/>
      <c r="I177" s="261" t="str">
        <f>IFERROR(MID(作者统计[[#This Row],[作者]],FIND("[",作者统计[[#This Row],[作者]],1)+1,FIND("]",作者统计[[#This Row],[作者]],1)-FIND("[",作者统计[[#This Row],[作者]],1)-1),"")</f>
        <v/>
      </c>
      <c r="J177" s="261" t="str">
        <f>IFERROR(MID(作者统计[[#This Row],[作者]],FIND("(",作者统计[[#This Row],[作者]],1)+1,FIND(")",作者统计[[#This Row],[作者]],1)-FIND("(",作者统计[[#This Row],[作者]],1)-1),"")</f>
        <v/>
      </c>
      <c r="L177" s="6"/>
      <c r="M177" s="5"/>
      <c r="U177" s="5"/>
      <c r="W177"/>
    </row>
    <row r="178" spans="2:23" ht="18" customHeight="1" x14ac:dyDescent="0.25">
      <c r="B178" s="309"/>
      <c r="C178" s="120"/>
      <c r="D178" s="121"/>
      <c r="E178" s="121"/>
      <c r="F178" s="92"/>
      <c r="G178" s="92"/>
      <c r="H178" s="122"/>
      <c r="I178" s="68" t="str">
        <f>IFERROR(MID(作者统计[[#This Row],[作者]],FIND("[",作者统计[[#This Row],[作者]],1)+1,FIND("]",作者统计[[#This Row],[作者]],1)-FIND("[",作者统计[[#This Row],[作者]],1)-1),"")</f>
        <v/>
      </c>
      <c r="J178" s="68" t="str">
        <f>IFERROR(MID(作者统计[[#This Row],[作者]],FIND("(",作者统计[[#This Row],[作者]],1)+1,FIND(")",作者统计[[#This Row],[作者]],1)-FIND("(",作者统计[[#This Row],[作者]],1)-1),"")</f>
        <v/>
      </c>
      <c r="L178" s="6"/>
      <c r="M178" s="5"/>
      <c r="U178" s="5"/>
      <c r="W178"/>
    </row>
    <row r="179" spans="2:23" ht="18" customHeight="1" x14ac:dyDescent="0.25">
      <c r="B179" s="309"/>
      <c r="C179" s="120"/>
      <c r="D179" s="121"/>
      <c r="E179" s="121"/>
      <c r="F179" s="92"/>
      <c r="G179" s="92"/>
      <c r="H179" s="122"/>
      <c r="I179" s="68" t="str">
        <f>IFERROR(MID(作者统计[[#This Row],[作者]],FIND("[",作者统计[[#This Row],[作者]],1)+1,FIND("]",作者统计[[#This Row],[作者]],1)-FIND("[",作者统计[[#This Row],[作者]],1)-1),"")</f>
        <v/>
      </c>
      <c r="J179" s="68" t="str">
        <f>IFERROR(MID(作者统计[[#This Row],[作者]],FIND("(",作者统计[[#This Row],[作者]],1)+1,FIND(")",作者统计[[#This Row],[作者]],1)-FIND("(",作者统计[[#This Row],[作者]],1)-1),"")</f>
        <v/>
      </c>
      <c r="L179" s="6"/>
      <c r="M179" s="5"/>
      <c r="U179" s="5"/>
      <c r="W179"/>
    </row>
    <row r="180" spans="2:23" ht="18" customHeight="1" x14ac:dyDescent="0.25">
      <c r="B180" s="85"/>
      <c r="C180" s="120"/>
      <c r="D180" s="121"/>
      <c r="E180" s="121"/>
      <c r="F180" s="92"/>
      <c r="G180" s="92"/>
      <c r="H180" s="122"/>
      <c r="I180" s="68" t="str">
        <f>IFERROR(MID(作者统计[[#This Row],[作者]],FIND("[",作者统计[[#This Row],[作者]],1)+1,FIND("]",作者统计[[#This Row],[作者]],1)-FIND("[",作者统计[[#This Row],[作者]],1)-1),"")</f>
        <v/>
      </c>
      <c r="J180" s="68" t="str">
        <f>IFERROR(MID(作者统计[[#This Row],[作者]],FIND("(",作者统计[[#This Row],[作者]],1)+1,FIND(")",作者统计[[#This Row],[作者]],1)-FIND("(",作者统计[[#This Row],[作者]],1)-1),"")</f>
        <v/>
      </c>
      <c r="L180" s="6"/>
      <c r="M180" s="5"/>
      <c r="U180" s="5"/>
      <c r="W180"/>
    </row>
    <row r="181" spans="2:23" ht="18" customHeight="1" x14ac:dyDescent="0.25">
      <c r="B181" s="256"/>
      <c r="C181" s="257"/>
      <c r="D181" s="258"/>
      <c r="E181" s="258"/>
      <c r="F181" s="259"/>
      <c r="G181" s="259"/>
      <c r="H181" s="260"/>
      <c r="I181" s="261" t="str">
        <f>IFERROR(MID(作者统计[[#This Row],[作者]],FIND("[",作者统计[[#This Row],[作者]],1)+1,FIND("]",作者统计[[#This Row],[作者]],1)-FIND("[",作者统计[[#This Row],[作者]],1)-1),"")</f>
        <v/>
      </c>
      <c r="J181" s="261" t="str">
        <f>IFERROR(MID(作者统计[[#This Row],[作者]],FIND("(",作者统计[[#This Row],[作者]],1)+1,FIND(")",作者统计[[#This Row],[作者]],1)-FIND("(",作者统计[[#This Row],[作者]],1)-1),"")</f>
        <v/>
      </c>
      <c r="L181" s="6"/>
      <c r="M181" s="5"/>
      <c r="U181" s="5"/>
      <c r="W181"/>
    </row>
    <row r="182" spans="2:23" ht="18" customHeight="1" x14ac:dyDescent="0.25">
      <c r="B182" s="309"/>
      <c r="C182" s="120"/>
      <c r="D182" s="121"/>
      <c r="E182" s="121"/>
      <c r="F182" s="92"/>
      <c r="G182" s="92"/>
      <c r="H182" s="122"/>
      <c r="I182" s="68" t="str">
        <f>IFERROR(MID(作者统计[[#This Row],[作者]],FIND("[",作者统计[[#This Row],[作者]],1)+1,FIND("]",作者统计[[#This Row],[作者]],1)-FIND("[",作者统计[[#This Row],[作者]],1)-1),"")</f>
        <v/>
      </c>
      <c r="J182" s="68" t="str">
        <f>IFERROR(MID(作者统计[[#This Row],[作者]],FIND("(",作者统计[[#This Row],[作者]],1)+1,FIND(")",作者统计[[#This Row],[作者]],1)-FIND("(",作者统计[[#This Row],[作者]],1)-1),"")</f>
        <v/>
      </c>
      <c r="L182" s="6"/>
      <c r="M182" s="5"/>
      <c r="U182" s="5"/>
      <c r="W182"/>
    </row>
    <row r="183" spans="2:23" ht="18" customHeight="1" x14ac:dyDescent="0.25">
      <c r="B183" s="256"/>
      <c r="C183" s="257"/>
      <c r="D183" s="258"/>
      <c r="E183" s="258"/>
      <c r="F183" s="259"/>
      <c r="G183" s="259"/>
      <c r="H183" s="260"/>
      <c r="I183" s="261" t="str">
        <f>IFERROR(MID(作者统计[[#This Row],[作者]],FIND("[",作者统计[[#This Row],[作者]],1)+1,FIND("]",作者统计[[#This Row],[作者]],1)-FIND("[",作者统计[[#This Row],[作者]],1)-1),"")</f>
        <v/>
      </c>
      <c r="J183" s="261" t="str">
        <f>IFERROR(MID(作者统计[[#This Row],[作者]],FIND("(",作者统计[[#This Row],[作者]],1)+1,FIND(")",作者统计[[#This Row],[作者]],1)-FIND("(",作者统计[[#This Row],[作者]],1)-1),"")</f>
        <v/>
      </c>
      <c r="L183" s="6"/>
      <c r="M183" s="5"/>
      <c r="U183" s="5"/>
      <c r="W183"/>
    </row>
    <row r="184" spans="2:23" ht="18" customHeight="1" x14ac:dyDescent="0.25">
      <c r="B184" s="309"/>
      <c r="C184" s="120"/>
      <c r="D184" s="121"/>
      <c r="E184" s="121"/>
      <c r="F184" s="92"/>
      <c r="G184" s="92"/>
      <c r="H184" s="122"/>
      <c r="I184" s="68" t="str">
        <f>IFERROR(MID(作者统计[[#This Row],[作者]],FIND("[",作者统计[[#This Row],[作者]],1)+1,FIND("]",作者统计[[#This Row],[作者]],1)-FIND("[",作者统计[[#This Row],[作者]],1)-1),"")</f>
        <v/>
      </c>
      <c r="J184" s="68" t="str">
        <f>IFERROR(MID(作者统计[[#This Row],[作者]],FIND("(",作者统计[[#This Row],[作者]],1)+1,FIND(")",作者统计[[#This Row],[作者]],1)-FIND("(",作者统计[[#This Row],[作者]],1)-1),"")</f>
        <v/>
      </c>
      <c r="L184" s="6"/>
      <c r="M184" s="5"/>
      <c r="U184" s="5"/>
      <c r="W184"/>
    </row>
    <row r="185" spans="2:23" ht="18" customHeight="1" x14ac:dyDescent="0.25">
      <c r="B185" s="309"/>
      <c r="C185" s="120"/>
      <c r="D185" s="121"/>
      <c r="E185" s="121"/>
      <c r="F185" s="92"/>
      <c r="G185" s="92"/>
      <c r="H185" s="122"/>
      <c r="I185" s="68" t="str">
        <f>IFERROR(MID(作者统计[[#This Row],[作者]],FIND("[",作者统计[[#This Row],[作者]],1)+1,FIND("]",作者统计[[#This Row],[作者]],1)-FIND("[",作者统计[[#This Row],[作者]],1)-1),"")</f>
        <v/>
      </c>
      <c r="J185" s="68" t="str">
        <f>IFERROR(MID(作者统计[[#This Row],[作者]],FIND("(",作者统计[[#This Row],[作者]],1)+1,FIND(")",作者统计[[#This Row],[作者]],1)-FIND("(",作者统计[[#This Row],[作者]],1)-1),"")</f>
        <v/>
      </c>
      <c r="L185" s="6"/>
      <c r="M185" s="5"/>
      <c r="U185" s="5"/>
      <c r="W185"/>
    </row>
    <row r="186" spans="2:23" ht="18" customHeight="1" x14ac:dyDescent="0.25">
      <c r="B186" s="309"/>
      <c r="C186" s="120"/>
      <c r="D186" s="121"/>
      <c r="E186" s="121"/>
      <c r="F186" s="92"/>
      <c r="G186" s="92"/>
      <c r="H186" s="122"/>
      <c r="I186" s="68" t="str">
        <f>IFERROR(MID(作者统计[[#This Row],[作者]],FIND("[",作者统计[[#This Row],[作者]],1)+1,FIND("]",作者统计[[#This Row],[作者]],1)-FIND("[",作者统计[[#This Row],[作者]],1)-1),"")</f>
        <v/>
      </c>
      <c r="J186" s="68" t="str">
        <f>IFERROR(MID(作者统计[[#This Row],[作者]],FIND("(",作者统计[[#This Row],[作者]],1)+1,FIND(")",作者统计[[#This Row],[作者]],1)-FIND("(",作者统计[[#This Row],[作者]],1)-1),"")</f>
        <v/>
      </c>
      <c r="L186" s="6"/>
      <c r="M186" s="5"/>
      <c r="U186" s="5"/>
      <c r="W186"/>
    </row>
    <row r="187" spans="2:23" ht="18" customHeight="1" x14ac:dyDescent="0.25">
      <c r="B187" s="85"/>
      <c r="C187" s="120"/>
      <c r="D187" s="121"/>
      <c r="E187" s="121"/>
      <c r="F187" s="92"/>
      <c r="G187" s="92"/>
      <c r="H187" s="122"/>
      <c r="I187" s="68" t="str">
        <f>IFERROR(MID(作者统计[[#This Row],[作者]],FIND("[",作者统计[[#This Row],[作者]],1)+1,FIND("]",作者统计[[#This Row],[作者]],1)-FIND("[",作者统计[[#This Row],[作者]],1)-1),"")</f>
        <v/>
      </c>
      <c r="J187" s="68" t="str">
        <f>IFERROR(MID(作者统计[[#This Row],[作者]],FIND("(",作者统计[[#This Row],[作者]],1)+1,FIND(")",作者统计[[#This Row],[作者]],1)-FIND("(",作者统计[[#This Row],[作者]],1)-1),"")</f>
        <v/>
      </c>
      <c r="L187" s="6"/>
      <c r="M187" s="5"/>
      <c r="U187" s="5"/>
      <c r="W187"/>
    </row>
    <row r="188" spans="2:23" ht="18" customHeight="1" x14ac:dyDescent="0.25">
      <c r="B188" s="309"/>
      <c r="C188" s="120"/>
      <c r="D188" s="121"/>
      <c r="E188" s="121"/>
      <c r="F188" s="92"/>
      <c r="G188" s="92"/>
      <c r="H188" s="122"/>
      <c r="I188" s="68" t="str">
        <f>IFERROR(MID(作者统计[[#This Row],[作者]],FIND("[",作者统计[[#This Row],[作者]],1)+1,FIND("]",作者统计[[#This Row],[作者]],1)-FIND("[",作者统计[[#This Row],[作者]],1)-1),"")</f>
        <v/>
      </c>
      <c r="J188" s="68" t="str">
        <f>IFERROR(MID(作者统计[[#This Row],[作者]],FIND("(",作者统计[[#This Row],[作者]],1)+1,FIND(")",作者统计[[#This Row],[作者]],1)-FIND("(",作者统计[[#This Row],[作者]],1)-1),"")</f>
        <v/>
      </c>
      <c r="L188" s="6"/>
      <c r="M188" s="5"/>
      <c r="U188" s="5"/>
      <c r="W188"/>
    </row>
    <row r="189" spans="2:23" ht="18" customHeight="1" x14ac:dyDescent="0.25">
      <c r="B189" s="85"/>
      <c r="C189" s="120"/>
      <c r="D189" s="121"/>
      <c r="E189" s="121"/>
      <c r="F189" s="92"/>
      <c r="G189" s="92"/>
      <c r="H189" s="122"/>
      <c r="I189" s="68" t="str">
        <f>IFERROR(MID(作者统计[[#This Row],[作者]],FIND("[",作者统计[[#This Row],[作者]],1)+1,FIND("]",作者统计[[#This Row],[作者]],1)-FIND("[",作者统计[[#This Row],[作者]],1)-1),"")</f>
        <v/>
      </c>
      <c r="J189" s="68" t="str">
        <f>IFERROR(MID(作者统计[[#This Row],[作者]],FIND("(",作者统计[[#This Row],[作者]],1)+1,FIND(")",作者统计[[#This Row],[作者]],1)-FIND("(",作者统计[[#This Row],[作者]],1)-1),"")</f>
        <v/>
      </c>
      <c r="L189" s="6"/>
      <c r="M189" s="5"/>
      <c r="U189" s="5"/>
      <c r="W189"/>
    </row>
    <row r="190" spans="2:23" ht="18" customHeight="1" x14ac:dyDescent="0.25">
      <c r="B190" s="256"/>
      <c r="C190" s="257"/>
      <c r="D190" s="258"/>
      <c r="E190" s="258"/>
      <c r="F190" s="259"/>
      <c r="G190" s="259"/>
      <c r="H190" s="260"/>
      <c r="I190" s="261" t="str">
        <f>IFERROR(MID(作者统计[[#This Row],[作者]],FIND("[",作者统计[[#This Row],[作者]],1)+1,FIND("]",作者统计[[#This Row],[作者]],1)-FIND("[",作者统计[[#This Row],[作者]],1)-1),"")</f>
        <v/>
      </c>
      <c r="J190" s="261" t="str">
        <f>IFERROR(MID(作者统计[[#This Row],[作者]],FIND("(",作者统计[[#This Row],[作者]],1)+1,FIND(")",作者统计[[#This Row],[作者]],1)-FIND("(",作者统计[[#This Row],[作者]],1)-1),"")</f>
        <v/>
      </c>
      <c r="L190" s="6"/>
      <c r="M190" s="5"/>
      <c r="U190" s="5"/>
      <c r="W190"/>
    </row>
    <row r="191" spans="2:23" ht="18" customHeight="1" x14ac:dyDescent="0.25">
      <c r="B191" s="256"/>
      <c r="C191" s="257"/>
      <c r="D191" s="258"/>
      <c r="E191" s="258"/>
      <c r="F191" s="259"/>
      <c r="G191" s="259"/>
      <c r="H191" s="260"/>
      <c r="I191" s="261" t="str">
        <f>IFERROR(MID(作者统计[[#This Row],[作者]],FIND("[",作者统计[[#This Row],[作者]],1)+1,FIND("]",作者统计[[#This Row],[作者]],1)-FIND("[",作者统计[[#This Row],[作者]],1)-1),"")</f>
        <v/>
      </c>
      <c r="J191" s="261" t="str">
        <f>IFERROR(MID(作者统计[[#This Row],[作者]],FIND("(",作者统计[[#This Row],[作者]],1)+1,FIND(")",作者统计[[#This Row],[作者]],1)-FIND("(",作者统计[[#This Row],[作者]],1)-1),"")</f>
        <v/>
      </c>
      <c r="L191" s="6"/>
      <c r="M191" s="5"/>
      <c r="U191" s="5"/>
      <c r="W191"/>
    </row>
    <row r="192" spans="2:23" ht="18" customHeight="1" x14ac:dyDescent="0.25">
      <c r="B192" s="85"/>
      <c r="C192" s="120"/>
      <c r="D192" s="121"/>
      <c r="E192" s="121"/>
      <c r="F192" s="92"/>
      <c r="G192" s="92"/>
      <c r="H192" s="122"/>
      <c r="I192" s="67" t="str">
        <f>IFERROR(MID(作者统计[[#This Row],[作者]],FIND("[",作者统计[[#This Row],[作者]],1)+1,FIND("]",作者统计[[#This Row],[作者]],1)-FIND("[",作者统计[[#This Row],[作者]],1)-1),"")</f>
        <v/>
      </c>
      <c r="J192" s="39" t="str">
        <f>IFERROR(MID(作者统计[[#This Row],[作者]],FIND("(",作者统计[[#This Row],[作者]],1)+1,FIND(")",作者统计[[#This Row],[作者]],1)-FIND("(",作者统计[[#This Row],[作者]],1)-1),"")</f>
        <v/>
      </c>
      <c r="L192" s="6"/>
      <c r="M192" s="5"/>
      <c r="U192" s="5"/>
      <c r="W192"/>
    </row>
    <row r="193" spans="2:23" ht="18" customHeight="1" x14ac:dyDescent="0.25">
      <c r="B193" s="309"/>
      <c r="C193" s="120"/>
      <c r="D193" s="121"/>
      <c r="E193" s="121"/>
      <c r="F193" s="92"/>
      <c r="G193" s="92"/>
      <c r="H193" s="122"/>
      <c r="I193" s="68" t="str">
        <f>IFERROR(MID(作者统计[[#This Row],[作者]],FIND("[",作者统计[[#This Row],[作者]],1)+1,FIND("]",作者统计[[#This Row],[作者]],1)-FIND("[",作者统计[[#This Row],[作者]],1)-1),"")</f>
        <v/>
      </c>
      <c r="J193" s="68" t="str">
        <f>IFERROR(MID(作者统计[[#This Row],[作者]],FIND("(",作者统计[[#This Row],[作者]],1)+1,FIND(")",作者统计[[#This Row],[作者]],1)-FIND("(",作者统计[[#This Row],[作者]],1)-1),"")</f>
        <v/>
      </c>
      <c r="L193" s="6"/>
      <c r="M193" s="5"/>
      <c r="U193" s="5"/>
      <c r="W193"/>
    </row>
    <row r="194" spans="2:23" ht="18" customHeight="1" x14ac:dyDescent="0.25">
      <c r="B194" s="256"/>
      <c r="C194" s="257"/>
      <c r="D194" s="258"/>
      <c r="E194" s="258"/>
      <c r="F194" s="259"/>
      <c r="G194" s="259"/>
      <c r="H194" s="260"/>
      <c r="I194" s="261" t="str">
        <f>IFERROR(MID(作者统计[[#This Row],[作者]],FIND("[",作者统计[[#This Row],[作者]],1)+1,FIND("]",作者统计[[#This Row],[作者]],1)-FIND("[",作者统计[[#This Row],[作者]],1)-1),"")</f>
        <v/>
      </c>
      <c r="J194" s="261" t="str">
        <f>IFERROR(MID(作者统计[[#This Row],[作者]],FIND("(",作者统计[[#This Row],[作者]],1)+1,FIND(")",作者统计[[#This Row],[作者]],1)-FIND("(",作者统计[[#This Row],[作者]],1)-1),"")</f>
        <v/>
      </c>
      <c r="L194" s="6"/>
      <c r="M194" s="5"/>
      <c r="U194" s="5"/>
      <c r="W194"/>
    </row>
    <row r="195" spans="2:23" ht="18" customHeight="1" x14ac:dyDescent="0.25">
      <c r="B195" s="309"/>
      <c r="C195" s="120"/>
      <c r="D195" s="121"/>
      <c r="E195" s="121"/>
      <c r="F195" s="92"/>
      <c r="G195" s="92"/>
      <c r="H195" s="122"/>
      <c r="I195" s="68" t="str">
        <f>IFERROR(MID(作者统计[[#This Row],[作者]],FIND("[",作者统计[[#This Row],[作者]],1)+1,FIND("]",作者统计[[#This Row],[作者]],1)-FIND("[",作者统计[[#This Row],[作者]],1)-1),"")</f>
        <v/>
      </c>
      <c r="J195" s="68" t="str">
        <f>IFERROR(MID(作者统计[[#This Row],[作者]],FIND("(",作者统计[[#This Row],[作者]],1)+1,FIND(")",作者统计[[#This Row],[作者]],1)-FIND("(",作者统计[[#This Row],[作者]],1)-1),"")</f>
        <v/>
      </c>
      <c r="L195" s="6"/>
      <c r="M195" s="5"/>
      <c r="U195" s="5"/>
      <c r="W195"/>
    </row>
    <row r="196" spans="2:23" ht="18" customHeight="1" x14ac:dyDescent="0.25">
      <c r="B196" s="309"/>
      <c r="C196" s="120"/>
      <c r="D196" s="121"/>
      <c r="E196" s="121"/>
      <c r="F196" s="92"/>
      <c r="G196" s="92"/>
      <c r="H196" s="122"/>
      <c r="I196" s="68" t="str">
        <f>IFERROR(MID(作者统计[[#This Row],[作者]],FIND("[",作者统计[[#This Row],[作者]],1)+1,FIND("]",作者统计[[#This Row],[作者]],1)-FIND("[",作者统计[[#This Row],[作者]],1)-1),"")</f>
        <v/>
      </c>
      <c r="J196" s="68" t="str">
        <f>IFERROR(MID(作者统计[[#This Row],[作者]],FIND("(",作者统计[[#This Row],[作者]],1)+1,FIND(")",作者统计[[#This Row],[作者]],1)-FIND("(",作者统计[[#This Row],[作者]],1)-1),"")</f>
        <v/>
      </c>
      <c r="L196" s="6"/>
      <c r="M196" s="5"/>
      <c r="U196" s="5"/>
      <c r="W196"/>
    </row>
    <row r="197" spans="2:23" ht="18" customHeight="1" x14ac:dyDescent="0.25">
      <c r="B197" s="85"/>
      <c r="C197" s="120"/>
      <c r="D197" s="121"/>
      <c r="E197" s="121"/>
      <c r="F197" s="92"/>
      <c r="G197" s="92"/>
      <c r="H197" s="122"/>
      <c r="I197" s="68" t="str">
        <f>IFERROR(MID(作者统计[[#This Row],[作者]],FIND("[",作者统计[[#This Row],[作者]],1)+1,FIND("]",作者统计[[#This Row],[作者]],1)-FIND("[",作者统计[[#This Row],[作者]],1)-1),"")</f>
        <v/>
      </c>
      <c r="J197" s="68" t="str">
        <f>IFERROR(MID(作者统计[[#This Row],[作者]],FIND("(",作者统计[[#This Row],[作者]],1)+1,FIND(")",作者统计[[#This Row],[作者]],1)-FIND("(",作者统计[[#This Row],[作者]],1)-1),"")</f>
        <v/>
      </c>
      <c r="L197" s="6"/>
      <c r="M197" s="5"/>
      <c r="U197" s="5"/>
      <c r="W197"/>
    </row>
    <row r="198" spans="2:23" ht="18" customHeight="1" x14ac:dyDescent="0.25">
      <c r="B198" s="309"/>
      <c r="C198" s="120"/>
      <c r="D198" s="121"/>
      <c r="E198" s="121"/>
      <c r="F198" s="92"/>
      <c r="G198" s="92"/>
      <c r="H198" s="122"/>
      <c r="I198" s="68" t="str">
        <f>IFERROR(MID(作者统计[[#This Row],[作者]],FIND("[",作者统计[[#This Row],[作者]],1)+1,FIND("]",作者统计[[#This Row],[作者]],1)-FIND("[",作者统计[[#This Row],[作者]],1)-1),"")</f>
        <v/>
      </c>
      <c r="J198" s="68" t="str">
        <f>IFERROR(MID(作者统计[[#This Row],[作者]],FIND("(",作者统计[[#This Row],[作者]],1)+1,FIND(")",作者统计[[#This Row],[作者]],1)-FIND("(",作者统计[[#This Row],[作者]],1)-1),"")</f>
        <v/>
      </c>
      <c r="L198" s="6"/>
      <c r="M198" s="5"/>
      <c r="U198" s="5"/>
      <c r="W198"/>
    </row>
    <row r="199" spans="2:23" ht="18" customHeight="1" x14ac:dyDescent="0.25">
      <c r="B199" s="85"/>
      <c r="C199" s="120"/>
      <c r="D199" s="121"/>
      <c r="E199" s="121"/>
      <c r="F199" s="92"/>
      <c r="G199" s="92"/>
      <c r="H199" s="122"/>
      <c r="I199" s="68" t="str">
        <f>IFERROR(MID(作者统计[[#This Row],[作者]],FIND("[",作者统计[[#This Row],[作者]],1)+1,FIND("]",作者统计[[#This Row],[作者]],1)-FIND("[",作者统计[[#This Row],[作者]],1)-1),"")</f>
        <v/>
      </c>
      <c r="J199" s="68" t="str">
        <f>IFERROR(MID(作者统计[[#This Row],[作者]],FIND("(",作者统计[[#This Row],[作者]],1)+1,FIND(")",作者统计[[#This Row],[作者]],1)-FIND("(",作者统计[[#This Row],[作者]],1)-1),"")</f>
        <v/>
      </c>
      <c r="L199" s="6"/>
      <c r="M199" s="5"/>
      <c r="U199" s="5"/>
      <c r="W199"/>
    </row>
    <row r="200" spans="2:23" ht="18" customHeight="1" x14ac:dyDescent="0.25">
      <c r="B200" s="256"/>
      <c r="C200" s="257"/>
      <c r="D200" s="258"/>
      <c r="E200" s="258"/>
      <c r="F200" s="259"/>
      <c r="G200" s="259"/>
      <c r="H200" s="260"/>
      <c r="I200" s="261" t="str">
        <f>IFERROR(MID(作者统计[[#This Row],[作者]],FIND("[",作者统计[[#This Row],[作者]],1)+1,FIND("]",作者统计[[#This Row],[作者]],1)-FIND("[",作者统计[[#This Row],[作者]],1)-1),"")</f>
        <v/>
      </c>
      <c r="J200" s="261" t="str">
        <f>IFERROR(MID(作者统计[[#This Row],[作者]],FIND("(",作者统计[[#This Row],[作者]],1)+1,FIND(")",作者统计[[#This Row],[作者]],1)-FIND("(",作者统计[[#This Row],[作者]],1)-1),"")</f>
        <v/>
      </c>
      <c r="L200" s="6"/>
      <c r="M200" s="5"/>
      <c r="U200" s="5"/>
      <c r="W200"/>
    </row>
    <row r="201" spans="2:23" ht="18" customHeight="1" x14ac:dyDescent="0.25">
      <c r="B201" s="85"/>
      <c r="C201" s="120"/>
      <c r="D201" s="121"/>
      <c r="E201" s="121"/>
      <c r="F201" s="92"/>
      <c r="G201" s="92"/>
      <c r="H201" s="122"/>
      <c r="I201" s="68" t="str">
        <f>IFERROR(MID(作者统计[[#This Row],[作者]],FIND("[",作者统计[[#This Row],[作者]],1)+1,FIND("]",作者统计[[#This Row],[作者]],1)-FIND("[",作者统计[[#This Row],[作者]],1)-1),"")</f>
        <v/>
      </c>
      <c r="J201" s="68" t="str">
        <f>IFERROR(MID(作者统计[[#This Row],[作者]],FIND("(",作者统计[[#This Row],[作者]],1)+1,FIND(")",作者统计[[#This Row],[作者]],1)-FIND("(",作者统计[[#This Row],[作者]],1)-1),"")</f>
        <v/>
      </c>
      <c r="L201" s="6"/>
      <c r="M201" s="5"/>
      <c r="U201" s="5"/>
      <c r="W201"/>
    </row>
    <row r="202" spans="2:23" ht="18" customHeight="1" x14ac:dyDescent="0.25">
      <c r="B202" s="256"/>
      <c r="C202" s="257"/>
      <c r="D202" s="258"/>
      <c r="E202" s="258"/>
      <c r="F202" s="259"/>
      <c r="G202" s="259"/>
      <c r="H202" s="260"/>
      <c r="I202" s="261" t="str">
        <f>IFERROR(MID(作者统计[[#This Row],[作者]],FIND("[",作者统计[[#This Row],[作者]],1)+1,FIND("]",作者统计[[#This Row],[作者]],1)-FIND("[",作者统计[[#This Row],[作者]],1)-1),"")</f>
        <v/>
      </c>
      <c r="J202" s="261" t="str">
        <f>IFERROR(MID(作者统计[[#This Row],[作者]],FIND("(",作者统计[[#This Row],[作者]],1)+1,FIND(")",作者统计[[#This Row],[作者]],1)-FIND("(",作者统计[[#This Row],[作者]],1)-1),"")</f>
        <v/>
      </c>
      <c r="L202" s="6"/>
      <c r="M202" s="5"/>
      <c r="U202" s="5"/>
      <c r="W202"/>
    </row>
    <row r="203" spans="2:23" ht="18" customHeight="1" x14ac:dyDescent="0.25">
      <c r="B203" s="85"/>
      <c r="C203" s="120"/>
      <c r="D203" s="121"/>
      <c r="E203" s="121"/>
      <c r="F203" s="92"/>
      <c r="G203" s="92"/>
      <c r="H203" s="122"/>
      <c r="I203" s="68" t="str">
        <f>IFERROR(MID(作者统计[[#This Row],[作者]],FIND("[",作者统计[[#This Row],[作者]],1)+1,FIND("]",作者统计[[#This Row],[作者]],1)-FIND("[",作者统计[[#This Row],[作者]],1)-1),"")</f>
        <v/>
      </c>
      <c r="J203" s="68" t="str">
        <f>IFERROR(MID(作者统计[[#This Row],[作者]],FIND("(",作者统计[[#This Row],[作者]],1)+1,FIND(")",作者统计[[#This Row],[作者]],1)-FIND("(",作者统计[[#This Row],[作者]],1)-1),"")</f>
        <v/>
      </c>
      <c r="L203" s="6"/>
      <c r="M203" s="5"/>
      <c r="U203" s="5"/>
      <c r="W203"/>
    </row>
    <row r="204" spans="2:23" ht="18" customHeight="1" x14ac:dyDescent="0.25">
      <c r="B204" s="256"/>
      <c r="C204" s="257"/>
      <c r="D204" s="258"/>
      <c r="E204" s="258"/>
      <c r="F204" s="259"/>
      <c r="G204" s="259"/>
      <c r="H204" s="260"/>
      <c r="I204" s="261" t="str">
        <f>IFERROR(MID(作者统计[[#This Row],[作者]],FIND("[",作者统计[[#This Row],[作者]],1)+1,FIND("]",作者统计[[#This Row],[作者]],1)-FIND("[",作者统计[[#This Row],[作者]],1)-1),"")</f>
        <v/>
      </c>
      <c r="J204" s="261" t="str">
        <f>IFERROR(MID(作者统计[[#This Row],[作者]],FIND("(",作者统计[[#This Row],[作者]],1)+1,FIND(")",作者统计[[#This Row],[作者]],1)-FIND("(",作者统计[[#This Row],[作者]],1)-1),"")</f>
        <v/>
      </c>
      <c r="L204" s="6"/>
      <c r="M204" s="5"/>
      <c r="U204" s="5"/>
      <c r="W204"/>
    </row>
    <row r="205" spans="2:23" ht="18" customHeight="1" x14ac:dyDescent="0.25">
      <c r="B205" s="309"/>
      <c r="C205" s="120"/>
      <c r="D205" s="121"/>
      <c r="E205" s="121"/>
      <c r="F205" s="92"/>
      <c r="G205" s="92"/>
      <c r="H205" s="122"/>
      <c r="I205" s="68" t="str">
        <f>IFERROR(MID(作者统计[[#This Row],[作者]],FIND("[",作者统计[[#This Row],[作者]],1)+1,FIND("]",作者统计[[#This Row],[作者]],1)-FIND("[",作者统计[[#This Row],[作者]],1)-1),"")</f>
        <v/>
      </c>
      <c r="J205" s="68" t="str">
        <f>IFERROR(MID(作者统计[[#This Row],[作者]],FIND("(",作者统计[[#This Row],[作者]],1)+1,FIND(")",作者统计[[#This Row],[作者]],1)-FIND("(",作者统计[[#This Row],[作者]],1)-1),"")</f>
        <v/>
      </c>
      <c r="L205" s="6"/>
      <c r="M205" s="5"/>
      <c r="U205" s="5"/>
      <c r="W205"/>
    </row>
    <row r="206" spans="2:23" ht="18" customHeight="1" x14ac:dyDescent="0.25">
      <c r="B206" s="309"/>
      <c r="C206" s="120"/>
      <c r="D206" s="121"/>
      <c r="E206" s="121"/>
      <c r="F206" s="92"/>
      <c r="G206" s="92"/>
      <c r="H206" s="122"/>
      <c r="I206" s="68" t="str">
        <f>IFERROR(MID(作者统计[[#This Row],[作者]],FIND("[",作者统计[[#This Row],[作者]],1)+1,FIND("]",作者统计[[#This Row],[作者]],1)-FIND("[",作者统计[[#This Row],[作者]],1)-1),"")</f>
        <v/>
      </c>
      <c r="J206" s="68" t="str">
        <f>IFERROR(MID(作者统计[[#This Row],[作者]],FIND("(",作者统计[[#This Row],[作者]],1)+1,FIND(")",作者统计[[#This Row],[作者]],1)-FIND("(",作者统计[[#This Row],[作者]],1)-1),"")</f>
        <v/>
      </c>
      <c r="L206" s="6"/>
      <c r="M206" s="5"/>
      <c r="U206" s="5"/>
      <c r="W206"/>
    </row>
    <row r="207" spans="2:23" ht="18" customHeight="1" x14ac:dyDescent="0.25">
      <c r="B207" s="256"/>
      <c r="C207" s="257"/>
      <c r="D207" s="258"/>
      <c r="E207" s="258"/>
      <c r="F207" s="259"/>
      <c r="G207" s="259"/>
      <c r="H207" s="260"/>
      <c r="I207" s="261" t="str">
        <f>IFERROR(MID(作者统计[[#This Row],[作者]],FIND("[",作者统计[[#This Row],[作者]],1)+1,FIND("]",作者统计[[#This Row],[作者]],1)-FIND("[",作者统计[[#This Row],[作者]],1)-1),"")</f>
        <v/>
      </c>
      <c r="J207" s="261" t="str">
        <f>IFERROR(MID(作者统计[[#This Row],[作者]],FIND("(",作者统计[[#This Row],[作者]],1)+1,FIND(")",作者统计[[#This Row],[作者]],1)-FIND("(",作者统计[[#This Row],[作者]],1)-1),"")</f>
        <v/>
      </c>
      <c r="L207" s="6"/>
      <c r="M207" s="5"/>
      <c r="U207" s="5"/>
      <c r="W207"/>
    </row>
    <row r="208" spans="2:23" ht="18" customHeight="1" x14ac:dyDescent="0.25">
      <c r="B208" s="309"/>
      <c r="C208" s="120"/>
      <c r="D208" s="121"/>
      <c r="E208" s="121"/>
      <c r="F208" s="92"/>
      <c r="G208" s="92"/>
      <c r="H208" s="122"/>
      <c r="I208" s="68" t="str">
        <f>IFERROR(MID(作者统计[[#This Row],[作者]],FIND("[",作者统计[[#This Row],[作者]],1)+1,FIND("]",作者统计[[#This Row],[作者]],1)-FIND("[",作者统计[[#This Row],[作者]],1)-1),"")</f>
        <v/>
      </c>
      <c r="J208" s="68" t="str">
        <f>IFERROR(MID(作者统计[[#This Row],[作者]],FIND("(",作者统计[[#This Row],[作者]],1)+1,FIND(")",作者统计[[#This Row],[作者]],1)-FIND("(",作者统计[[#This Row],[作者]],1)-1),"")</f>
        <v/>
      </c>
      <c r="L208" s="6"/>
      <c r="M208" s="5"/>
      <c r="U208" s="5"/>
      <c r="W208"/>
    </row>
    <row r="209" spans="2:23" ht="18" customHeight="1" x14ac:dyDescent="0.25">
      <c r="B209" s="309"/>
      <c r="C209" s="120"/>
      <c r="D209" s="121"/>
      <c r="E209" s="121"/>
      <c r="F209" s="92"/>
      <c r="G209" s="92"/>
      <c r="H209" s="122"/>
      <c r="I209" s="68" t="str">
        <f>IFERROR(MID(作者统计[[#This Row],[作者]],FIND("[",作者统计[[#This Row],[作者]],1)+1,FIND("]",作者统计[[#This Row],[作者]],1)-FIND("[",作者统计[[#This Row],[作者]],1)-1),"")</f>
        <v/>
      </c>
      <c r="J209" s="68" t="str">
        <f>IFERROR(MID(作者统计[[#This Row],[作者]],FIND("(",作者统计[[#This Row],[作者]],1)+1,FIND(")",作者统计[[#This Row],[作者]],1)-FIND("(",作者统计[[#This Row],[作者]],1)-1),"")</f>
        <v/>
      </c>
      <c r="L209" s="6"/>
      <c r="M209" s="5"/>
      <c r="U209" s="5"/>
      <c r="W209"/>
    </row>
    <row r="210" spans="2:23" ht="18" customHeight="1" x14ac:dyDescent="0.25">
      <c r="B210" s="256"/>
      <c r="C210" s="257"/>
      <c r="D210" s="258"/>
      <c r="E210" s="258"/>
      <c r="F210" s="259"/>
      <c r="G210" s="259"/>
      <c r="H210" s="260"/>
      <c r="I210" s="261" t="str">
        <f>IFERROR(MID(作者统计[[#This Row],[作者]],FIND("[",作者统计[[#This Row],[作者]],1)+1,FIND("]",作者统计[[#This Row],[作者]],1)-FIND("[",作者统计[[#This Row],[作者]],1)-1),"")</f>
        <v/>
      </c>
      <c r="J210" s="261" t="str">
        <f>IFERROR(MID(作者统计[[#This Row],[作者]],FIND("(",作者统计[[#This Row],[作者]],1)+1,FIND(")",作者统计[[#This Row],[作者]],1)-FIND("(",作者统计[[#This Row],[作者]],1)-1),"")</f>
        <v/>
      </c>
      <c r="L210" s="6"/>
      <c r="M210" s="5"/>
      <c r="U210" s="5"/>
      <c r="W210"/>
    </row>
    <row r="211" spans="2:23" ht="18" customHeight="1" x14ac:dyDescent="0.25">
      <c r="B211" s="309"/>
      <c r="C211" s="120"/>
      <c r="D211" s="121"/>
      <c r="E211" s="121"/>
      <c r="F211" s="92"/>
      <c r="G211" s="92"/>
      <c r="H211" s="122"/>
      <c r="I211" s="68" t="str">
        <f>IFERROR(MID(作者统计[[#This Row],[作者]],FIND("[",作者统计[[#This Row],[作者]],1)+1,FIND("]",作者统计[[#This Row],[作者]],1)-FIND("[",作者统计[[#This Row],[作者]],1)-1),"")</f>
        <v/>
      </c>
      <c r="J211" s="68" t="str">
        <f>IFERROR(MID(作者统计[[#This Row],[作者]],FIND("(",作者统计[[#This Row],[作者]],1)+1,FIND(")",作者统计[[#This Row],[作者]],1)-FIND("(",作者统计[[#This Row],[作者]],1)-1),"")</f>
        <v/>
      </c>
      <c r="L211" s="6"/>
      <c r="M211" s="5"/>
      <c r="U211" s="5"/>
      <c r="W211"/>
    </row>
    <row r="212" spans="2:23" ht="18" customHeight="1" x14ac:dyDescent="0.25">
      <c r="B212" s="256"/>
      <c r="C212" s="257"/>
      <c r="D212" s="258"/>
      <c r="E212" s="258"/>
      <c r="F212" s="259"/>
      <c r="G212" s="259"/>
      <c r="H212" s="260"/>
      <c r="I212" s="261" t="str">
        <f>IFERROR(MID(作者统计[[#This Row],[作者]],FIND("[",作者统计[[#This Row],[作者]],1)+1,FIND("]",作者统计[[#This Row],[作者]],1)-FIND("[",作者统计[[#This Row],[作者]],1)-1),"")</f>
        <v/>
      </c>
      <c r="J212" s="261" t="str">
        <f>IFERROR(MID(作者统计[[#This Row],[作者]],FIND("(",作者统计[[#This Row],[作者]],1)+1,FIND(")",作者统计[[#This Row],[作者]],1)-FIND("(",作者统计[[#This Row],[作者]],1)-1),"")</f>
        <v/>
      </c>
      <c r="L212" s="6"/>
      <c r="M212" s="5"/>
      <c r="U212" s="5"/>
      <c r="W212"/>
    </row>
    <row r="213" spans="2:23" ht="18" customHeight="1" x14ac:dyDescent="0.25">
      <c r="B213" s="256"/>
      <c r="C213" s="257"/>
      <c r="D213" s="258"/>
      <c r="E213" s="258"/>
      <c r="F213" s="259"/>
      <c r="G213" s="259"/>
      <c r="H213" s="260"/>
      <c r="I213" s="261" t="str">
        <f>IFERROR(MID(作者统计[[#This Row],[作者]],FIND("[",作者统计[[#This Row],[作者]],1)+1,FIND("]",作者统计[[#This Row],[作者]],1)-FIND("[",作者统计[[#This Row],[作者]],1)-1),"")</f>
        <v/>
      </c>
      <c r="J213" s="261" t="str">
        <f>IFERROR(MID(作者统计[[#This Row],[作者]],FIND("(",作者统计[[#This Row],[作者]],1)+1,FIND(")",作者统计[[#This Row],[作者]],1)-FIND("(",作者统计[[#This Row],[作者]],1)-1),"")</f>
        <v/>
      </c>
      <c r="L213" s="6"/>
      <c r="M213" s="5"/>
      <c r="U213" s="5"/>
      <c r="W213"/>
    </row>
    <row r="214" spans="2:23" ht="18" customHeight="1" x14ac:dyDescent="0.25">
      <c r="B214" s="256"/>
      <c r="C214" s="257"/>
      <c r="D214" s="258"/>
      <c r="E214" s="258"/>
      <c r="F214" s="259"/>
      <c r="G214" s="259"/>
      <c r="H214" s="260"/>
      <c r="I214" s="261" t="str">
        <f>IFERROR(MID(作者统计[[#This Row],[作者]],FIND("[",作者统计[[#This Row],[作者]],1)+1,FIND("]",作者统计[[#This Row],[作者]],1)-FIND("[",作者统计[[#This Row],[作者]],1)-1),"")</f>
        <v/>
      </c>
      <c r="J214" s="261" t="str">
        <f>IFERROR(MID(作者统计[[#This Row],[作者]],FIND("(",作者统计[[#This Row],[作者]],1)+1,FIND(")",作者统计[[#This Row],[作者]],1)-FIND("(",作者统计[[#This Row],[作者]],1)-1),"")</f>
        <v/>
      </c>
      <c r="L214" s="6"/>
      <c r="M214" s="5"/>
      <c r="U214" s="5"/>
      <c r="W214"/>
    </row>
    <row r="215" spans="2:23" ht="18" customHeight="1" x14ac:dyDescent="0.25">
      <c r="B215" s="256"/>
      <c r="C215" s="257"/>
      <c r="D215" s="258"/>
      <c r="E215" s="258"/>
      <c r="F215" s="259"/>
      <c r="G215" s="259"/>
      <c r="H215" s="260"/>
      <c r="I215" s="261" t="str">
        <f>IFERROR(MID(作者统计[[#This Row],[作者]],FIND("[",作者统计[[#This Row],[作者]],1)+1,FIND("]",作者统计[[#This Row],[作者]],1)-FIND("[",作者统计[[#This Row],[作者]],1)-1),"")</f>
        <v/>
      </c>
      <c r="J215" s="261" t="str">
        <f>IFERROR(MID(作者统计[[#This Row],[作者]],FIND("(",作者统计[[#This Row],[作者]],1)+1,FIND(")",作者统计[[#This Row],[作者]],1)-FIND("(",作者统计[[#This Row],[作者]],1)-1),"")</f>
        <v/>
      </c>
      <c r="L215" s="6"/>
      <c r="M215" s="5"/>
      <c r="U215" s="5"/>
      <c r="W215"/>
    </row>
    <row r="216" spans="2:23" ht="18" customHeight="1" x14ac:dyDescent="0.25">
      <c r="B216" s="85"/>
      <c r="C216" s="120"/>
      <c r="D216" s="121"/>
      <c r="E216" s="121"/>
      <c r="F216" s="92"/>
      <c r="G216" s="92"/>
      <c r="H216" s="122"/>
      <c r="I216" s="68" t="str">
        <f>IFERROR(MID(作者统计[[#This Row],[作者]],FIND("[",作者统计[[#This Row],[作者]],1)+1,FIND("]",作者统计[[#This Row],[作者]],1)-FIND("[",作者统计[[#This Row],[作者]],1)-1),"")</f>
        <v/>
      </c>
      <c r="J216" s="68" t="str">
        <f>IFERROR(MID(作者统计[[#This Row],[作者]],FIND("(",作者统计[[#This Row],[作者]],1)+1,FIND(")",作者统计[[#This Row],[作者]],1)-FIND("(",作者统计[[#This Row],[作者]],1)-1),"")</f>
        <v/>
      </c>
      <c r="L216" s="6"/>
      <c r="M216" s="5"/>
      <c r="U216" s="5"/>
      <c r="W216"/>
    </row>
    <row r="217" spans="2:23" ht="18" customHeight="1" x14ac:dyDescent="0.25">
      <c r="B217" s="85"/>
      <c r="C217" s="120"/>
      <c r="D217" s="121"/>
      <c r="E217" s="121"/>
      <c r="F217" s="92"/>
      <c r="G217" s="92"/>
      <c r="H217" s="122"/>
      <c r="I217" s="68" t="str">
        <f>IFERROR(MID(作者统计[[#This Row],[作者]],FIND("[",作者统计[[#This Row],[作者]],1)+1,FIND("]",作者统计[[#This Row],[作者]],1)-FIND("[",作者统计[[#This Row],[作者]],1)-1),"")</f>
        <v/>
      </c>
      <c r="J217" s="68" t="str">
        <f>IFERROR(MID(作者统计[[#This Row],[作者]],FIND("(",作者统计[[#This Row],[作者]],1)+1,FIND(")",作者统计[[#This Row],[作者]],1)-FIND("(",作者统计[[#This Row],[作者]],1)-1),"")</f>
        <v/>
      </c>
      <c r="L217" s="6"/>
      <c r="M217" s="5"/>
      <c r="U217" s="5"/>
      <c r="W217"/>
    </row>
    <row r="218" spans="2:23" ht="18" customHeight="1" x14ac:dyDescent="0.25">
      <c r="B218" s="309"/>
      <c r="C218" s="120"/>
      <c r="D218" s="121"/>
      <c r="E218" s="121"/>
      <c r="F218" s="92"/>
      <c r="G218" s="92"/>
      <c r="H218" s="122"/>
      <c r="I218" s="68" t="str">
        <f>IFERROR(MID(作者统计[[#This Row],[作者]],FIND("[",作者统计[[#This Row],[作者]],1)+1,FIND("]",作者统计[[#This Row],[作者]],1)-FIND("[",作者统计[[#This Row],[作者]],1)-1),"")</f>
        <v/>
      </c>
      <c r="J218" s="68" t="str">
        <f>IFERROR(MID(作者统计[[#This Row],[作者]],FIND("(",作者统计[[#This Row],[作者]],1)+1,FIND(")",作者统计[[#This Row],[作者]],1)-FIND("(",作者统计[[#This Row],[作者]],1)-1),"")</f>
        <v/>
      </c>
      <c r="L218" s="6"/>
      <c r="M218" s="5"/>
      <c r="U218" s="5"/>
      <c r="W218"/>
    </row>
    <row r="219" spans="2:23" ht="18" customHeight="1" x14ac:dyDescent="0.25">
      <c r="B219" s="85"/>
      <c r="C219" s="120"/>
      <c r="D219" s="121"/>
      <c r="E219" s="121"/>
      <c r="F219" s="92"/>
      <c r="G219" s="92"/>
      <c r="H219" s="122"/>
      <c r="I219" s="68" t="str">
        <f>IFERROR(MID(作者统计[[#This Row],[作者]],FIND("[",作者统计[[#This Row],[作者]],1)+1,FIND("]",作者统计[[#This Row],[作者]],1)-FIND("[",作者统计[[#This Row],[作者]],1)-1),"")</f>
        <v/>
      </c>
      <c r="J219" s="68" t="str">
        <f>IFERROR(MID(作者统计[[#This Row],[作者]],FIND("(",作者统计[[#This Row],[作者]],1)+1,FIND(")",作者统计[[#This Row],[作者]],1)-FIND("(",作者统计[[#This Row],[作者]],1)-1),"")</f>
        <v/>
      </c>
      <c r="L219" s="6"/>
      <c r="M219" s="5"/>
      <c r="U219" s="5"/>
      <c r="W219"/>
    </row>
    <row r="220" spans="2:23" ht="18" customHeight="1" x14ac:dyDescent="0.25">
      <c r="B220" s="309"/>
      <c r="C220" s="120"/>
      <c r="D220" s="121"/>
      <c r="E220" s="121"/>
      <c r="F220" s="92"/>
      <c r="G220" s="92"/>
      <c r="H220" s="122"/>
      <c r="I220" s="68" t="str">
        <f>IFERROR(MID(作者统计[[#This Row],[作者]],FIND("[",作者统计[[#This Row],[作者]],1)+1,FIND("]",作者统计[[#This Row],[作者]],1)-FIND("[",作者统计[[#This Row],[作者]],1)-1),"")</f>
        <v/>
      </c>
      <c r="J220" s="68" t="str">
        <f>IFERROR(MID(作者统计[[#This Row],[作者]],FIND("(",作者统计[[#This Row],[作者]],1)+1,FIND(")",作者统计[[#This Row],[作者]],1)-FIND("(",作者统计[[#This Row],[作者]],1)-1),"")</f>
        <v/>
      </c>
      <c r="L220" s="6"/>
      <c r="M220" s="5"/>
      <c r="U220" s="5"/>
      <c r="W220"/>
    </row>
    <row r="221" spans="2:23" ht="18" customHeight="1" x14ac:dyDescent="0.25">
      <c r="B221" s="256"/>
      <c r="C221" s="257"/>
      <c r="D221" s="258"/>
      <c r="E221" s="258"/>
      <c r="F221" s="259"/>
      <c r="G221" s="259"/>
      <c r="H221" s="260"/>
      <c r="I221" s="261" t="str">
        <f>IFERROR(MID(作者统计[[#This Row],[作者]],FIND("[",作者统计[[#This Row],[作者]],1)+1,FIND("]",作者统计[[#This Row],[作者]],1)-FIND("[",作者统计[[#This Row],[作者]],1)-1),"")</f>
        <v/>
      </c>
      <c r="J221" s="261" t="str">
        <f>IFERROR(MID(作者统计[[#This Row],[作者]],FIND("(",作者统计[[#This Row],[作者]],1)+1,FIND(")",作者统计[[#This Row],[作者]],1)-FIND("(",作者统计[[#This Row],[作者]],1)-1),"")</f>
        <v/>
      </c>
      <c r="L221" s="6"/>
      <c r="M221" s="5"/>
      <c r="U221" s="5"/>
      <c r="W221"/>
    </row>
    <row r="222" spans="2:23" ht="18" customHeight="1" x14ac:dyDescent="0.25">
      <c r="B222" s="309"/>
      <c r="C222" s="120"/>
      <c r="D222" s="121"/>
      <c r="E222" s="121"/>
      <c r="F222" s="92"/>
      <c r="G222" s="92"/>
      <c r="H222" s="122"/>
      <c r="I222" s="68" t="str">
        <f>IFERROR(MID(作者统计[[#This Row],[作者]],FIND("[",作者统计[[#This Row],[作者]],1)+1,FIND("]",作者统计[[#This Row],[作者]],1)-FIND("[",作者统计[[#This Row],[作者]],1)-1),"")</f>
        <v/>
      </c>
      <c r="J222" s="68" t="str">
        <f>IFERROR(MID(作者统计[[#This Row],[作者]],FIND("(",作者统计[[#This Row],[作者]],1)+1,FIND(")",作者统计[[#This Row],[作者]],1)-FIND("(",作者统计[[#This Row],[作者]],1)-1),"")</f>
        <v/>
      </c>
      <c r="L222" s="6"/>
      <c r="M222" s="5"/>
      <c r="U222" s="5"/>
      <c r="W222"/>
    </row>
    <row r="223" spans="2:23" ht="18" customHeight="1" x14ac:dyDescent="0.25">
      <c r="B223" s="309"/>
      <c r="C223" s="120"/>
      <c r="D223" s="121"/>
      <c r="E223" s="121"/>
      <c r="F223" s="92"/>
      <c r="G223" s="92"/>
      <c r="H223" s="122"/>
      <c r="I223" s="68" t="str">
        <f>IFERROR(MID(作者统计[[#This Row],[作者]],FIND("[",作者统计[[#This Row],[作者]],1)+1,FIND("]",作者统计[[#This Row],[作者]],1)-FIND("[",作者统计[[#This Row],[作者]],1)-1),"")</f>
        <v/>
      </c>
      <c r="J223" s="68" t="str">
        <f>IFERROR(MID(作者统计[[#This Row],[作者]],FIND("(",作者统计[[#This Row],[作者]],1)+1,FIND(")",作者统计[[#This Row],[作者]],1)-FIND("(",作者统计[[#This Row],[作者]],1)-1),"")</f>
        <v/>
      </c>
      <c r="L223" s="6"/>
      <c r="M223" s="5"/>
      <c r="U223" s="5"/>
      <c r="W223"/>
    </row>
    <row r="224" spans="2:23" ht="18" customHeight="1" x14ac:dyDescent="0.25">
      <c r="B224" s="309"/>
      <c r="C224" s="120"/>
      <c r="D224" s="121"/>
      <c r="E224" s="121"/>
      <c r="F224" s="92"/>
      <c r="G224" s="92"/>
      <c r="H224" s="122"/>
      <c r="I224" s="68" t="str">
        <f>IFERROR(MID(作者统计[[#This Row],[作者]],FIND("[",作者统计[[#This Row],[作者]],1)+1,FIND("]",作者统计[[#This Row],[作者]],1)-FIND("[",作者统计[[#This Row],[作者]],1)-1),"")</f>
        <v/>
      </c>
      <c r="J224" s="68" t="str">
        <f>IFERROR(MID(作者统计[[#This Row],[作者]],FIND("(",作者统计[[#This Row],[作者]],1)+1,FIND(")",作者统计[[#This Row],[作者]],1)-FIND("(",作者统计[[#This Row],[作者]],1)-1),"")</f>
        <v/>
      </c>
      <c r="L224" s="6"/>
      <c r="M224" s="5"/>
      <c r="U224" s="5"/>
      <c r="W224"/>
    </row>
    <row r="225" spans="2:23" ht="18" customHeight="1" x14ac:dyDescent="0.25">
      <c r="B225" s="85"/>
      <c r="C225" s="120"/>
      <c r="D225" s="121"/>
      <c r="E225" s="121"/>
      <c r="F225" s="92"/>
      <c r="G225" s="92"/>
      <c r="H225" s="122"/>
      <c r="I225" s="68" t="str">
        <f>IFERROR(MID(作者统计[[#This Row],[作者]],FIND("[",作者统计[[#This Row],[作者]],1)+1,FIND("]",作者统计[[#This Row],[作者]],1)-FIND("[",作者统计[[#This Row],[作者]],1)-1),"")</f>
        <v/>
      </c>
      <c r="J225" s="68" t="str">
        <f>IFERROR(MID(作者统计[[#This Row],[作者]],FIND("(",作者统计[[#This Row],[作者]],1)+1,FIND(")",作者统计[[#This Row],[作者]],1)-FIND("(",作者统计[[#This Row],[作者]],1)-1),"")</f>
        <v/>
      </c>
      <c r="L225" s="6"/>
      <c r="M225" s="5"/>
      <c r="U225" s="5"/>
      <c r="W225"/>
    </row>
    <row r="226" spans="2:23" ht="18" customHeight="1" x14ac:dyDescent="0.25">
      <c r="B226" s="85"/>
      <c r="C226" s="120"/>
      <c r="D226" s="121"/>
      <c r="E226" s="121"/>
      <c r="F226" s="92"/>
      <c r="G226" s="92"/>
      <c r="H226" s="122"/>
      <c r="I226" s="68" t="str">
        <f>IFERROR(MID(作者统计[[#This Row],[作者]],FIND("[",作者统计[[#This Row],[作者]],1)+1,FIND("]",作者统计[[#This Row],[作者]],1)-FIND("[",作者统计[[#This Row],[作者]],1)-1),"")</f>
        <v/>
      </c>
      <c r="J226" s="68" t="str">
        <f>IFERROR(MID(作者统计[[#This Row],[作者]],FIND("(",作者统计[[#This Row],[作者]],1)+1,FIND(")",作者统计[[#This Row],[作者]],1)-FIND("(",作者统计[[#This Row],[作者]],1)-1),"")</f>
        <v/>
      </c>
      <c r="L226" s="6"/>
      <c r="M226" s="5"/>
      <c r="U226" s="5"/>
      <c r="W226"/>
    </row>
    <row r="227" spans="2:23" ht="18" customHeight="1" x14ac:dyDescent="0.25">
      <c r="B227" s="309"/>
      <c r="C227" s="120"/>
      <c r="D227" s="121"/>
      <c r="E227" s="121"/>
      <c r="F227" s="92"/>
      <c r="G227" s="92"/>
      <c r="H227" s="122"/>
      <c r="I227" s="68" t="str">
        <f>IFERROR(MID(作者统计[[#This Row],[作者]],FIND("[",作者统计[[#This Row],[作者]],1)+1,FIND("]",作者统计[[#This Row],[作者]],1)-FIND("[",作者统计[[#This Row],[作者]],1)-1),"")</f>
        <v/>
      </c>
      <c r="J227" s="68" t="str">
        <f>IFERROR(MID(作者统计[[#This Row],[作者]],FIND("(",作者统计[[#This Row],[作者]],1)+1,FIND(")",作者统计[[#This Row],[作者]],1)-FIND("(",作者统计[[#This Row],[作者]],1)-1),"")</f>
        <v/>
      </c>
      <c r="L227" s="6"/>
      <c r="M227" s="5"/>
      <c r="U227" s="5"/>
      <c r="W227"/>
    </row>
    <row r="228" spans="2:23" ht="18" customHeight="1" x14ac:dyDescent="0.25">
      <c r="B228" s="85"/>
      <c r="C228" s="120"/>
      <c r="D228" s="121"/>
      <c r="E228" s="121"/>
      <c r="F228" s="92"/>
      <c r="G228" s="92"/>
      <c r="H228" s="122"/>
      <c r="I228" s="68" t="str">
        <f>IFERROR(MID(作者统计[[#This Row],[作者]],FIND("[",作者统计[[#This Row],[作者]],1)+1,FIND("]",作者统计[[#This Row],[作者]],1)-FIND("[",作者统计[[#This Row],[作者]],1)-1),"")</f>
        <v/>
      </c>
      <c r="J228" s="68" t="str">
        <f>IFERROR(MID(作者统计[[#This Row],[作者]],FIND("(",作者统计[[#This Row],[作者]],1)+1,FIND(")",作者统计[[#This Row],[作者]],1)-FIND("(",作者统计[[#This Row],[作者]],1)-1),"")</f>
        <v/>
      </c>
      <c r="L228" s="6"/>
      <c r="M228" s="5"/>
      <c r="U228" s="5"/>
      <c r="W228"/>
    </row>
    <row r="229" spans="2:23" ht="18" customHeight="1" x14ac:dyDescent="0.25">
      <c r="B229" s="309"/>
      <c r="C229" s="120"/>
      <c r="D229" s="121"/>
      <c r="E229" s="121"/>
      <c r="F229" s="92"/>
      <c r="G229" s="92"/>
      <c r="H229" s="122"/>
      <c r="I229" s="68" t="str">
        <f>IFERROR(MID(作者统计[[#This Row],[作者]],FIND("[",作者统计[[#This Row],[作者]],1)+1,FIND("]",作者统计[[#This Row],[作者]],1)-FIND("[",作者统计[[#This Row],[作者]],1)-1),"")</f>
        <v/>
      </c>
      <c r="J229" s="68" t="str">
        <f>IFERROR(MID(作者统计[[#This Row],[作者]],FIND("(",作者统计[[#This Row],[作者]],1)+1,FIND(")",作者统计[[#This Row],[作者]],1)-FIND("(",作者统计[[#This Row],[作者]],1)-1),"")</f>
        <v/>
      </c>
      <c r="L229" s="6"/>
      <c r="M229" s="5"/>
      <c r="U229" s="5"/>
      <c r="W229"/>
    </row>
    <row r="230" spans="2:23" ht="18" customHeight="1" x14ac:dyDescent="0.25">
      <c r="B230" s="256"/>
      <c r="C230" s="257"/>
      <c r="D230" s="258"/>
      <c r="E230" s="258"/>
      <c r="F230" s="259"/>
      <c r="G230" s="259"/>
      <c r="H230" s="260"/>
      <c r="I230" s="261" t="str">
        <f>IFERROR(MID(作者统计[[#This Row],[作者]],FIND("[",作者统计[[#This Row],[作者]],1)+1,FIND("]",作者统计[[#This Row],[作者]],1)-FIND("[",作者统计[[#This Row],[作者]],1)-1),"")</f>
        <v/>
      </c>
      <c r="J230" s="261" t="str">
        <f>IFERROR(MID(作者统计[[#This Row],[作者]],FIND("(",作者统计[[#This Row],[作者]],1)+1,FIND(")",作者统计[[#This Row],[作者]],1)-FIND("(",作者统计[[#This Row],[作者]],1)-1),"")</f>
        <v/>
      </c>
      <c r="L230" s="6"/>
      <c r="M230" s="5"/>
      <c r="U230" s="5"/>
      <c r="W230"/>
    </row>
    <row r="231" spans="2:23" ht="18" customHeight="1" x14ac:dyDescent="0.25">
      <c r="B231" s="85"/>
      <c r="C231" s="120"/>
      <c r="D231" s="121"/>
      <c r="E231" s="121"/>
      <c r="F231" s="92"/>
      <c r="G231" s="92"/>
      <c r="H231" s="122"/>
      <c r="I231" s="68" t="str">
        <f>IFERROR(MID(作者统计[[#This Row],[作者]],FIND("[",作者统计[[#This Row],[作者]],1)+1,FIND("]",作者统计[[#This Row],[作者]],1)-FIND("[",作者统计[[#This Row],[作者]],1)-1),"")</f>
        <v/>
      </c>
      <c r="J231" s="68" t="str">
        <f>IFERROR(MID(作者统计[[#This Row],[作者]],FIND("(",作者统计[[#This Row],[作者]],1)+1,FIND(")",作者统计[[#This Row],[作者]],1)-FIND("(",作者统计[[#This Row],[作者]],1)-1),"")</f>
        <v/>
      </c>
      <c r="L231" s="6"/>
      <c r="M231" s="5"/>
      <c r="U231" s="5"/>
      <c r="W231"/>
    </row>
    <row r="232" spans="2:23" ht="18" customHeight="1" x14ac:dyDescent="0.25">
      <c r="B232" s="309"/>
      <c r="C232" s="120"/>
      <c r="D232" s="121"/>
      <c r="E232" s="121"/>
      <c r="F232" s="92"/>
      <c r="G232" s="92"/>
      <c r="H232" s="122"/>
      <c r="I232" s="68" t="str">
        <f>IFERROR(MID(作者统计[[#This Row],[作者]],FIND("[",作者统计[[#This Row],[作者]],1)+1,FIND("]",作者统计[[#This Row],[作者]],1)-FIND("[",作者统计[[#This Row],[作者]],1)-1),"")</f>
        <v/>
      </c>
      <c r="J232" s="68" t="str">
        <f>IFERROR(MID(作者统计[[#This Row],[作者]],FIND("(",作者统计[[#This Row],[作者]],1)+1,FIND(")",作者统计[[#This Row],[作者]],1)-FIND("(",作者统计[[#This Row],[作者]],1)-1),"")</f>
        <v/>
      </c>
      <c r="L232" s="6"/>
      <c r="M232" s="5"/>
      <c r="U232" s="5"/>
      <c r="W232"/>
    </row>
    <row r="233" spans="2:23" ht="18" customHeight="1" x14ac:dyDescent="0.25">
      <c r="B233" s="309"/>
      <c r="C233" s="120"/>
      <c r="D233" s="121"/>
      <c r="E233" s="121"/>
      <c r="F233" s="92"/>
      <c r="G233" s="92"/>
      <c r="H233" s="122"/>
      <c r="I233" s="68" t="str">
        <f>IFERROR(MID(作者统计[[#This Row],[作者]],FIND("[",作者统计[[#This Row],[作者]],1)+1,FIND("]",作者统计[[#This Row],[作者]],1)-FIND("[",作者统计[[#This Row],[作者]],1)-1),"")</f>
        <v/>
      </c>
      <c r="J233" s="68" t="str">
        <f>IFERROR(MID(作者统计[[#This Row],[作者]],FIND("(",作者统计[[#This Row],[作者]],1)+1,FIND(")",作者统计[[#This Row],[作者]],1)-FIND("(",作者统计[[#This Row],[作者]],1)-1),"")</f>
        <v/>
      </c>
      <c r="L233" s="6"/>
      <c r="M233" s="5"/>
      <c r="U233" s="5"/>
      <c r="W233"/>
    </row>
    <row r="234" spans="2:23" ht="18" customHeight="1" x14ac:dyDescent="0.25">
      <c r="B234" s="256"/>
      <c r="C234" s="257"/>
      <c r="D234" s="258"/>
      <c r="E234" s="258"/>
      <c r="F234" s="259"/>
      <c r="G234" s="259"/>
      <c r="H234" s="260"/>
      <c r="I234" s="261" t="str">
        <f>IFERROR(MID(作者统计[[#This Row],[作者]],FIND("[",作者统计[[#This Row],[作者]],1)+1,FIND("]",作者统计[[#This Row],[作者]],1)-FIND("[",作者统计[[#This Row],[作者]],1)-1),"")</f>
        <v/>
      </c>
      <c r="J234" s="261" t="str">
        <f>IFERROR(MID(作者统计[[#This Row],[作者]],FIND("(",作者统计[[#This Row],[作者]],1)+1,FIND(")",作者统计[[#This Row],[作者]],1)-FIND("(",作者统计[[#This Row],[作者]],1)-1),"")</f>
        <v/>
      </c>
      <c r="L234" s="6"/>
      <c r="M234" s="5"/>
      <c r="U234" s="5"/>
      <c r="W234"/>
    </row>
    <row r="235" spans="2:23" ht="18" customHeight="1" x14ac:dyDescent="0.25">
      <c r="B235" s="256"/>
      <c r="C235" s="257"/>
      <c r="D235" s="258"/>
      <c r="E235" s="258"/>
      <c r="F235" s="259"/>
      <c r="G235" s="259"/>
      <c r="H235" s="260"/>
      <c r="I235" s="261" t="str">
        <f>IFERROR(MID(作者统计[[#This Row],[作者]],FIND("[",作者统计[[#This Row],[作者]],1)+1,FIND("]",作者统计[[#This Row],[作者]],1)-FIND("[",作者统计[[#This Row],[作者]],1)-1),"")</f>
        <v/>
      </c>
      <c r="J235" s="261" t="str">
        <f>IFERROR(MID(作者统计[[#This Row],[作者]],FIND("(",作者统计[[#This Row],[作者]],1)+1,FIND(")",作者统计[[#This Row],[作者]],1)-FIND("(",作者统计[[#This Row],[作者]],1)-1),"")</f>
        <v/>
      </c>
      <c r="L235" s="6"/>
      <c r="M235" s="5"/>
      <c r="U235" s="5"/>
      <c r="W235"/>
    </row>
    <row r="236" spans="2:23" ht="18" customHeight="1" x14ac:dyDescent="0.25">
      <c r="B236" s="309"/>
      <c r="C236" s="120"/>
      <c r="D236" s="121"/>
      <c r="E236" s="121"/>
      <c r="F236" s="92"/>
      <c r="G236" s="92"/>
      <c r="H236" s="122"/>
      <c r="I236" s="68" t="str">
        <f>IFERROR(MID(作者统计[[#This Row],[作者]],FIND("[",作者统计[[#This Row],[作者]],1)+1,FIND("]",作者统计[[#This Row],[作者]],1)-FIND("[",作者统计[[#This Row],[作者]],1)-1),"")</f>
        <v/>
      </c>
      <c r="J236" s="68" t="str">
        <f>IFERROR(MID(作者统计[[#This Row],[作者]],FIND("(",作者统计[[#This Row],[作者]],1)+1,FIND(")",作者统计[[#This Row],[作者]],1)-FIND("(",作者统计[[#This Row],[作者]],1)-1),"")</f>
        <v/>
      </c>
      <c r="L236" s="6"/>
      <c r="M236" s="5"/>
      <c r="U236" s="5"/>
      <c r="W236"/>
    </row>
    <row r="237" spans="2:23" ht="18" customHeight="1" x14ac:dyDescent="0.25">
      <c r="B237" s="256"/>
      <c r="C237" s="257"/>
      <c r="D237" s="258"/>
      <c r="E237" s="258"/>
      <c r="F237" s="259"/>
      <c r="G237" s="259"/>
      <c r="H237" s="260"/>
      <c r="I237" s="261" t="str">
        <f>IFERROR(MID(作者统计[[#This Row],[作者]],FIND("[",作者统计[[#This Row],[作者]],1)+1,FIND("]",作者统计[[#This Row],[作者]],1)-FIND("[",作者统计[[#This Row],[作者]],1)-1),"")</f>
        <v/>
      </c>
      <c r="J237" s="261" t="str">
        <f>IFERROR(MID(作者统计[[#This Row],[作者]],FIND("(",作者统计[[#This Row],[作者]],1)+1,FIND(")",作者统计[[#This Row],[作者]],1)-FIND("(",作者统计[[#This Row],[作者]],1)-1),"")</f>
        <v/>
      </c>
      <c r="L237" s="6"/>
      <c r="M237" s="5"/>
      <c r="U237" s="5"/>
      <c r="W237"/>
    </row>
    <row r="238" spans="2:23" ht="18" customHeight="1" x14ac:dyDescent="0.25">
      <c r="B238" s="85"/>
      <c r="C238" s="120"/>
      <c r="D238" s="121"/>
      <c r="E238" s="121"/>
      <c r="F238" s="92"/>
      <c r="G238" s="92"/>
      <c r="H238" s="122"/>
      <c r="I238" s="68" t="str">
        <f>IFERROR(MID(作者统计[[#This Row],[作者]],FIND("[",作者统计[[#This Row],[作者]],1)+1,FIND("]",作者统计[[#This Row],[作者]],1)-FIND("[",作者统计[[#This Row],[作者]],1)-1),"")</f>
        <v/>
      </c>
      <c r="J238" s="68" t="str">
        <f>IFERROR(MID(作者统计[[#This Row],[作者]],FIND("(",作者统计[[#This Row],[作者]],1)+1,FIND(")",作者统计[[#This Row],[作者]],1)-FIND("(",作者统计[[#This Row],[作者]],1)-1),"")</f>
        <v/>
      </c>
      <c r="L238" s="6"/>
      <c r="M238" s="5"/>
      <c r="U238" s="5"/>
      <c r="W238"/>
    </row>
    <row r="239" spans="2:23" ht="18" customHeight="1" x14ac:dyDescent="0.25">
      <c r="B239" s="309"/>
      <c r="C239" s="120"/>
      <c r="D239" s="121"/>
      <c r="E239" s="121"/>
      <c r="F239" s="92"/>
      <c r="G239" s="92"/>
      <c r="H239" s="122"/>
      <c r="I239" s="68" t="str">
        <f>IFERROR(MID(作者统计[[#This Row],[作者]],FIND("[",作者统计[[#This Row],[作者]],1)+1,FIND("]",作者统计[[#This Row],[作者]],1)-FIND("[",作者统计[[#This Row],[作者]],1)-1),"")</f>
        <v/>
      </c>
      <c r="J239" s="68" t="str">
        <f>IFERROR(MID(作者统计[[#This Row],[作者]],FIND("(",作者统计[[#This Row],[作者]],1)+1,FIND(")",作者统计[[#This Row],[作者]],1)-FIND("(",作者统计[[#This Row],[作者]],1)-1),"")</f>
        <v/>
      </c>
      <c r="L239" s="6"/>
      <c r="M239" s="5"/>
      <c r="U239" s="5"/>
      <c r="W239"/>
    </row>
    <row r="240" spans="2:23" ht="18" customHeight="1" x14ac:dyDescent="0.25">
      <c r="B240" s="309"/>
      <c r="C240" s="120"/>
      <c r="D240" s="121"/>
      <c r="E240" s="121"/>
      <c r="F240" s="92"/>
      <c r="G240" s="92"/>
      <c r="H240" s="122"/>
      <c r="I240" s="68" t="str">
        <f>IFERROR(MID(作者统计[[#This Row],[作者]],FIND("[",作者统计[[#This Row],[作者]],1)+1,FIND("]",作者统计[[#This Row],[作者]],1)-FIND("[",作者统计[[#This Row],[作者]],1)-1),"")</f>
        <v/>
      </c>
      <c r="J240" s="68" t="str">
        <f>IFERROR(MID(作者统计[[#This Row],[作者]],FIND("(",作者统计[[#This Row],[作者]],1)+1,FIND(")",作者统计[[#This Row],[作者]],1)-FIND("(",作者统计[[#This Row],[作者]],1)-1),"")</f>
        <v/>
      </c>
      <c r="L240" s="6"/>
      <c r="M240" s="5"/>
      <c r="U240" s="5"/>
      <c r="W240"/>
    </row>
    <row r="241" spans="2:23" ht="18" customHeight="1" x14ac:dyDescent="0.25">
      <c r="B241" s="256"/>
      <c r="C241" s="257"/>
      <c r="D241" s="258"/>
      <c r="E241" s="258"/>
      <c r="F241" s="259"/>
      <c r="G241" s="259"/>
      <c r="H241" s="260"/>
      <c r="I241" s="261" t="str">
        <f>IFERROR(MID(作者统计[[#This Row],[作者]],FIND("[",作者统计[[#This Row],[作者]],1)+1,FIND("]",作者统计[[#This Row],[作者]],1)-FIND("[",作者统计[[#This Row],[作者]],1)-1),"")</f>
        <v/>
      </c>
      <c r="J241" s="261" t="str">
        <f>IFERROR(MID(作者统计[[#This Row],[作者]],FIND("(",作者统计[[#This Row],[作者]],1)+1,FIND(")",作者统计[[#This Row],[作者]],1)-FIND("(",作者统计[[#This Row],[作者]],1)-1),"")</f>
        <v/>
      </c>
      <c r="L241" s="6"/>
      <c r="M241" s="5"/>
      <c r="U241" s="5"/>
      <c r="W241"/>
    </row>
    <row r="242" spans="2:23" ht="18" customHeight="1" x14ac:dyDescent="0.25">
      <c r="B242" s="309"/>
      <c r="C242" s="120"/>
      <c r="D242" s="121"/>
      <c r="E242" s="121"/>
      <c r="F242" s="92"/>
      <c r="G242" s="92"/>
      <c r="H242" s="122"/>
      <c r="I242" s="68" t="str">
        <f>IFERROR(MID(作者统计[[#This Row],[作者]],FIND("[",作者统计[[#This Row],[作者]],1)+1,FIND("]",作者统计[[#This Row],[作者]],1)-FIND("[",作者统计[[#This Row],[作者]],1)-1),"")</f>
        <v/>
      </c>
      <c r="J242" s="68" t="str">
        <f>IFERROR(MID(作者统计[[#This Row],[作者]],FIND("(",作者统计[[#This Row],[作者]],1)+1,FIND(")",作者统计[[#This Row],[作者]],1)-FIND("(",作者统计[[#This Row],[作者]],1)-1),"")</f>
        <v/>
      </c>
      <c r="L242" s="6"/>
      <c r="M242" s="5"/>
      <c r="U242" s="5"/>
      <c r="W242"/>
    </row>
    <row r="243" spans="2:23" ht="18" customHeight="1" x14ac:dyDescent="0.25">
      <c r="B243" s="85"/>
      <c r="C243" s="120"/>
      <c r="D243" s="121"/>
      <c r="E243" s="121"/>
      <c r="F243" s="92"/>
      <c r="G243" s="92"/>
      <c r="H243" s="122"/>
      <c r="I243" s="68" t="str">
        <f>IFERROR(MID(作者统计[[#This Row],[作者]],FIND("[",作者统计[[#This Row],[作者]],1)+1,FIND("]",作者统计[[#This Row],[作者]],1)-FIND("[",作者统计[[#This Row],[作者]],1)-1),"")</f>
        <v/>
      </c>
      <c r="J243" s="68" t="str">
        <f>IFERROR(MID(作者统计[[#This Row],[作者]],FIND("(",作者统计[[#This Row],[作者]],1)+1,FIND(")",作者统计[[#This Row],[作者]],1)-FIND("(",作者统计[[#This Row],[作者]],1)-1),"")</f>
        <v/>
      </c>
      <c r="L243" s="6"/>
      <c r="M243" s="5"/>
      <c r="U243" s="5"/>
      <c r="W243"/>
    </row>
    <row r="244" spans="2:23" ht="18" customHeight="1" x14ac:dyDescent="0.25">
      <c r="B244" s="309"/>
      <c r="C244" s="120"/>
      <c r="D244" s="121"/>
      <c r="E244" s="121"/>
      <c r="F244" s="92"/>
      <c r="G244" s="92"/>
      <c r="H244" s="122"/>
      <c r="I244" s="68" t="str">
        <f>IFERROR(MID(作者统计[[#This Row],[作者]],FIND("[",作者统计[[#This Row],[作者]],1)+1,FIND("]",作者统计[[#This Row],[作者]],1)-FIND("[",作者统计[[#This Row],[作者]],1)-1),"")</f>
        <v/>
      </c>
      <c r="J244" s="68" t="str">
        <f>IFERROR(MID(作者统计[[#This Row],[作者]],FIND("(",作者统计[[#This Row],[作者]],1)+1,FIND(")",作者统计[[#This Row],[作者]],1)-FIND("(",作者统计[[#This Row],[作者]],1)-1),"")</f>
        <v/>
      </c>
      <c r="L244" s="6"/>
      <c r="M244" s="5"/>
      <c r="U244" s="5"/>
      <c r="W244"/>
    </row>
    <row r="245" spans="2:23" ht="18" customHeight="1" x14ac:dyDescent="0.25">
      <c r="B245" s="256"/>
      <c r="C245" s="257"/>
      <c r="D245" s="258"/>
      <c r="E245" s="258"/>
      <c r="F245" s="259"/>
      <c r="G245" s="259"/>
      <c r="H245" s="260"/>
      <c r="I245" s="261" t="str">
        <f>IFERROR(MID(作者统计[[#This Row],[作者]],FIND("[",作者统计[[#This Row],[作者]],1)+1,FIND("]",作者统计[[#This Row],[作者]],1)-FIND("[",作者统计[[#This Row],[作者]],1)-1),"")</f>
        <v/>
      </c>
      <c r="J245" s="261" t="str">
        <f>IFERROR(MID(作者统计[[#This Row],[作者]],FIND("(",作者统计[[#This Row],[作者]],1)+1,FIND(")",作者统计[[#This Row],[作者]],1)-FIND("(",作者统计[[#This Row],[作者]],1)-1),"")</f>
        <v/>
      </c>
      <c r="L245" s="6"/>
      <c r="M245" s="5"/>
      <c r="U245" s="5"/>
      <c r="W245"/>
    </row>
    <row r="246" spans="2:23" ht="18" customHeight="1" x14ac:dyDescent="0.25">
      <c r="B246" s="309"/>
      <c r="C246" s="120"/>
      <c r="D246" s="121"/>
      <c r="E246" s="121"/>
      <c r="F246" s="92"/>
      <c r="G246" s="92"/>
      <c r="H246" s="122"/>
      <c r="I246" s="68" t="str">
        <f>IFERROR(MID(作者统计[[#This Row],[作者]],FIND("[",作者统计[[#This Row],[作者]],1)+1,FIND("]",作者统计[[#This Row],[作者]],1)-FIND("[",作者统计[[#This Row],[作者]],1)-1),"")</f>
        <v/>
      </c>
      <c r="J246" s="68" t="str">
        <f>IFERROR(MID(作者统计[[#This Row],[作者]],FIND("(",作者统计[[#This Row],[作者]],1)+1,FIND(")",作者统计[[#This Row],[作者]],1)-FIND("(",作者统计[[#This Row],[作者]],1)-1),"")</f>
        <v/>
      </c>
      <c r="L246" s="6"/>
      <c r="M246" s="5"/>
      <c r="U246" s="5"/>
      <c r="W246"/>
    </row>
    <row r="247" spans="2:23" ht="18" customHeight="1" x14ac:dyDescent="0.25">
      <c r="B247" s="309"/>
      <c r="C247" s="120"/>
      <c r="D247" s="121"/>
      <c r="E247" s="121"/>
      <c r="F247" s="92"/>
      <c r="G247" s="92"/>
      <c r="H247" s="122"/>
      <c r="I247" s="68" t="str">
        <f>IFERROR(MID(作者统计[[#This Row],[作者]],FIND("[",作者统计[[#This Row],[作者]],1)+1,FIND("]",作者统计[[#This Row],[作者]],1)-FIND("[",作者统计[[#This Row],[作者]],1)-1),"")</f>
        <v/>
      </c>
      <c r="J247" s="68" t="str">
        <f>IFERROR(MID(作者统计[[#This Row],[作者]],FIND("(",作者统计[[#This Row],[作者]],1)+1,FIND(")",作者统计[[#This Row],[作者]],1)-FIND("(",作者统计[[#This Row],[作者]],1)-1),"")</f>
        <v/>
      </c>
      <c r="L247" s="6"/>
      <c r="M247" s="5"/>
      <c r="U247" s="5"/>
      <c r="W247"/>
    </row>
    <row r="248" spans="2:23" ht="18" customHeight="1" x14ac:dyDescent="0.25">
      <c r="B248" s="309"/>
      <c r="C248" s="120"/>
      <c r="D248" s="121"/>
      <c r="E248" s="121"/>
      <c r="F248" s="92"/>
      <c r="G248" s="92"/>
      <c r="H248" s="122"/>
      <c r="I248" s="68" t="str">
        <f>IFERROR(MID(作者统计[[#This Row],[作者]],FIND("[",作者统计[[#This Row],[作者]],1)+1,FIND("]",作者统计[[#This Row],[作者]],1)-FIND("[",作者统计[[#This Row],[作者]],1)-1),"")</f>
        <v/>
      </c>
      <c r="J248" s="68" t="str">
        <f>IFERROR(MID(作者统计[[#This Row],[作者]],FIND("(",作者统计[[#This Row],[作者]],1)+1,FIND(")",作者统计[[#This Row],[作者]],1)-FIND("(",作者统计[[#This Row],[作者]],1)-1),"")</f>
        <v/>
      </c>
      <c r="L248" s="6"/>
      <c r="M248" s="5"/>
      <c r="U248" s="5"/>
      <c r="W248"/>
    </row>
    <row r="249" spans="2:23" ht="18" customHeight="1" x14ac:dyDescent="0.25">
      <c r="B249" s="256"/>
      <c r="C249" s="257"/>
      <c r="D249" s="258"/>
      <c r="E249" s="258"/>
      <c r="F249" s="259"/>
      <c r="G249" s="259"/>
      <c r="H249" s="260"/>
      <c r="I249" s="261" t="str">
        <f>IFERROR(MID(作者统计[[#This Row],[作者]],FIND("[",作者统计[[#This Row],[作者]],1)+1,FIND("]",作者统计[[#This Row],[作者]],1)-FIND("[",作者统计[[#This Row],[作者]],1)-1),"")</f>
        <v/>
      </c>
      <c r="J249" s="261" t="str">
        <f>IFERROR(MID(作者统计[[#This Row],[作者]],FIND("(",作者统计[[#This Row],[作者]],1)+1,FIND(")",作者统计[[#This Row],[作者]],1)-FIND("(",作者统计[[#This Row],[作者]],1)-1),"")</f>
        <v/>
      </c>
      <c r="L249" s="6"/>
      <c r="M249" s="5"/>
      <c r="U249" s="5"/>
      <c r="W249"/>
    </row>
    <row r="250" spans="2:23" ht="18" customHeight="1" x14ac:dyDescent="0.25">
      <c r="B250" s="309"/>
      <c r="C250" s="120"/>
      <c r="D250" s="121"/>
      <c r="E250" s="121"/>
      <c r="F250" s="92"/>
      <c r="G250" s="92"/>
      <c r="H250" s="122"/>
      <c r="I250" s="68" t="str">
        <f>IFERROR(MID(作者统计[[#This Row],[作者]],FIND("[",作者统计[[#This Row],[作者]],1)+1,FIND("]",作者统计[[#This Row],[作者]],1)-FIND("[",作者统计[[#This Row],[作者]],1)-1),"")</f>
        <v/>
      </c>
      <c r="J250" s="68" t="str">
        <f>IFERROR(MID(作者统计[[#This Row],[作者]],FIND("(",作者统计[[#This Row],[作者]],1)+1,FIND(")",作者统计[[#This Row],[作者]],1)-FIND("(",作者统计[[#This Row],[作者]],1)-1),"")</f>
        <v/>
      </c>
      <c r="L250" s="6"/>
      <c r="M250" s="5"/>
      <c r="U250" s="5"/>
      <c r="W250"/>
    </row>
    <row r="251" spans="2:23" ht="18" customHeight="1" x14ac:dyDescent="0.25">
      <c r="B251" s="309"/>
      <c r="C251" s="120"/>
      <c r="D251" s="121"/>
      <c r="E251" s="121"/>
      <c r="F251" s="92"/>
      <c r="G251" s="92"/>
      <c r="H251" s="122"/>
      <c r="I251" s="68" t="str">
        <f>IFERROR(MID(作者统计[[#This Row],[作者]],FIND("[",作者统计[[#This Row],[作者]],1)+1,FIND("]",作者统计[[#This Row],[作者]],1)-FIND("[",作者统计[[#This Row],[作者]],1)-1),"")</f>
        <v/>
      </c>
      <c r="J251" s="68" t="str">
        <f>IFERROR(MID(作者统计[[#This Row],[作者]],FIND("(",作者统计[[#This Row],[作者]],1)+1,FIND(")",作者统计[[#This Row],[作者]],1)-FIND("(",作者统计[[#This Row],[作者]],1)-1),"")</f>
        <v/>
      </c>
      <c r="L251" s="6"/>
      <c r="M251" s="5"/>
      <c r="U251" s="5"/>
      <c r="W251"/>
    </row>
    <row r="252" spans="2:23" ht="18" customHeight="1" x14ac:dyDescent="0.25">
      <c r="B252" s="309"/>
      <c r="C252" s="120"/>
      <c r="D252" s="121"/>
      <c r="E252" s="121"/>
      <c r="F252" s="92"/>
      <c r="G252" s="92"/>
      <c r="H252" s="122"/>
      <c r="I252" s="68" t="str">
        <f>IFERROR(MID(作者统计[[#This Row],[作者]],FIND("[",作者统计[[#This Row],[作者]],1)+1,FIND("]",作者统计[[#This Row],[作者]],1)-FIND("[",作者统计[[#This Row],[作者]],1)-1),"")</f>
        <v/>
      </c>
      <c r="J252" s="68" t="str">
        <f>IFERROR(MID(作者统计[[#This Row],[作者]],FIND("(",作者统计[[#This Row],[作者]],1)+1,FIND(")",作者统计[[#This Row],[作者]],1)-FIND("(",作者统计[[#This Row],[作者]],1)-1),"")</f>
        <v/>
      </c>
      <c r="L252" s="6"/>
      <c r="M252" s="5"/>
      <c r="U252" s="5"/>
      <c r="W252"/>
    </row>
    <row r="253" spans="2:23" ht="18" customHeight="1" x14ac:dyDescent="0.25">
      <c r="B253" s="256"/>
      <c r="C253" s="257"/>
      <c r="D253" s="258"/>
      <c r="E253" s="258"/>
      <c r="F253" s="259"/>
      <c r="G253" s="259"/>
      <c r="H253" s="260"/>
      <c r="I253" s="261" t="str">
        <f>IFERROR(MID(作者统计[[#This Row],[作者]],FIND("[",作者统计[[#This Row],[作者]],1)+1,FIND("]",作者统计[[#This Row],[作者]],1)-FIND("[",作者统计[[#This Row],[作者]],1)-1),"")</f>
        <v/>
      </c>
      <c r="J253" s="261" t="str">
        <f>IFERROR(MID(作者统计[[#This Row],[作者]],FIND("(",作者统计[[#This Row],[作者]],1)+1,FIND(")",作者统计[[#This Row],[作者]],1)-FIND("(",作者统计[[#This Row],[作者]],1)-1),"")</f>
        <v/>
      </c>
      <c r="L253" s="6"/>
      <c r="M253" s="5"/>
      <c r="U253" s="5"/>
      <c r="W253"/>
    </row>
    <row r="254" spans="2:23" ht="18" customHeight="1" x14ac:dyDescent="0.25">
      <c r="B254" s="256"/>
      <c r="C254" s="257"/>
      <c r="D254" s="258"/>
      <c r="E254" s="258"/>
      <c r="F254" s="259"/>
      <c r="G254" s="259"/>
      <c r="H254" s="260"/>
      <c r="I254" s="261" t="str">
        <f>IFERROR(MID(作者统计[[#This Row],[作者]],FIND("[",作者统计[[#This Row],[作者]],1)+1,FIND("]",作者统计[[#This Row],[作者]],1)-FIND("[",作者统计[[#This Row],[作者]],1)-1),"")</f>
        <v/>
      </c>
      <c r="J254" s="261" t="str">
        <f>IFERROR(MID(作者统计[[#This Row],[作者]],FIND("(",作者统计[[#This Row],[作者]],1)+1,FIND(")",作者统计[[#This Row],[作者]],1)-FIND("(",作者统计[[#This Row],[作者]],1)-1),"")</f>
        <v/>
      </c>
      <c r="L254" s="6"/>
      <c r="M254" s="5"/>
      <c r="U254" s="5"/>
      <c r="W254"/>
    </row>
    <row r="255" spans="2:23" ht="18" customHeight="1" x14ac:dyDescent="0.25">
      <c r="B255" s="256"/>
      <c r="C255" s="257"/>
      <c r="D255" s="258"/>
      <c r="E255" s="258"/>
      <c r="F255" s="259"/>
      <c r="G255" s="259"/>
      <c r="H255" s="260"/>
      <c r="I255" s="261" t="str">
        <f>IFERROR(MID(作者统计[[#This Row],[作者]],FIND("[",作者统计[[#This Row],[作者]],1)+1,FIND("]",作者统计[[#This Row],[作者]],1)-FIND("[",作者统计[[#This Row],[作者]],1)-1),"")</f>
        <v/>
      </c>
      <c r="J255" s="261" t="str">
        <f>IFERROR(MID(作者统计[[#This Row],[作者]],FIND("(",作者统计[[#This Row],[作者]],1)+1,FIND(")",作者统计[[#This Row],[作者]],1)-FIND("(",作者统计[[#This Row],[作者]],1)-1),"")</f>
        <v/>
      </c>
      <c r="L255" s="6"/>
      <c r="M255" s="5"/>
      <c r="U255" s="5"/>
      <c r="W255"/>
    </row>
    <row r="256" spans="2:23" ht="18" customHeight="1" x14ac:dyDescent="0.25">
      <c r="B256" s="256"/>
      <c r="C256" s="257"/>
      <c r="D256" s="258"/>
      <c r="E256" s="258"/>
      <c r="F256" s="259"/>
      <c r="G256" s="259"/>
      <c r="H256" s="260"/>
      <c r="I256" s="261" t="str">
        <f>IFERROR(MID(作者统计[[#This Row],[作者]],FIND("[",作者统计[[#This Row],[作者]],1)+1,FIND("]",作者统计[[#This Row],[作者]],1)-FIND("[",作者统计[[#This Row],[作者]],1)-1),"")</f>
        <v/>
      </c>
      <c r="J256" s="261" t="str">
        <f>IFERROR(MID(作者统计[[#This Row],[作者]],FIND("(",作者统计[[#This Row],[作者]],1)+1,FIND(")",作者统计[[#This Row],[作者]],1)-FIND("(",作者统计[[#This Row],[作者]],1)-1),"")</f>
        <v/>
      </c>
      <c r="L256" s="6"/>
      <c r="M256" s="5"/>
      <c r="U256" s="5"/>
      <c r="W256"/>
    </row>
    <row r="257" spans="2:23" ht="18" customHeight="1" x14ac:dyDescent="0.25">
      <c r="B257" s="309"/>
      <c r="C257" s="120"/>
      <c r="D257" s="121"/>
      <c r="E257" s="121"/>
      <c r="F257" s="92"/>
      <c r="G257" s="92"/>
      <c r="H257" s="122"/>
      <c r="I257" s="68" t="str">
        <f>IFERROR(MID(作者统计[[#This Row],[作者]],FIND("[",作者统计[[#This Row],[作者]],1)+1,FIND("]",作者统计[[#This Row],[作者]],1)-FIND("[",作者统计[[#This Row],[作者]],1)-1),"")</f>
        <v/>
      </c>
      <c r="J257" s="68" t="str">
        <f>IFERROR(MID(作者统计[[#This Row],[作者]],FIND("(",作者统计[[#This Row],[作者]],1)+1,FIND(")",作者统计[[#This Row],[作者]],1)-FIND("(",作者统计[[#This Row],[作者]],1)-1),"")</f>
        <v/>
      </c>
      <c r="L257" s="6"/>
      <c r="M257" s="5"/>
      <c r="U257" s="5"/>
      <c r="W257"/>
    </row>
    <row r="258" spans="2:23" ht="18" customHeight="1" x14ac:dyDescent="0.25">
      <c r="B258" s="85"/>
      <c r="C258" s="120"/>
      <c r="D258" s="121"/>
      <c r="E258" s="121"/>
      <c r="F258" s="92"/>
      <c r="G258" s="92"/>
      <c r="H258" s="122"/>
      <c r="I258" s="68" t="str">
        <f>IFERROR(MID(作者统计[[#This Row],[作者]],FIND("[",作者统计[[#This Row],[作者]],1)+1,FIND("]",作者统计[[#This Row],[作者]],1)-FIND("[",作者统计[[#This Row],[作者]],1)-1),"")</f>
        <v/>
      </c>
      <c r="J258" s="68" t="str">
        <f>IFERROR(MID(作者统计[[#This Row],[作者]],FIND("(",作者统计[[#This Row],[作者]],1)+1,FIND(")",作者统计[[#This Row],[作者]],1)-FIND("(",作者统计[[#This Row],[作者]],1)-1),"")</f>
        <v/>
      </c>
      <c r="L258" s="6"/>
      <c r="M258" s="5"/>
      <c r="U258" s="5"/>
      <c r="W258"/>
    </row>
    <row r="259" spans="2:23" ht="18" customHeight="1" x14ac:dyDescent="0.25">
      <c r="B259" s="256"/>
      <c r="C259" s="257"/>
      <c r="D259" s="258"/>
      <c r="E259" s="258"/>
      <c r="F259" s="259"/>
      <c r="G259" s="259"/>
      <c r="H259" s="260"/>
      <c r="I259" s="261" t="str">
        <f>IFERROR(MID(作者统计[[#This Row],[作者]],FIND("[",作者统计[[#This Row],[作者]],1)+1,FIND("]",作者统计[[#This Row],[作者]],1)-FIND("[",作者统计[[#This Row],[作者]],1)-1),"")</f>
        <v/>
      </c>
      <c r="J259" s="261" t="str">
        <f>IFERROR(MID(作者统计[[#This Row],[作者]],FIND("(",作者统计[[#This Row],[作者]],1)+1,FIND(")",作者统计[[#This Row],[作者]],1)-FIND("(",作者统计[[#This Row],[作者]],1)-1),"")</f>
        <v/>
      </c>
      <c r="L259" s="6"/>
      <c r="M259" s="5"/>
      <c r="U259" s="5"/>
      <c r="W259"/>
    </row>
    <row r="260" spans="2:23" ht="18" customHeight="1" x14ac:dyDescent="0.25">
      <c r="B260" s="256"/>
      <c r="C260" s="257"/>
      <c r="D260" s="258"/>
      <c r="E260" s="258"/>
      <c r="F260" s="259"/>
      <c r="G260" s="259"/>
      <c r="H260" s="260"/>
      <c r="I260" s="261" t="str">
        <f>IFERROR(MID(作者统计[[#This Row],[作者]],FIND("[",作者统计[[#This Row],[作者]],1)+1,FIND("]",作者统计[[#This Row],[作者]],1)-FIND("[",作者统计[[#This Row],[作者]],1)-1),"")</f>
        <v/>
      </c>
      <c r="J260" s="261" t="str">
        <f>IFERROR(MID(作者统计[[#This Row],[作者]],FIND("(",作者统计[[#This Row],[作者]],1)+1,FIND(")",作者统计[[#This Row],[作者]],1)-FIND("(",作者统计[[#This Row],[作者]],1)-1),"")</f>
        <v/>
      </c>
      <c r="L260" s="6"/>
      <c r="M260" s="5"/>
      <c r="U260" s="5"/>
      <c r="W260"/>
    </row>
    <row r="261" spans="2:23" ht="18" customHeight="1" x14ac:dyDescent="0.25">
      <c r="B261" s="309"/>
      <c r="C261" s="120"/>
      <c r="D261" s="121"/>
      <c r="E261" s="121"/>
      <c r="F261" s="92"/>
      <c r="G261" s="92"/>
      <c r="H261" s="122"/>
      <c r="I261" s="68" t="str">
        <f>IFERROR(MID(作者统计[[#This Row],[作者]],FIND("[",作者统计[[#This Row],[作者]],1)+1,FIND("]",作者统计[[#This Row],[作者]],1)-FIND("[",作者统计[[#This Row],[作者]],1)-1),"")</f>
        <v/>
      </c>
      <c r="J261" s="68" t="str">
        <f>IFERROR(MID(作者统计[[#This Row],[作者]],FIND("(",作者统计[[#This Row],[作者]],1)+1,FIND(")",作者统计[[#This Row],[作者]],1)-FIND("(",作者统计[[#This Row],[作者]],1)-1),"")</f>
        <v/>
      </c>
      <c r="L261" s="6"/>
      <c r="M261" s="5"/>
      <c r="U261" s="5"/>
      <c r="W261"/>
    </row>
    <row r="262" spans="2:23" ht="18" customHeight="1" x14ac:dyDescent="0.25">
      <c r="B262" s="309"/>
      <c r="C262" s="120"/>
      <c r="D262" s="121"/>
      <c r="E262" s="121"/>
      <c r="F262" s="92"/>
      <c r="G262" s="92"/>
      <c r="H262" s="122"/>
      <c r="I262" s="68" t="str">
        <f>IFERROR(MID(作者统计[[#This Row],[作者]],FIND("[",作者统计[[#This Row],[作者]],1)+1,FIND("]",作者统计[[#This Row],[作者]],1)-FIND("[",作者统计[[#This Row],[作者]],1)-1),"")</f>
        <v/>
      </c>
      <c r="J262" s="68" t="str">
        <f>IFERROR(MID(作者统计[[#This Row],[作者]],FIND("(",作者统计[[#This Row],[作者]],1)+1,FIND(")",作者统计[[#This Row],[作者]],1)-FIND("(",作者统计[[#This Row],[作者]],1)-1),"")</f>
        <v/>
      </c>
      <c r="L262" s="6"/>
      <c r="M262" s="5"/>
      <c r="U262" s="5"/>
      <c r="W262"/>
    </row>
    <row r="263" spans="2:23" ht="18" customHeight="1" x14ac:dyDescent="0.25">
      <c r="B263" s="85"/>
      <c r="C263" s="120"/>
      <c r="D263" s="121"/>
      <c r="E263" s="121"/>
      <c r="F263" s="92"/>
      <c r="G263" s="92"/>
      <c r="H263" s="122"/>
      <c r="I263" s="68" t="str">
        <f>IFERROR(MID(作者统计[[#This Row],[作者]],FIND("[",作者统计[[#This Row],[作者]],1)+1,FIND("]",作者统计[[#This Row],[作者]],1)-FIND("[",作者统计[[#This Row],[作者]],1)-1),"")</f>
        <v/>
      </c>
      <c r="J263" s="68" t="str">
        <f>IFERROR(MID(作者统计[[#This Row],[作者]],FIND("(",作者统计[[#This Row],[作者]],1)+1,FIND(")",作者统计[[#This Row],[作者]],1)-FIND("(",作者统计[[#This Row],[作者]],1)-1),"")</f>
        <v/>
      </c>
      <c r="L263" s="6"/>
      <c r="M263" s="5"/>
      <c r="U263" s="5"/>
      <c r="W263"/>
    </row>
    <row r="264" spans="2:23" ht="18" customHeight="1" x14ac:dyDescent="0.25">
      <c r="B264" s="309"/>
      <c r="C264" s="120"/>
      <c r="D264" s="121"/>
      <c r="E264" s="121"/>
      <c r="F264" s="92"/>
      <c r="G264" s="92"/>
      <c r="H264" s="122"/>
      <c r="I264" s="68" t="str">
        <f>IFERROR(MID(作者统计[[#This Row],[作者]],FIND("[",作者统计[[#This Row],[作者]],1)+1,FIND("]",作者统计[[#This Row],[作者]],1)-FIND("[",作者统计[[#This Row],[作者]],1)-1),"")</f>
        <v/>
      </c>
      <c r="J264" s="68" t="str">
        <f>IFERROR(MID(作者统计[[#This Row],[作者]],FIND("(",作者统计[[#This Row],[作者]],1)+1,FIND(")",作者统计[[#This Row],[作者]],1)-FIND("(",作者统计[[#This Row],[作者]],1)-1),"")</f>
        <v/>
      </c>
      <c r="L264" s="6"/>
      <c r="M264" s="5"/>
      <c r="U264" s="5"/>
      <c r="W264"/>
    </row>
    <row r="265" spans="2:23" ht="18" customHeight="1" x14ac:dyDescent="0.25">
      <c r="B265" s="256"/>
      <c r="C265" s="257"/>
      <c r="D265" s="258"/>
      <c r="E265" s="258"/>
      <c r="F265" s="259"/>
      <c r="G265" s="259"/>
      <c r="H265" s="260"/>
      <c r="I265" s="261" t="str">
        <f>IFERROR(MID(作者统计[[#This Row],[作者]],FIND("[",作者统计[[#This Row],[作者]],1)+1,FIND("]",作者统计[[#This Row],[作者]],1)-FIND("[",作者统计[[#This Row],[作者]],1)-1),"")</f>
        <v/>
      </c>
      <c r="J265" s="261" t="str">
        <f>IFERROR(MID(作者统计[[#This Row],[作者]],FIND("(",作者统计[[#This Row],[作者]],1)+1,FIND(")",作者统计[[#This Row],[作者]],1)-FIND("(",作者统计[[#This Row],[作者]],1)-1),"")</f>
        <v/>
      </c>
      <c r="L265" s="6"/>
      <c r="M265" s="5"/>
      <c r="U265" s="5"/>
      <c r="W265"/>
    </row>
    <row r="266" spans="2:23" ht="18" customHeight="1" x14ac:dyDescent="0.25">
      <c r="B266" s="256"/>
      <c r="C266" s="257"/>
      <c r="D266" s="258"/>
      <c r="E266" s="258"/>
      <c r="F266" s="259"/>
      <c r="G266" s="259"/>
      <c r="H266" s="260"/>
      <c r="I266" s="261" t="str">
        <f>IFERROR(MID(作者统计[[#This Row],[作者]],FIND("[",作者统计[[#This Row],[作者]],1)+1,FIND("]",作者统计[[#This Row],[作者]],1)-FIND("[",作者统计[[#This Row],[作者]],1)-1),"")</f>
        <v/>
      </c>
      <c r="J266" s="261" t="str">
        <f>IFERROR(MID(作者统计[[#This Row],[作者]],FIND("(",作者统计[[#This Row],[作者]],1)+1,FIND(")",作者统计[[#This Row],[作者]],1)-FIND("(",作者统计[[#This Row],[作者]],1)-1),"")</f>
        <v/>
      </c>
      <c r="L266" s="6"/>
      <c r="M266" s="5"/>
      <c r="U266" s="5"/>
      <c r="W266"/>
    </row>
    <row r="267" spans="2:23" ht="18" customHeight="1" x14ac:dyDescent="0.25">
      <c r="B267" s="309"/>
      <c r="C267" s="120"/>
      <c r="D267" s="121"/>
      <c r="E267" s="121"/>
      <c r="F267" s="92"/>
      <c r="G267" s="92"/>
      <c r="H267" s="122"/>
      <c r="I267" s="68" t="str">
        <f>IFERROR(MID(作者统计[[#This Row],[作者]],FIND("[",作者统计[[#This Row],[作者]],1)+1,FIND("]",作者统计[[#This Row],[作者]],1)-FIND("[",作者统计[[#This Row],[作者]],1)-1),"")</f>
        <v/>
      </c>
      <c r="J267" s="68" t="str">
        <f>IFERROR(MID(作者统计[[#This Row],[作者]],FIND("(",作者统计[[#This Row],[作者]],1)+1,FIND(")",作者统计[[#This Row],[作者]],1)-FIND("(",作者统计[[#This Row],[作者]],1)-1),"")</f>
        <v/>
      </c>
      <c r="L267" s="6"/>
      <c r="M267" s="5"/>
      <c r="U267" s="5"/>
      <c r="W267"/>
    </row>
    <row r="268" spans="2:23" ht="18" customHeight="1" x14ac:dyDescent="0.25">
      <c r="B268" s="309"/>
      <c r="C268" s="120"/>
      <c r="D268" s="121"/>
      <c r="E268" s="121"/>
      <c r="F268" s="92"/>
      <c r="G268" s="92"/>
      <c r="H268" s="122"/>
      <c r="I268" s="68" t="str">
        <f>IFERROR(MID(作者统计[[#This Row],[作者]],FIND("[",作者统计[[#This Row],[作者]],1)+1,FIND("]",作者统计[[#This Row],[作者]],1)-FIND("[",作者统计[[#This Row],[作者]],1)-1),"")</f>
        <v/>
      </c>
      <c r="J268" s="68" t="str">
        <f>IFERROR(MID(作者统计[[#This Row],[作者]],FIND("(",作者统计[[#This Row],[作者]],1)+1,FIND(")",作者统计[[#This Row],[作者]],1)-FIND("(",作者统计[[#This Row],[作者]],1)-1),"")</f>
        <v/>
      </c>
      <c r="L268" s="6"/>
      <c r="M268" s="5"/>
      <c r="U268" s="5"/>
      <c r="W268"/>
    </row>
    <row r="269" spans="2:23" ht="18" customHeight="1" x14ac:dyDescent="0.25">
      <c r="B269" s="309"/>
      <c r="C269" s="120"/>
      <c r="D269" s="121"/>
      <c r="E269" s="121"/>
      <c r="F269" s="92"/>
      <c r="G269" s="92"/>
      <c r="H269" s="122"/>
      <c r="I269" s="68" t="str">
        <f>IFERROR(MID(作者统计[[#This Row],[作者]],FIND("[",作者统计[[#This Row],[作者]],1)+1,FIND("]",作者统计[[#This Row],[作者]],1)-FIND("[",作者统计[[#This Row],[作者]],1)-1),"")</f>
        <v/>
      </c>
      <c r="J269" s="68" t="str">
        <f>IFERROR(MID(作者统计[[#This Row],[作者]],FIND("(",作者统计[[#This Row],[作者]],1)+1,FIND(")",作者统计[[#This Row],[作者]],1)-FIND("(",作者统计[[#This Row],[作者]],1)-1),"")</f>
        <v/>
      </c>
      <c r="L269" s="6"/>
      <c r="M269" s="5"/>
      <c r="U269" s="5"/>
      <c r="W269"/>
    </row>
    <row r="270" spans="2:23" ht="18" customHeight="1" x14ac:dyDescent="0.25">
      <c r="B270" s="256"/>
      <c r="C270" s="257"/>
      <c r="D270" s="258"/>
      <c r="E270" s="258"/>
      <c r="F270" s="259"/>
      <c r="G270" s="259"/>
      <c r="H270" s="260"/>
      <c r="I270" s="261" t="str">
        <f>IFERROR(MID(作者统计[[#This Row],[作者]],FIND("[",作者统计[[#This Row],[作者]],1)+1,FIND("]",作者统计[[#This Row],[作者]],1)-FIND("[",作者统计[[#This Row],[作者]],1)-1),"")</f>
        <v/>
      </c>
      <c r="J270" s="261" t="str">
        <f>IFERROR(MID(作者统计[[#This Row],[作者]],FIND("(",作者统计[[#This Row],[作者]],1)+1,FIND(")",作者统计[[#This Row],[作者]],1)-FIND("(",作者统计[[#This Row],[作者]],1)-1),"")</f>
        <v/>
      </c>
      <c r="L270" s="6"/>
      <c r="M270" s="5"/>
      <c r="U270" s="5"/>
      <c r="W270"/>
    </row>
    <row r="271" spans="2:23" ht="18" customHeight="1" x14ac:dyDescent="0.25">
      <c r="B271" s="309"/>
      <c r="C271" s="120"/>
      <c r="D271" s="121"/>
      <c r="E271" s="121"/>
      <c r="F271" s="92"/>
      <c r="G271" s="92"/>
      <c r="H271" s="122"/>
      <c r="I271" s="68" t="str">
        <f>IFERROR(MID(作者统计[[#This Row],[作者]],FIND("[",作者统计[[#This Row],[作者]],1)+1,FIND("]",作者统计[[#This Row],[作者]],1)-FIND("[",作者统计[[#This Row],[作者]],1)-1),"")</f>
        <v/>
      </c>
      <c r="J271" s="68" t="str">
        <f>IFERROR(MID(作者统计[[#This Row],[作者]],FIND("(",作者统计[[#This Row],[作者]],1)+1,FIND(")",作者统计[[#This Row],[作者]],1)-FIND("(",作者统计[[#This Row],[作者]],1)-1),"")</f>
        <v/>
      </c>
      <c r="L271" s="6"/>
      <c r="M271" s="5"/>
      <c r="U271" s="5"/>
      <c r="W271"/>
    </row>
    <row r="272" spans="2:23" ht="18" customHeight="1" x14ac:dyDescent="0.25">
      <c r="B272" s="256"/>
      <c r="C272" s="257"/>
      <c r="D272" s="258"/>
      <c r="E272" s="258"/>
      <c r="F272" s="259"/>
      <c r="G272" s="259"/>
      <c r="H272" s="260"/>
      <c r="I272" s="261" t="str">
        <f>IFERROR(MID(作者统计[[#This Row],[作者]],FIND("[",作者统计[[#This Row],[作者]],1)+1,FIND("]",作者统计[[#This Row],[作者]],1)-FIND("[",作者统计[[#This Row],[作者]],1)-1),"")</f>
        <v/>
      </c>
      <c r="J272" s="261" t="str">
        <f>IFERROR(MID(作者统计[[#This Row],[作者]],FIND("(",作者统计[[#This Row],[作者]],1)+1,FIND(")",作者统计[[#This Row],[作者]],1)-FIND("(",作者统计[[#This Row],[作者]],1)-1),"")</f>
        <v/>
      </c>
      <c r="L272" s="6"/>
      <c r="M272" s="5"/>
      <c r="U272" s="5"/>
      <c r="W272"/>
    </row>
    <row r="273" spans="2:23" ht="18" customHeight="1" x14ac:dyDescent="0.25">
      <c r="B273" s="309"/>
      <c r="C273" s="120"/>
      <c r="D273" s="121"/>
      <c r="E273" s="121"/>
      <c r="F273" s="92"/>
      <c r="G273" s="92"/>
      <c r="H273" s="122"/>
      <c r="I273" s="68" t="str">
        <f>IFERROR(MID(作者统计[[#This Row],[作者]],FIND("[",作者统计[[#This Row],[作者]],1)+1,FIND("]",作者统计[[#This Row],[作者]],1)-FIND("[",作者统计[[#This Row],[作者]],1)-1),"")</f>
        <v/>
      </c>
      <c r="J273" s="68" t="str">
        <f>IFERROR(MID(作者统计[[#This Row],[作者]],FIND("(",作者统计[[#This Row],[作者]],1)+1,FIND(")",作者统计[[#This Row],[作者]],1)-FIND("(",作者统计[[#This Row],[作者]],1)-1),"")</f>
        <v/>
      </c>
      <c r="L273" s="6"/>
      <c r="M273" s="5"/>
      <c r="U273" s="5"/>
      <c r="W273"/>
    </row>
    <row r="274" spans="2:23" ht="18" customHeight="1" x14ac:dyDescent="0.25">
      <c r="B274" s="85"/>
      <c r="C274" s="120"/>
      <c r="D274" s="121"/>
      <c r="E274" s="121"/>
      <c r="F274" s="92"/>
      <c r="G274" s="92"/>
      <c r="H274" s="122"/>
      <c r="I274" s="68" t="str">
        <f>IFERROR(MID(作者统计[[#This Row],[作者]],FIND("[",作者统计[[#This Row],[作者]],1)+1,FIND("]",作者统计[[#This Row],[作者]],1)-FIND("[",作者统计[[#This Row],[作者]],1)-1),"")</f>
        <v/>
      </c>
      <c r="J274" s="68" t="str">
        <f>IFERROR(MID(作者统计[[#This Row],[作者]],FIND("(",作者统计[[#This Row],[作者]],1)+1,FIND(")",作者统计[[#This Row],[作者]],1)-FIND("(",作者统计[[#This Row],[作者]],1)-1),"")</f>
        <v/>
      </c>
      <c r="L274" s="6"/>
      <c r="M274" s="5"/>
      <c r="U274" s="5"/>
      <c r="W274"/>
    </row>
    <row r="275" spans="2:23" ht="18" customHeight="1" x14ac:dyDescent="0.25">
      <c r="B275" s="256"/>
      <c r="C275" s="257"/>
      <c r="D275" s="258"/>
      <c r="E275" s="258"/>
      <c r="F275" s="259"/>
      <c r="G275" s="259"/>
      <c r="H275" s="260"/>
      <c r="I275" s="261" t="str">
        <f>IFERROR(MID(作者统计[[#This Row],[作者]],FIND("[",作者统计[[#This Row],[作者]],1)+1,FIND("]",作者统计[[#This Row],[作者]],1)-FIND("[",作者统计[[#This Row],[作者]],1)-1),"")</f>
        <v/>
      </c>
      <c r="J275" s="261" t="str">
        <f>IFERROR(MID(作者统计[[#This Row],[作者]],FIND("(",作者统计[[#This Row],[作者]],1)+1,FIND(")",作者统计[[#This Row],[作者]],1)-FIND("(",作者统计[[#This Row],[作者]],1)-1),"")</f>
        <v/>
      </c>
      <c r="L275" s="6"/>
      <c r="M275" s="5"/>
      <c r="U275" s="5"/>
      <c r="W275"/>
    </row>
    <row r="276" spans="2:23" ht="18" customHeight="1" x14ac:dyDescent="0.25">
      <c r="B276" s="85"/>
      <c r="C276" s="120"/>
      <c r="D276" s="121"/>
      <c r="E276" s="121"/>
      <c r="F276" s="92"/>
      <c r="G276" s="92"/>
      <c r="H276" s="122"/>
      <c r="I276" s="68" t="str">
        <f>IFERROR(MID(作者统计[[#This Row],[作者]],FIND("[",作者统计[[#This Row],[作者]],1)+1,FIND("]",作者统计[[#This Row],[作者]],1)-FIND("[",作者统计[[#This Row],[作者]],1)-1),"")</f>
        <v/>
      </c>
      <c r="J276" s="68" t="str">
        <f>IFERROR(MID(作者统计[[#This Row],[作者]],FIND("(",作者统计[[#This Row],[作者]],1)+1,FIND(")",作者统计[[#This Row],[作者]],1)-FIND("(",作者统计[[#This Row],[作者]],1)-1),"")</f>
        <v/>
      </c>
      <c r="L276" s="6"/>
      <c r="M276" s="5"/>
      <c r="U276" s="5"/>
      <c r="W276"/>
    </row>
    <row r="277" spans="2:23" ht="18" customHeight="1" x14ac:dyDescent="0.25">
      <c r="B277" s="309"/>
      <c r="C277" s="120"/>
      <c r="D277" s="121"/>
      <c r="E277" s="121"/>
      <c r="F277" s="92"/>
      <c r="G277" s="92"/>
      <c r="H277" s="122"/>
      <c r="I277" s="68" t="str">
        <f>IFERROR(MID(作者统计[[#This Row],[作者]],FIND("[",作者统计[[#This Row],[作者]],1)+1,FIND("]",作者统计[[#This Row],[作者]],1)-FIND("[",作者统计[[#This Row],[作者]],1)-1),"")</f>
        <v/>
      </c>
      <c r="J277" s="68" t="str">
        <f>IFERROR(MID(作者统计[[#This Row],[作者]],FIND("(",作者统计[[#This Row],[作者]],1)+1,FIND(")",作者统计[[#This Row],[作者]],1)-FIND("(",作者统计[[#This Row],[作者]],1)-1),"")</f>
        <v/>
      </c>
      <c r="L277" s="6"/>
      <c r="M277" s="5"/>
      <c r="U277" s="5"/>
      <c r="W277"/>
    </row>
    <row r="278" spans="2:23" ht="18" customHeight="1" x14ac:dyDescent="0.25">
      <c r="B278" s="85"/>
      <c r="C278" s="120"/>
      <c r="D278" s="121"/>
      <c r="E278" s="121"/>
      <c r="F278" s="92"/>
      <c r="G278" s="92"/>
      <c r="H278" s="122"/>
      <c r="I278" s="68" t="str">
        <f>IFERROR(MID(作者统计[[#This Row],[作者]],FIND("[",作者统计[[#This Row],[作者]],1)+1,FIND("]",作者统计[[#This Row],[作者]],1)-FIND("[",作者统计[[#This Row],[作者]],1)-1),"")</f>
        <v/>
      </c>
      <c r="J278" s="68" t="str">
        <f>IFERROR(MID(作者统计[[#This Row],[作者]],FIND("(",作者统计[[#This Row],[作者]],1)+1,FIND(")",作者统计[[#This Row],[作者]],1)-FIND("(",作者统计[[#This Row],[作者]],1)-1),"")</f>
        <v/>
      </c>
      <c r="L278" s="6"/>
      <c r="M278" s="5"/>
      <c r="U278" s="5"/>
      <c r="W278"/>
    </row>
    <row r="279" spans="2:23" ht="18" customHeight="1" x14ac:dyDescent="0.25">
      <c r="B279" s="256"/>
      <c r="C279" s="257"/>
      <c r="D279" s="258"/>
      <c r="E279" s="258"/>
      <c r="F279" s="259"/>
      <c r="G279" s="259"/>
      <c r="H279" s="260"/>
      <c r="I279" s="261" t="str">
        <f>IFERROR(MID(作者统计[[#This Row],[作者]],FIND("[",作者统计[[#This Row],[作者]],1)+1,FIND("]",作者统计[[#This Row],[作者]],1)-FIND("[",作者统计[[#This Row],[作者]],1)-1),"")</f>
        <v/>
      </c>
      <c r="J279" s="261" t="str">
        <f>IFERROR(MID(作者统计[[#This Row],[作者]],FIND("(",作者统计[[#This Row],[作者]],1)+1,FIND(")",作者统计[[#This Row],[作者]],1)-FIND("(",作者统计[[#This Row],[作者]],1)-1),"")</f>
        <v/>
      </c>
      <c r="L279" s="6"/>
      <c r="M279" s="5"/>
      <c r="U279" s="5"/>
      <c r="W279"/>
    </row>
    <row r="280" spans="2:23" ht="18" customHeight="1" x14ac:dyDescent="0.25">
      <c r="B280" s="256"/>
      <c r="C280" s="257"/>
      <c r="D280" s="258"/>
      <c r="E280" s="258"/>
      <c r="F280" s="259"/>
      <c r="G280" s="259"/>
      <c r="H280" s="260"/>
      <c r="I280" s="261" t="str">
        <f>IFERROR(MID(作者统计[[#This Row],[作者]],FIND("[",作者统计[[#This Row],[作者]],1)+1,FIND("]",作者统计[[#This Row],[作者]],1)-FIND("[",作者统计[[#This Row],[作者]],1)-1),"")</f>
        <v/>
      </c>
      <c r="J280" s="261" t="str">
        <f>IFERROR(MID(作者统计[[#This Row],[作者]],FIND("(",作者统计[[#This Row],[作者]],1)+1,FIND(")",作者统计[[#This Row],[作者]],1)-FIND("(",作者统计[[#This Row],[作者]],1)-1),"")</f>
        <v/>
      </c>
      <c r="L280" s="6"/>
      <c r="M280" s="5"/>
      <c r="U280" s="5"/>
      <c r="W280"/>
    </row>
    <row r="281" spans="2:23" ht="18" customHeight="1" x14ac:dyDescent="0.25">
      <c r="B281" s="309"/>
      <c r="C281" s="120"/>
      <c r="D281" s="121"/>
      <c r="E281" s="121"/>
      <c r="F281" s="92"/>
      <c r="G281" s="92"/>
      <c r="H281" s="122"/>
      <c r="I281" s="68" t="str">
        <f>IFERROR(MID(作者统计[[#This Row],[作者]],FIND("[",作者统计[[#This Row],[作者]],1)+1,FIND("]",作者统计[[#This Row],[作者]],1)-FIND("[",作者统计[[#This Row],[作者]],1)-1),"")</f>
        <v/>
      </c>
      <c r="J281" s="68" t="str">
        <f>IFERROR(MID(作者统计[[#This Row],[作者]],FIND("(",作者统计[[#This Row],[作者]],1)+1,FIND(")",作者统计[[#This Row],[作者]],1)-FIND("(",作者统计[[#This Row],[作者]],1)-1),"")</f>
        <v/>
      </c>
      <c r="L281" s="6"/>
      <c r="M281" s="5"/>
      <c r="U281" s="5"/>
      <c r="W281"/>
    </row>
    <row r="282" spans="2:23" ht="18" customHeight="1" x14ac:dyDescent="0.25">
      <c r="B282" s="256"/>
      <c r="C282" s="257"/>
      <c r="D282" s="258"/>
      <c r="E282" s="258"/>
      <c r="F282" s="259"/>
      <c r="G282" s="259"/>
      <c r="H282" s="260"/>
      <c r="I282" s="261" t="str">
        <f>IFERROR(MID(作者统计[[#This Row],[作者]],FIND("[",作者统计[[#This Row],[作者]],1)+1,FIND("]",作者统计[[#This Row],[作者]],1)-FIND("[",作者统计[[#This Row],[作者]],1)-1),"")</f>
        <v/>
      </c>
      <c r="J282" s="261" t="str">
        <f>IFERROR(MID(作者统计[[#This Row],[作者]],FIND("(",作者统计[[#This Row],[作者]],1)+1,FIND(")",作者统计[[#This Row],[作者]],1)-FIND("(",作者统计[[#This Row],[作者]],1)-1),"")</f>
        <v/>
      </c>
      <c r="L282" s="6"/>
      <c r="M282" s="5"/>
      <c r="U282" s="5"/>
      <c r="W282"/>
    </row>
    <row r="283" spans="2:23" ht="18" customHeight="1" x14ac:dyDescent="0.25">
      <c r="B283" s="309"/>
      <c r="C283" s="120"/>
      <c r="D283" s="121"/>
      <c r="E283" s="121"/>
      <c r="F283" s="92"/>
      <c r="G283" s="92"/>
      <c r="H283" s="122"/>
      <c r="I283" s="68" t="str">
        <f>IFERROR(MID(作者统计[[#This Row],[作者]],FIND("[",作者统计[[#This Row],[作者]],1)+1,FIND("]",作者统计[[#This Row],[作者]],1)-FIND("[",作者统计[[#This Row],[作者]],1)-1),"")</f>
        <v/>
      </c>
      <c r="J283" s="68" t="str">
        <f>IFERROR(MID(作者统计[[#This Row],[作者]],FIND("(",作者统计[[#This Row],[作者]],1)+1,FIND(")",作者统计[[#This Row],[作者]],1)-FIND("(",作者统计[[#This Row],[作者]],1)-1),"")</f>
        <v/>
      </c>
      <c r="L283" s="6"/>
      <c r="M283" s="5"/>
      <c r="U283" s="5"/>
      <c r="W283"/>
    </row>
    <row r="284" spans="2:23" ht="18" customHeight="1" x14ac:dyDescent="0.25">
      <c r="B284" s="309"/>
      <c r="C284" s="120"/>
      <c r="D284" s="121"/>
      <c r="E284" s="121"/>
      <c r="F284" s="92"/>
      <c r="G284" s="92"/>
      <c r="H284" s="122"/>
      <c r="I284" s="68" t="str">
        <f>IFERROR(MID(作者统计[[#This Row],[作者]],FIND("[",作者统计[[#This Row],[作者]],1)+1,FIND("]",作者统计[[#This Row],[作者]],1)-FIND("[",作者统计[[#This Row],[作者]],1)-1),"")</f>
        <v/>
      </c>
      <c r="J284" s="68" t="str">
        <f>IFERROR(MID(作者统计[[#This Row],[作者]],FIND("(",作者统计[[#This Row],[作者]],1)+1,FIND(")",作者统计[[#This Row],[作者]],1)-FIND("(",作者统计[[#This Row],[作者]],1)-1),"")</f>
        <v/>
      </c>
      <c r="L284" s="6"/>
      <c r="M284" s="5"/>
      <c r="U284" s="5"/>
      <c r="W284"/>
    </row>
    <row r="285" spans="2:23" ht="18" customHeight="1" x14ac:dyDescent="0.25">
      <c r="B285" s="256"/>
      <c r="C285" s="257"/>
      <c r="D285" s="258"/>
      <c r="E285" s="258"/>
      <c r="F285" s="259"/>
      <c r="G285" s="259"/>
      <c r="H285" s="260"/>
      <c r="I285" s="261" t="str">
        <f>IFERROR(MID(作者统计[[#This Row],[作者]],FIND("[",作者统计[[#This Row],[作者]],1)+1,FIND("]",作者统计[[#This Row],[作者]],1)-FIND("[",作者统计[[#This Row],[作者]],1)-1),"")</f>
        <v/>
      </c>
      <c r="J285" s="261" t="str">
        <f>IFERROR(MID(作者统计[[#This Row],[作者]],FIND("(",作者统计[[#This Row],[作者]],1)+1,FIND(")",作者统计[[#This Row],[作者]],1)-FIND("(",作者统计[[#This Row],[作者]],1)-1),"")</f>
        <v/>
      </c>
      <c r="L285" s="6"/>
      <c r="M285" s="5"/>
      <c r="U285" s="5"/>
      <c r="W285"/>
    </row>
    <row r="286" spans="2:23" ht="18" customHeight="1" x14ac:dyDescent="0.25">
      <c r="B286" s="85"/>
      <c r="C286" s="120"/>
      <c r="D286" s="121"/>
      <c r="E286" s="121"/>
      <c r="F286" s="92"/>
      <c r="G286" s="92"/>
      <c r="H286" s="122"/>
      <c r="I286" s="68" t="str">
        <f>IFERROR(MID(作者统计[[#This Row],[作者]],FIND("[",作者统计[[#This Row],[作者]],1)+1,FIND("]",作者统计[[#This Row],[作者]],1)-FIND("[",作者统计[[#This Row],[作者]],1)-1),"")</f>
        <v/>
      </c>
      <c r="J286" s="68" t="str">
        <f>IFERROR(MID(作者统计[[#This Row],[作者]],FIND("(",作者统计[[#This Row],[作者]],1)+1,FIND(")",作者统计[[#This Row],[作者]],1)-FIND("(",作者统计[[#This Row],[作者]],1)-1),"")</f>
        <v/>
      </c>
      <c r="L286" s="6"/>
      <c r="M286" s="5"/>
      <c r="U286" s="5"/>
      <c r="W286"/>
    </row>
    <row r="287" spans="2:23" ht="18" customHeight="1" x14ac:dyDescent="0.25">
      <c r="B287" s="85"/>
      <c r="C287" s="120"/>
      <c r="D287" s="121"/>
      <c r="E287" s="121"/>
      <c r="F287" s="92"/>
      <c r="G287" s="92"/>
      <c r="H287" s="122"/>
      <c r="I287" s="68" t="str">
        <f>IFERROR(MID(作者统计[[#This Row],[作者]],FIND("[",作者统计[[#This Row],[作者]],1)+1,FIND("]",作者统计[[#This Row],[作者]],1)-FIND("[",作者统计[[#This Row],[作者]],1)-1),"")</f>
        <v/>
      </c>
      <c r="J287" s="68" t="str">
        <f>IFERROR(MID(作者统计[[#This Row],[作者]],FIND("(",作者统计[[#This Row],[作者]],1)+1,FIND(")",作者统计[[#This Row],[作者]],1)-FIND("(",作者统计[[#This Row],[作者]],1)-1),"")</f>
        <v/>
      </c>
      <c r="L287" s="6"/>
      <c r="M287" s="5"/>
      <c r="U287" s="5"/>
      <c r="W287"/>
    </row>
    <row r="288" spans="2:23" ht="18" customHeight="1" x14ac:dyDescent="0.25">
      <c r="B288" s="256"/>
      <c r="C288" s="257"/>
      <c r="D288" s="258"/>
      <c r="E288" s="258"/>
      <c r="F288" s="259"/>
      <c r="G288" s="259"/>
      <c r="H288" s="260"/>
      <c r="I288" s="261" t="str">
        <f>IFERROR(MID(作者统计[[#This Row],[作者]],FIND("[",作者统计[[#This Row],[作者]],1)+1,FIND("]",作者统计[[#This Row],[作者]],1)-FIND("[",作者统计[[#This Row],[作者]],1)-1),"")</f>
        <v/>
      </c>
      <c r="J288" s="261" t="str">
        <f>IFERROR(MID(作者统计[[#This Row],[作者]],FIND("(",作者统计[[#This Row],[作者]],1)+1,FIND(")",作者统计[[#This Row],[作者]],1)-FIND("(",作者统计[[#This Row],[作者]],1)-1),"")</f>
        <v/>
      </c>
      <c r="L288" s="6"/>
      <c r="M288" s="5"/>
      <c r="U288" s="5"/>
      <c r="W288"/>
    </row>
    <row r="289" spans="2:23" ht="18" customHeight="1" x14ac:dyDescent="0.25">
      <c r="B289" s="309"/>
      <c r="C289" s="120"/>
      <c r="D289" s="121"/>
      <c r="E289" s="121"/>
      <c r="F289" s="92"/>
      <c r="G289" s="92"/>
      <c r="H289" s="122"/>
      <c r="I289" s="68" t="str">
        <f>IFERROR(MID(作者统计[[#This Row],[作者]],FIND("[",作者统计[[#This Row],[作者]],1)+1,FIND("]",作者统计[[#This Row],[作者]],1)-FIND("[",作者统计[[#This Row],[作者]],1)-1),"")</f>
        <v/>
      </c>
      <c r="J289" s="68" t="str">
        <f>IFERROR(MID(作者统计[[#This Row],[作者]],FIND("(",作者统计[[#This Row],[作者]],1)+1,FIND(")",作者统计[[#This Row],[作者]],1)-FIND("(",作者统计[[#This Row],[作者]],1)-1),"")</f>
        <v/>
      </c>
      <c r="L289" s="6"/>
      <c r="M289" s="5"/>
      <c r="U289" s="5"/>
      <c r="W289"/>
    </row>
    <row r="290" spans="2:23" ht="18" customHeight="1" x14ac:dyDescent="0.25">
      <c r="B290" s="256"/>
      <c r="C290" s="257"/>
      <c r="D290" s="258"/>
      <c r="E290" s="258"/>
      <c r="F290" s="259"/>
      <c r="G290" s="259"/>
      <c r="H290" s="260"/>
      <c r="I290" s="261" t="str">
        <f>IFERROR(MID(作者统计[[#This Row],[作者]],FIND("[",作者统计[[#This Row],[作者]],1)+1,FIND("]",作者统计[[#This Row],[作者]],1)-FIND("[",作者统计[[#This Row],[作者]],1)-1),"")</f>
        <v/>
      </c>
      <c r="J290" s="261" t="str">
        <f>IFERROR(MID(作者统计[[#This Row],[作者]],FIND("(",作者统计[[#This Row],[作者]],1)+1,FIND(")",作者统计[[#This Row],[作者]],1)-FIND("(",作者统计[[#This Row],[作者]],1)-1),"")</f>
        <v/>
      </c>
      <c r="L290" s="6"/>
      <c r="M290" s="5"/>
      <c r="U290" s="5"/>
      <c r="W290"/>
    </row>
    <row r="291" spans="2:23" ht="18" customHeight="1" x14ac:dyDescent="0.25">
      <c r="B291" s="256"/>
      <c r="C291" s="257"/>
      <c r="D291" s="258"/>
      <c r="E291" s="258"/>
      <c r="F291" s="259"/>
      <c r="G291" s="259"/>
      <c r="H291" s="260"/>
      <c r="I291" s="261" t="str">
        <f>IFERROR(MID(作者统计[[#This Row],[作者]],FIND("[",作者统计[[#This Row],[作者]],1)+1,FIND("]",作者统计[[#This Row],[作者]],1)-FIND("[",作者统计[[#This Row],[作者]],1)-1),"")</f>
        <v/>
      </c>
      <c r="J291" s="261" t="str">
        <f>IFERROR(MID(作者统计[[#This Row],[作者]],FIND("(",作者统计[[#This Row],[作者]],1)+1,FIND(")",作者统计[[#This Row],[作者]],1)-FIND("(",作者统计[[#This Row],[作者]],1)-1),"")</f>
        <v/>
      </c>
      <c r="L291" s="6"/>
      <c r="M291" s="5"/>
      <c r="U291" s="5"/>
      <c r="W291"/>
    </row>
    <row r="292" spans="2:23" ht="18" customHeight="1" x14ac:dyDescent="0.25">
      <c r="B292" s="85"/>
      <c r="C292" s="120"/>
      <c r="D292" s="121"/>
      <c r="E292" s="121"/>
      <c r="F292" s="92"/>
      <c r="G292" s="92"/>
      <c r="H292" s="122"/>
      <c r="I292" s="68" t="str">
        <f>IFERROR(MID(作者统计[[#This Row],[作者]],FIND("[",作者统计[[#This Row],[作者]],1)+1,FIND("]",作者统计[[#This Row],[作者]],1)-FIND("[",作者统计[[#This Row],[作者]],1)-1),"")</f>
        <v/>
      </c>
      <c r="J292" s="68" t="str">
        <f>IFERROR(MID(作者统计[[#This Row],[作者]],FIND("(",作者统计[[#This Row],[作者]],1)+1,FIND(")",作者统计[[#This Row],[作者]],1)-FIND("(",作者统计[[#This Row],[作者]],1)-1),"")</f>
        <v/>
      </c>
      <c r="L292" s="6"/>
      <c r="M292" s="5"/>
      <c r="U292" s="5"/>
      <c r="W292"/>
    </row>
    <row r="293" spans="2:23" ht="18" customHeight="1" x14ac:dyDescent="0.25">
      <c r="B293" s="85"/>
      <c r="C293" s="120"/>
      <c r="D293" s="121"/>
      <c r="E293" s="121"/>
      <c r="F293" s="92"/>
      <c r="G293" s="92"/>
      <c r="H293" s="122"/>
      <c r="I293" s="68" t="str">
        <f>IFERROR(MID(作者统计[[#This Row],[作者]],FIND("[",作者统计[[#This Row],[作者]],1)+1,FIND("]",作者统计[[#This Row],[作者]],1)-FIND("[",作者统计[[#This Row],[作者]],1)-1),"")</f>
        <v/>
      </c>
      <c r="J293" s="68" t="str">
        <f>IFERROR(MID(作者统计[[#This Row],[作者]],FIND("(",作者统计[[#This Row],[作者]],1)+1,FIND(")",作者统计[[#This Row],[作者]],1)-FIND("(",作者统计[[#This Row],[作者]],1)-1),"")</f>
        <v/>
      </c>
      <c r="L293" s="6"/>
      <c r="M293" s="5"/>
      <c r="U293" s="5"/>
      <c r="W293"/>
    </row>
    <row r="294" spans="2:23" ht="18" customHeight="1" x14ac:dyDescent="0.25">
      <c r="B294" s="256"/>
      <c r="C294" s="257"/>
      <c r="D294" s="258"/>
      <c r="E294" s="258"/>
      <c r="F294" s="259"/>
      <c r="G294" s="259"/>
      <c r="H294" s="260"/>
      <c r="I294" s="261" t="str">
        <f>IFERROR(MID(作者统计[[#This Row],[作者]],FIND("[",作者统计[[#This Row],[作者]],1)+1,FIND("]",作者统计[[#This Row],[作者]],1)-FIND("[",作者统计[[#This Row],[作者]],1)-1),"")</f>
        <v/>
      </c>
      <c r="J294" s="261" t="str">
        <f>IFERROR(MID(作者统计[[#This Row],[作者]],FIND("(",作者统计[[#This Row],[作者]],1)+1,FIND(")",作者统计[[#This Row],[作者]],1)-FIND("(",作者统计[[#This Row],[作者]],1)-1),"")</f>
        <v/>
      </c>
      <c r="L294" s="6"/>
      <c r="M294" s="5"/>
      <c r="U294" s="5"/>
      <c r="W294"/>
    </row>
    <row r="295" spans="2:23" ht="18" customHeight="1" x14ac:dyDescent="0.25">
      <c r="B295" s="85"/>
      <c r="C295" s="120"/>
      <c r="D295" s="121"/>
      <c r="E295" s="121"/>
      <c r="F295" s="92"/>
      <c r="G295" s="92"/>
      <c r="H295" s="122"/>
      <c r="I295" s="68" t="str">
        <f>IFERROR(MID(作者统计[[#This Row],[作者]],FIND("[",作者统计[[#This Row],[作者]],1)+1,FIND("]",作者统计[[#This Row],[作者]],1)-FIND("[",作者统计[[#This Row],[作者]],1)-1),"")</f>
        <v/>
      </c>
      <c r="J295" s="68" t="str">
        <f>IFERROR(MID(作者统计[[#This Row],[作者]],FIND("(",作者统计[[#This Row],[作者]],1)+1,FIND(")",作者统计[[#This Row],[作者]],1)-FIND("(",作者统计[[#This Row],[作者]],1)-1),"")</f>
        <v/>
      </c>
      <c r="L295" s="6"/>
      <c r="M295" s="5"/>
      <c r="U295" s="5"/>
      <c r="W295"/>
    </row>
    <row r="296" spans="2:23" ht="18" customHeight="1" x14ac:dyDescent="0.25">
      <c r="B296" s="309"/>
      <c r="C296" s="120"/>
      <c r="D296" s="121"/>
      <c r="E296" s="121"/>
      <c r="F296" s="92"/>
      <c r="G296" s="92"/>
      <c r="H296" s="122"/>
      <c r="I296" s="68" t="str">
        <f>IFERROR(MID(作者统计[[#This Row],[作者]],FIND("[",作者统计[[#This Row],[作者]],1)+1,FIND("]",作者统计[[#This Row],[作者]],1)-FIND("[",作者统计[[#This Row],[作者]],1)-1),"")</f>
        <v/>
      </c>
      <c r="J296" s="68" t="str">
        <f>IFERROR(MID(作者统计[[#This Row],[作者]],FIND("(",作者统计[[#This Row],[作者]],1)+1,FIND(")",作者统计[[#This Row],[作者]],1)-FIND("(",作者统计[[#This Row],[作者]],1)-1),"")</f>
        <v/>
      </c>
      <c r="L296" s="6"/>
      <c r="M296" s="5"/>
      <c r="U296" s="5"/>
      <c r="W296"/>
    </row>
    <row r="297" spans="2:23" ht="18" customHeight="1" x14ac:dyDescent="0.25">
      <c r="B297" s="85"/>
      <c r="C297" s="120"/>
      <c r="D297" s="121"/>
      <c r="E297" s="121"/>
      <c r="F297" s="92"/>
      <c r="G297" s="92"/>
      <c r="H297" s="122"/>
      <c r="I297" s="68" t="str">
        <f>IFERROR(MID(作者统计[[#This Row],[作者]],FIND("[",作者统计[[#This Row],[作者]],1)+1,FIND("]",作者统计[[#This Row],[作者]],1)-FIND("[",作者统计[[#This Row],[作者]],1)-1),"")</f>
        <v/>
      </c>
      <c r="J297" s="68" t="str">
        <f>IFERROR(MID(作者统计[[#This Row],[作者]],FIND("(",作者统计[[#This Row],[作者]],1)+1,FIND(")",作者统计[[#This Row],[作者]],1)-FIND("(",作者统计[[#This Row],[作者]],1)-1),"")</f>
        <v/>
      </c>
      <c r="L297" s="6"/>
      <c r="M297" s="5"/>
      <c r="U297" s="5"/>
      <c r="W297"/>
    </row>
    <row r="298" spans="2:23" ht="18" customHeight="1" x14ac:dyDescent="0.25">
      <c r="B298" s="309"/>
      <c r="C298" s="120"/>
      <c r="D298" s="121"/>
      <c r="E298" s="121"/>
      <c r="F298" s="92"/>
      <c r="G298" s="92"/>
      <c r="H298" s="122"/>
      <c r="I298" s="68" t="str">
        <f>IFERROR(MID(作者统计[[#This Row],[作者]],FIND("[",作者统计[[#This Row],[作者]],1)+1,FIND("]",作者统计[[#This Row],[作者]],1)-FIND("[",作者统计[[#This Row],[作者]],1)-1),"")</f>
        <v/>
      </c>
      <c r="J298" s="68" t="str">
        <f>IFERROR(MID(作者统计[[#This Row],[作者]],FIND("(",作者统计[[#This Row],[作者]],1)+1,FIND(")",作者统计[[#This Row],[作者]],1)-FIND("(",作者统计[[#This Row],[作者]],1)-1),"")</f>
        <v/>
      </c>
      <c r="L298" s="6"/>
      <c r="M298" s="5"/>
      <c r="U298" s="5"/>
      <c r="W298"/>
    </row>
    <row r="299" spans="2:23" ht="18" customHeight="1" x14ac:dyDescent="0.25">
      <c r="B299" s="256"/>
      <c r="C299" s="257"/>
      <c r="D299" s="258"/>
      <c r="E299" s="258"/>
      <c r="F299" s="259"/>
      <c r="G299" s="259"/>
      <c r="H299" s="260"/>
      <c r="I299" s="261" t="str">
        <f>IFERROR(MID(作者统计[[#This Row],[作者]],FIND("[",作者统计[[#This Row],[作者]],1)+1,FIND("]",作者统计[[#This Row],[作者]],1)-FIND("[",作者统计[[#This Row],[作者]],1)-1),"")</f>
        <v/>
      </c>
      <c r="J299" s="261" t="str">
        <f>IFERROR(MID(作者统计[[#This Row],[作者]],FIND("(",作者统计[[#This Row],[作者]],1)+1,FIND(")",作者统计[[#This Row],[作者]],1)-FIND("(",作者统计[[#This Row],[作者]],1)-1),"")</f>
        <v/>
      </c>
      <c r="L299" s="6"/>
      <c r="M299" s="5"/>
      <c r="U299" s="5"/>
      <c r="W299"/>
    </row>
    <row r="300" spans="2:23" ht="18" customHeight="1" x14ac:dyDescent="0.25">
      <c r="B300" s="256"/>
      <c r="C300" s="257"/>
      <c r="D300" s="258"/>
      <c r="E300" s="258"/>
      <c r="F300" s="259"/>
      <c r="G300" s="259"/>
      <c r="H300" s="260"/>
      <c r="I300" s="261" t="str">
        <f>IFERROR(MID(作者统计[[#This Row],[作者]],FIND("[",作者统计[[#This Row],[作者]],1)+1,FIND("]",作者统计[[#This Row],[作者]],1)-FIND("[",作者统计[[#This Row],[作者]],1)-1),"")</f>
        <v/>
      </c>
      <c r="J300" s="261" t="str">
        <f>IFERROR(MID(作者统计[[#This Row],[作者]],FIND("(",作者统计[[#This Row],[作者]],1)+1,FIND(")",作者统计[[#This Row],[作者]],1)-FIND("(",作者统计[[#This Row],[作者]],1)-1),"")</f>
        <v/>
      </c>
      <c r="L300" s="6"/>
      <c r="M300" s="5"/>
      <c r="U300" s="5"/>
      <c r="W300"/>
    </row>
    <row r="301" spans="2:23" ht="18" customHeight="1" x14ac:dyDescent="0.25">
      <c r="B301" s="85"/>
      <c r="C301" s="120"/>
      <c r="D301" s="121"/>
      <c r="E301" s="121"/>
      <c r="F301" s="92"/>
      <c r="G301" s="92"/>
      <c r="H301" s="122"/>
      <c r="I301" s="68" t="str">
        <f>IFERROR(MID(作者统计[[#This Row],[作者]],FIND("[",作者统计[[#This Row],[作者]],1)+1,FIND("]",作者统计[[#This Row],[作者]],1)-FIND("[",作者统计[[#This Row],[作者]],1)-1),"")</f>
        <v/>
      </c>
      <c r="J301" s="68" t="str">
        <f>IFERROR(MID(作者统计[[#This Row],[作者]],FIND("(",作者统计[[#This Row],[作者]],1)+1,FIND(")",作者统计[[#This Row],[作者]],1)-FIND("(",作者统计[[#This Row],[作者]],1)-1),"")</f>
        <v/>
      </c>
      <c r="L301" s="6"/>
      <c r="M301" s="5"/>
      <c r="U301" s="5"/>
      <c r="W301"/>
    </row>
    <row r="302" spans="2:23" ht="18" customHeight="1" x14ac:dyDescent="0.25">
      <c r="B302" s="85"/>
      <c r="C302" s="120"/>
      <c r="D302" s="121"/>
      <c r="E302" s="121"/>
      <c r="F302" s="92"/>
      <c r="G302" s="92"/>
      <c r="H302" s="122"/>
      <c r="I302" s="68" t="str">
        <f>IFERROR(MID(作者统计[[#This Row],[作者]],FIND("[",作者统计[[#This Row],[作者]],1)+1,FIND("]",作者统计[[#This Row],[作者]],1)-FIND("[",作者统计[[#This Row],[作者]],1)-1),"")</f>
        <v/>
      </c>
      <c r="J302" s="68" t="str">
        <f>IFERROR(MID(作者统计[[#This Row],[作者]],FIND("(",作者统计[[#This Row],[作者]],1)+1,FIND(")",作者统计[[#This Row],[作者]],1)-FIND("(",作者统计[[#This Row],[作者]],1)-1),"")</f>
        <v/>
      </c>
      <c r="L302" s="6"/>
      <c r="M302" s="5"/>
      <c r="U302" s="5"/>
      <c r="W302"/>
    </row>
    <row r="303" spans="2:23" ht="18" customHeight="1" x14ac:dyDescent="0.25">
      <c r="B303" s="85"/>
      <c r="C303" s="120"/>
      <c r="D303" s="121"/>
      <c r="E303" s="121"/>
      <c r="F303" s="92"/>
      <c r="G303" s="92"/>
      <c r="H303" s="122"/>
      <c r="I303" s="68" t="str">
        <f>IFERROR(MID(作者统计[[#This Row],[作者]],FIND("[",作者统计[[#This Row],[作者]],1)+1,FIND("]",作者统计[[#This Row],[作者]],1)-FIND("[",作者统计[[#This Row],[作者]],1)-1),"")</f>
        <v/>
      </c>
      <c r="J303" s="68" t="str">
        <f>IFERROR(MID(作者统计[[#This Row],[作者]],FIND("(",作者统计[[#This Row],[作者]],1)+1,FIND(")",作者统计[[#This Row],[作者]],1)-FIND("(",作者统计[[#This Row],[作者]],1)-1),"")</f>
        <v/>
      </c>
      <c r="L303" s="6"/>
      <c r="M303" s="5"/>
      <c r="U303" s="5"/>
      <c r="W303"/>
    </row>
    <row r="304" spans="2:23" ht="18" customHeight="1" x14ac:dyDescent="0.25">
      <c r="B304" s="85"/>
      <c r="C304" s="120"/>
      <c r="D304" s="121"/>
      <c r="E304" s="121"/>
      <c r="F304" s="92"/>
      <c r="G304" s="92"/>
      <c r="H304" s="123"/>
      <c r="I304" s="68" t="str">
        <f>IFERROR(MID(作者统计[[#This Row],[作者]],FIND("[",作者统计[[#This Row],[作者]],1)+1,FIND("]",作者统计[[#This Row],[作者]],1)-FIND("[",作者统计[[#This Row],[作者]],1)-1),"")</f>
        <v/>
      </c>
      <c r="J304" s="68" t="str">
        <f>IFERROR(MID(作者统计[[#This Row],[作者]],FIND("(",作者统计[[#This Row],[作者]],1)+1,FIND(")",作者统计[[#This Row],[作者]],1)-FIND("(",作者统计[[#This Row],[作者]],1)-1),"")</f>
        <v/>
      </c>
      <c r="L304" s="6"/>
      <c r="M304" s="5"/>
      <c r="U304" s="5"/>
      <c r="W304"/>
    </row>
    <row r="305" spans="2:23" ht="18" customHeight="1" x14ac:dyDescent="0.25">
      <c r="B305" s="309"/>
      <c r="C305" s="120"/>
      <c r="D305" s="121"/>
      <c r="E305" s="121"/>
      <c r="F305" s="92"/>
      <c r="G305" s="92"/>
      <c r="H305" s="122"/>
      <c r="I305" s="68" t="str">
        <f>IFERROR(MID(作者统计[[#This Row],[作者]],FIND("[",作者统计[[#This Row],[作者]],1)+1,FIND("]",作者统计[[#This Row],[作者]],1)-FIND("[",作者统计[[#This Row],[作者]],1)-1),"")</f>
        <v/>
      </c>
      <c r="J305" s="68" t="str">
        <f>IFERROR(MID(作者统计[[#This Row],[作者]],FIND("(",作者统计[[#This Row],[作者]],1)+1,FIND(")",作者统计[[#This Row],[作者]],1)-FIND("(",作者统计[[#This Row],[作者]],1)-1),"")</f>
        <v/>
      </c>
      <c r="L305" s="6"/>
      <c r="M305" s="5"/>
      <c r="U305" s="5"/>
      <c r="W305"/>
    </row>
    <row r="306" spans="2:23" ht="18" customHeight="1" x14ac:dyDescent="0.25">
      <c r="B306" s="256"/>
      <c r="C306" s="257"/>
      <c r="D306" s="258"/>
      <c r="E306" s="258"/>
      <c r="F306" s="259"/>
      <c r="G306" s="259"/>
      <c r="H306" s="260"/>
      <c r="I306" s="261" t="str">
        <f>IFERROR(MID(作者统计[[#This Row],[作者]],FIND("[",作者统计[[#This Row],[作者]],1)+1,FIND("]",作者统计[[#This Row],[作者]],1)-FIND("[",作者统计[[#This Row],[作者]],1)-1),"")</f>
        <v/>
      </c>
      <c r="J306" s="261" t="str">
        <f>IFERROR(MID(作者统计[[#This Row],[作者]],FIND("(",作者统计[[#This Row],[作者]],1)+1,FIND(")",作者统计[[#This Row],[作者]],1)-FIND("(",作者统计[[#This Row],[作者]],1)-1),"")</f>
        <v/>
      </c>
      <c r="L306" s="6"/>
      <c r="M306" s="5"/>
      <c r="U306" s="5"/>
      <c r="W306"/>
    </row>
    <row r="307" spans="2:23" ht="18" customHeight="1" x14ac:dyDescent="0.25">
      <c r="B307" s="85"/>
      <c r="C307" s="120"/>
      <c r="D307" s="121"/>
      <c r="E307" s="121"/>
      <c r="F307" s="92"/>
      <c r="G307" s="92"/>
      <c r="H307" s="122"/>
      <c r="I307" s="68" t="str">
        <f>IFERROR(MID(作者统计[[#This Row],[作者]],FIND("[",作者统计[[#This Row],[作者]],1)+1,FIND("]",作者统计[[#This Row],[作者]],1)-FIND("[",作者统计[[#This Row],[作者]],1)-1),"")</f>
        <v/>
      </c>
      <c r="J307" s="68" t="str">
        <f>IFERROR(MID(作者统计[[#This Row],[作者]],FIND("(",作者统计[[#This Row],[作者]],1)+1,FIND(")",作者统计[[#This Row],[作者]],1)-FIND("(",作者统计[[#This Row],[作者]],1)-1),"")</f>
        <v/>
      </c>
      <c r="L307" s="6"/>
      <c r="M307" s="5"/>
      <c r="U307" s="5"/>
      <c r="W307"/>
    </row>
    <row r="308" spans="2:23" ht="18" customHeight="1" x14ac:dyDescent="0.25">
      <c r="B308" s="85"/>
      <c r="C308" s="120"/>
      <c r="D308" s="121"/>
      <c r="E308" s="121"/>
      <c r="F308" s="92"/>
      <c r="G308" s="92"/>
      <c r="H308" s="122"/>
      <c r="I308" s="68" t="str">
        <f>IFERROR(MID(作者统计[[#This Row],[作者]],FIND("[",作者统计[[#This Row],[作者]],1)+1,FIND("]",作者统计[[#This Row],[作者]],1)-FIND("[",作者统计[[#This Row],[作者]],1)-1),"")</f>
        <v/>
      </c>
      <c r="J308" s="68" t="str">
        <f>IFERROR(MID(作者统计[[#This Row],[作者]],FIND("(",作者统计[[#This Row],[作者]],1)+1,FIND(")",作者统计[[#This Row],[作者]],1)-FIND("(",作者统计[[#This Row],[作者]],1)-1),"")</f>
        <v/>
      </c>
      <c r="L308" s="6"/>
      <c r="M308" s="5"/>
      <c r="U308" s="5"/>
      <c r="W308"/>
    </row>
    <row r="309" spans="2:23" ht="18" customHeight="1" x14ac:dyDescent="0.25">
      <c r="B309" s="309"/>
      <c r="C309" s="120"/>
      <c r="D309" s="121"/>
      <c r="E309" s="121"/>
      <c r="F309" s="92"/>
      <c r="G309" s="92"/>
      <c r="H309" s="122"/>
      <c r="I309" s="68" t="str">
        <f>IFERROR(MID(作者统计[[#This Row],[作者]],FIND("[",作者统计[[#This Row],[作者]],1)+1,FIND("]",作者统计[[#This Row],[作者]],1)-FIND("[",作者统计[[#This Row],[作者]],1)-1),"")</f>
        <v/>
      </c>
      <c r="J309" s="68" t="str">
        <f>IFERROR(MID(作者统计[[#This Row],[作者]],FIND("(",作者统计[[#This Row],[作者]],1)+1,FIND(")",作者统计[[#This Row],[作者]],1)-FIND("(",作者统计[[#This Row],[作者]],1)-1),"")</f>
        <v/>
      </c>
      <c r="L309" s="6"/>
      <c r="M309" s="5"/>
      <c r="U309" s="5"/>
      <c r="W309"/>
    </row>
    <row r="310" spans="2:23" ht="18" customHeight="1" x14ac:dyDescent="0.25">
      <c r="B310" s="256"/>
      <c r="C310" s="257"/>
      <c r="D310" s="258"/>
      <c r="E310" s="258"/>
      <c r="F310" s="259"/>
      <c r="G310" s="259"/>
      <c r="H310" s="260"/>
      <c r="I310" s="261" t="str">
        <f>IFERROR(MID(作者统计[[#This Row],[作者]],FIND("[",作者统计[[#This Row],[作者]],1)+1,FIND("]",作者统计[[#This Row],[作者]],1)-FIND("[",作者统计[[#This Row],[作者]],1)-1),"")</f>
        <v/>
      </c>
      <c r="J310" s="261" t="str">
        <f>IFERROR(MID(作者统计[[#This Row],[作者]],FIND("(",作者统计[[#This Row],[作者]],1)+1,FIND(")",作者统计[[#This Row],[作者]],1)-FIND("(",作者统计[[#This Row],[作者]],1)-1),"")</f>
        <v/>
      </c>
      <c r="L310" s="6"/>
      <c r="M310" s="5"/>
      <c r="U310" s="5"/>
      <c r="W310"/>
    </row>
    <row r="311" spans="2:23" ht="18" customHeight="1" x14ac:dyDescent="0.25">
      <c r="B311" s="256"/>
      <c r="C311" s="257"/>
      <c r="D311" s="258"/>
      <c r="E311" s="258"/>
      <c r="F311" s="259"/>
      <c r="G311" s="259"/>
      <c r="H311" s="260"/>
      <c r="I311" s="261" t="str">
        <f>IFERROR(MID(作者统计[[#This Row],[作者]],FIND("[",作者统计[[#This Row],[作者]],1)+1,FIND("]",作者统计[[#This Row],[作者]],1)-FIND("[",作者统计[[#This Row],[作者]],1)-1),"")</f>
        <v/>
      </c>
      <c r="J311" s="261" t="str">
        <f>IFERROR(MID(作者统计[[#This Row],[作者]],FIND("(",作者统计[[#This Row],[作者]],1)+1,FIND(")",作者统计[[#This Row],[作者]],1)-FIND("(",作者统计[[#This Row],[作者]],1)-1),"")</f>
        <v/>
      </c>
      <c r="L311" s="6"/>
      <c r="M311" s="5"/>
      <c r="U311" s="5"/>
      <c r="W311"/>
    </row>
    <row r="312" spans="2:23" ht="18" customHeight="1" x14ac:dyDescent="0.25">
      <c r="B312" s="85"/>
      <c r="C312" s="120"/>
      <c r="D312" s="121"/>
      <c r="E312" s="121"/>
      <c r="F312" s="92"/>
      <c r="G312" s="92"/>
      <c r="H312" s="122"/>
      <c r="I312" s="68" t="str">
        <f>IFERROR(MID(作者统计[[#This Row],[作者]],FIND("[",作者统计[[#This Row],[作者]],1)+1,FIND("]",作者统计[[#This Row],[作者]],1)-FIND("[",作者统计[[#This Row],[作者]],1)-1),"")</f>
        <v/>
      </c>
      <c r="J312" s="68" t="str">
        <f>IFERROR(MID(作者统计[[#This Row],[作者]],FIND("(",作者统计[[#This Row],[作者]],1)+1,FIND(")",作者统计[[#This Row],[作者]],1)-FIND("(",作者统计[[#This Row],[作者]],1)-1),"")</f>
        <v/>
      </c>
      <c r="L312" s="6"/>
      <c r="M312" s="5"/>
      <c r="U312" s="5"/>
      <c r="W312"/>
    </row>
    <row r="313" spans="2:23" ht="18" customHeight="1" x14ac:dyDescent="0.25">
      <c r="B313" s="309"/>
      <c r="C313" s="120"/>
      <c r="D313" s="121"/>
      <c r="E313" s="121"/>
      <c r="F313" s="92"/>
      <c r="G313" s="92"/>
      <c r="H313" s="122"/>
      <c r="I313" s="68" t="str">
        <f>IFERROR(MID(作者统计[[#This Row],[作者]],FIND("[",作者统计[[#This Row],[作者]],1)+1,FIND("]",作者统计[[#This Row],[作者]],1)-FIND("[",作者统计[[#This Row],[作者]],1)-1),"")</f>
        <v/>
      </c>
      <c r="J313" s="68" t="str">
        <f>IFERROR(MID(作者统计[[#This Row],[作者]],FIND("(",作者统计[[#This Row],[作者]],1)+1,FIND(")",作者统计[[#This Row],[作者]],1)-FIND("(",作者统计[[#This Row],[作者]],1)-1),"")</f>
        <v/>
      </c>
      <c r="L313" s="6"/>
      <c r="M313" s="5"/>
      <c r="U313" s="5"/>
      <c r="W313"/>
    </row>
    <row r="314" spans="2:23" ht="18" customHeight="1" x14ac:dyDescent="0.25">
      <c r="B314" s="309"/>
      <c r="C314" s="120"/>
      <c r="D314" s="121"/>
      <c r="E314" s="121"/>
      <c r="F314" s="92"/>
      <c r="G314" s="92"/>
      <c r="H314" s="122"/>
      <c r="I314" s="68" t="str">
        <f>IFERROR(MID(作者统计[[#This Row],[作者]],FIND("[",作者统计[[#This Row],[作者]],1)+1,FIND("]",作者统计[[#This Row],[作者]],1)-FIND("[",作者统计[[#This Row],[作者]],1)-1),"")</f>
        <v/>
      </c>
      <c r="J314" s="68" t="str">
        <f>IFERROR(MID(作者统计[[#This Row],[作者]],FIND("(",作者统计[[#This Row],[作者]],1)+1,FIND(")",作者统计[[#This Row],[作者]],1)-FIND("(",作者统计[[#This Row],[作者]],1)-1),"")</f>
        <v/>
      </c>
      <c r="L314" s="6"/>
      <c r="M314" s="5"/>
      <c r="U314" s="5"/>
      <c r="W314"/>
    </row>
    <row r="315" spans="2:23" ht="18" customHeight="1" x14ac:dyDescent="0.25">
      <c r="B315" s="85"/>
      <c r="C315" s="120"/>
      <c r="D315" s="121"/>
      <c r="E315" s="121"/>
      <c r="F315" s="92"/>
      <c r="G315" s="92"/>
      <c r="H315" s="122"/>
      <c r="I315" s="68" t="str">
        <f>IFERROR(MID(作者统计[[#This Row],[作者]],FIND("[",作者统计[[#This Row],[作者]],1)+1,FIND("]",作者统计[[#This Row],[作者]],1)-FIND("[",作者统计[[#This Row],[作者]],1)-1),"")</f>
        <v/>
      </c>
      <c r="J315" s="68" t="str">
        <f>IFERROR(MID(作者统计[[#This Row],[作者]],FIND("(",作者统计[[#This Row],[作者]],1)+1,FIND(")",作者统计[[#This Row],[作者]],1)-FIND("(",作者统计[[#This Row],[作者]],1)-1),"")</f>
        <v/>
      </c>
      <c r="L315" s="6"/>
      <c r="M315" s="5"/>
      <c r="U315" s="5"/>
      <c r="W315"/>
    </row>
    <row r="316" spans="2:23" ht="18" customHeight="1" x14ac:dyDescent="0.25">
      <c r="B316" s="85"/>
      <c r="C316" s="120"/>
      <c r="D316" s="121"/>
      <c r="E316" s="121"/>
      <c r="F316" s="92"/>
      <c r="G316" s="92"/>
      <c r="H316" s="122"/>
      <c r="I316" s="68" t="str">
        <f>IFERROR(MID(作者统计[[#This Row],[作者]],FIND("[",作者统计[[#This Row],[作者]],1)+1,FIND("]",作者统计[[#This Row],[作者]],1)-FIND("[",作者统计[[#This Row],[作者]],1)-1),"")</f>
        <v/>
      </c>
      <c r="J316" s="68" t="str">
        <f>IFERROR(MID(作者统计[[#This Row],[作者]],FIND("(",作者统计[[#This Row],[作者]],1)+1,FIND(")",作者统计[[#This Row],[作者]],1)-FIND("(",作者统计[[#This Row],[作者]],1)-1),"")</f>
        <v/>
      </c>
      <c r="L316" s="6"/>
      <c r="M316" s="5"/>
      <c r="U316" s="5"/>
      <c r="W316"/>
    </row>
    <row r="317" spans="2:23" ht="18" customHeight="1" x14ac:dyDescent="0.25">
      <c r="B317" s="85"/>
      <c r="C317" s="120"/>
      <c r="D317" s="121"/>
      <c r="E317" s="121"/>
      <c r="F317" s="92"/>
      <c r="G317" s="92"/>
      <c r="H317" s="122"/>
      <c r="I317" s="68" t="str">
        <f>IFERROR(MID(作者统计[[#This Row],[作者]],FIND("[",作者统计[[#This Row],[作者]],1)+1,FIND("]",作者统计[[#This Row],[作者]],1)-FIND("[",作者统计[[#This Row],[作者]],1)-1),"")</f>
        <v/>
      </c>
      <c r="J317" s="68" t="str">
        <f>IFERROR(MID(作者统计[[#This Row],[作者]],FIND("(",作者统计[[#This Row],[作者]],1)+1,FIND(")",作者统计[[#This Row],[作者]],1)-FIND("(",作者统计[[#This Row],[作者]],1)-1),"")</f>
        <v/>
      </c>
      <c r="L317" s="6"/>
      <c r="M317" s="5"/>
      <c r="U317" s="5"/>
      <c r="W317"/>
    </row>
    <row r="318" spans="2:23" ht="18" customHeight="1" x14ac:dyDescent="0.25">
      <c r="B318" s="85"/>
      <c r="C318" s="120"/>
      <c r="D318" s="121"/>
      <c r="E318" s="121"/>
      <c r="F318" s="92"/>
      <c r="G318" s="92"/>
      <c r="H318" s="122"/>
      <c r="I318" s="68" t="str">
        <f>IFERROR(MID(作者统计[[#This Row],[作者]],FIND("[",作者统计[[#This Row],[作者]],1)+1,FIND("]",作者统计[[#This Row],[作者]],1)-FIND("[",作者统计[[#This Row],[作者]],1)-1),"")</f>
        <v/>
      </c>
      <c r="J318" s="68" t="str">
        <f>IFERROR(MID(作者统计[[#This Row],[作者]],FIND("(",作者统计[[#This Row],[作者]],1)+1,FIND(")",作者统计[[#This Row],[作者]],1)-FIND("(",作者统计[[#This Row],[作者]],1)-1),"")</f>
        <v/>
      </c>
      <c r="L318" s="6"/>
      <c r="M318" s="5"/>
      <c r="U318" s="5"/>
      <c r="W318"/>
    </row>
    <row r="319" spans="2:23" ht="18" customHeight="1" x14ac:dyDescent="0.25">
      <c r="B319" s="85"/>
      <c r="C319" s="120"/>
      <c r="D319" s="121"/>
      <c r="E319" s="121"/>
      <c r="F319" s="92"/>
      <c r="G319" s="92"/>
      <c r="H319" s="122"/>
      <c r="I319" s="68" t="str">
        <f>IFERROR(MID(作者统计[[#This Row],[作者]],FIND("[",作者统计[[#This Row],[作者]],1)+1,FIND("]",作者统计[[#This Row],[作者]],1)-FIND("[",作者统计[[#This Row],[作者]],1)-1),"")</f>
        <v/>
      </c>
      <c r="J319" s="68" t="str">
        <f>IFERROR(MID(作者统计[[#This Row],[作者]],FIND("(",作者统计[[#This Row],[作者]],1)+1,FIND(")",作者统计[[#This Row],[作者]],1)-FIND("(",作者统计[[#This Row],[作者]],1)-1),"")</f>
        <v/>
      </c>
      <c r="L319" s="6"/>
      <c r="M319" s="5"/>
      <c r="U319" s="5"/>
      <c r="W319"/>
    </row>
    <row r="320" spans="2:23" ht="18" customHeight="1" x14ac:dyDescent="0.25">
      <c r="B320" s="309"/>
      <c r="C320" s="120"/>
      <c r="D320" s="121"/>
      <c r="E320" s="121"/>
      <c r="F320" s="92"/>
      <c r="G320" s="92"/>
      <c r="H320" s="122"/>
      <c r="I320" s="68" t="str">
        <f>IFERROR(MID(作者统计[[#This Row],[作者]],FIND("[",作者统计[[#This Row],[作者]],1)+1,FIND("]",作者统计[[#This Row],[作者]],1)-FIND("[",作者统计[[#This Row],[作者]],1)-1),"")</f>
        <v/>
      </c>
      <c r="J320" s="68" t="str">
        <f>IFERROR(MID(作者统计[[#This Row],[作者]],FIND("(",作者统计[[#This Row],[作者]],1)+1,FIND(")",作者统计[[#This Row],[作者]],1)-FIND("(",作者统计[[#This Row],[作者]],1)-1),"")</f>
        <v/>
      </c>
      <c r="L320" s="6"/>
      <c r="M320" s="5"/>
      <c r="U320" s="5"/>
      <c r="W320"/>
    </row>
    <row r="321" spans="2:23" ht="18" customHeight="1" x14ac:dyDescent="0.25">
      <c r="B321" s="256"/>
      <c r="C321" s="257"/>
      <c r="D321" s="258"/>
      <c r="E321" s="258"/>
      <c r="F321" s="259"/>
      <c r="G321" s="259"/>
      <c r="H321" s="260"/>
      <c r="I321" s="261" t="str">
        <f>IFERROR(MID(作者统计[[#This Row],[作者]],FIND("[",作者统计[[#This Row],[作者]],1)+1,FIND("]",作者统计[[#This Row],[作者]],1)-FIND("[",作者统计[[#This Row],[作者]],1)-1),"")</f>
        <v/>
      </c>
      <c r="J321" s="261" t="str">
        <f>IFERROR(MID(作者统计[[#This Row],[作者]],FIND("(",作者统计[[#This Row],[作者]],1)+1,FIND(")",作者统计[[#This Row],[作者]],1)-FIND("(",作者统计[[#This Row],[作者]],1)-1),"")</f>
        <v/>
      </c>
      <c r="L321" s="6"/>
      <c r="M321" s="5"/>
      <c r="U321" s="5"/>
      <c r="W321"/>
    </row>
    <row r="322" spans="2:23" ht="18" customHeight="1" x14ac:dyDescent="0.25">
      <c r="B322" s="256"/>
      <c r="C322" s="257"/>
      <c r="D322" s="258"/>
      <c r="E322" s="258"/>
      <c r="F322" s="259"/>
      <c r="G322" s="259"/>
      <c r="H322" s="260"/>
      <c r="I322" s="261" t="str">
        <f>IFERROR(MID(作者统计[[#This Row],[作者]],FIND("[",作者统计[[#This Row],[作者]],1)+1,FIND("]",作者统计[[#This Row],[作者]],1)-FIND("[",作者统计[[#This Row],[作者]],1)-1),"")</f>
        <v/>
      </c>
      <c r="J322" s="261" t="str">
        <f>IFERROR(MID(作者统计[[#This Row],[作者]],FIND("(",作者统计[[#This Row],[作者]],1)+1,FIND(")",作者统计[[#This Row],[作者]],1)-FIND("(",作者统计[[#This Row],[作者]],1)-1),"")</f>
        <v/>
      </c>
      <c r="L322" s="6"/>
      <c r="M322" s="5"/>
      <c r="U322" s="5"/>
      <c r="W322"/>
    </row>
    <row r="323" spans="2:23" ht="18" customHeight="1" x14ac:dyDescent="0.25">
      <c r="B323" s="256"/>
      <c r="C323" s="257"/>
      <c r="D323" s="258"/>
      <c r="E323" s="258"/>
      <c r="F323" s="259"/>
      <c r="G323" s="259"/>
      <c r="H323" s="260"/>
      <c r="I323" s="261" t="str">
        <f>IFERROR(MID(作者统计[[#This Row],[作者]],FIND("[",作者统计[[#This Row],[作者]],1)+1,FIND("]",作者统计[[#This Row],[作者]],1)-FIND("[",作者统计[[#This Row],[作者]],1)-1),"")</f>
        <v/>
      </c>
      <c r="J323" s="261" t="str">
        <f>IFERROR(MID(作者统计[[#This Row],[作者]],FIND("(",作者统计[[#This Row],[作者]],1)+1,FIND(")",作者统计[[#This Row],[作者]],1)-FIND("(",作者统计[[#This Row],[作者]],1)-1),"")</f>
        <v/>
      </c>
      <c r="L323" s="6"/>
      <c r="M323" s="5"/>
      <c r="U323" s="5"/>
      <c r="W323"/>
    </row>
    <row r="324" spans="2:23" ht="18" customHeight="1" x14ac:dyDescent="0.25">
      <c r="B324" s="85"/>
      <c r="C324" s="120"/>
      <c r="D324" s="121"/>
      <c r="E324" s="121"/>
      <c r="F324" s="92"/>
      <c r="G324" s="92"/>
      <c r="H324" s="122"/>
      <c r="I324" s="68" t="str">
        <f>IFERROR(MID(作者统计[[#This Row],[作者]],FIND("[",作者统计[[#This Row],[作者]],1)+1,FIND("]",作者统计[[#This Row],[作者]],1)-FIND("[",作者统计[[#This Row],[作者]],1)-1),"")</f>
        <v/>
      </c>
      <c r="J324" s="68" t="str">
        <f>IFERROR(MID(作者统计[[#This Row],[作者]],FIND("(",作者统计[[#This Row],[作者]],1)+1,FIND(")",作者统计[[#This Row],[作者]],1)-FIND("(",作者统计[[#This Row],[作者]],1)-1),"")</f>
        <v/>
      </c>
      <c r="L324" s="6"/>
      <c r="M324" s="5"/>
      <c r="U324" s="5"/>
      <c r="W324"/>
    </row>
    <row r="325" spans="2:23" ht="18" customHeight="1" x14ac:dyDescent="0.25">
      <c r="B325" s="256"/>
      <c r="C325" s="257"/>
      <c r="D325" s="258"/>
      <c r="E325" s="258"/>
      <c r="F325" s="259"/>
      <c r="G325" s="259"/>
      <c r="H325" s="260"/>
      <c r="I325" s="261" t="str">
        <f>IFERROR(MID(作者统计[[#This Row],[作者]],FIND("[",作者统计[[#This Row],[作者]],1)+1,FIND("]",作者统计[[#This Row],[作者]],1)-FIND("[",作者统计[[#This Row],[作者]],1)-1),"")</f>
        <v/>
      </c>
      <c r="J325" s="261" t="str">
        <f>IFERROR(MID(作者统计[[#This Row],[作者]],FIND("(",作者统计[[#This Row],[作者]],1)+1,FIND(")",作者统计[[#This Row],[作者]],1)-FIND("(",作者统计[[#This Row],[作者]],1)-1),"")</f>
        <v/>
      </c>
      <c r="L325" s="6"/>
      <c r="M325" s="5"/>
      <c r="U325" s="5"/>
      <c r="W325"/>
    </row>
    <row r="326" spans="2:23" ht="18" customHeight="1" x14ac:dyDescent="0.25">
      <c r="B326" s="85"/>
      <c r="C326" s="120"/>
      <c r="D326" s="121"/>
      <c r="E326" s="121"/>
      <c r="F326" s="92"/>
      <c r="G326" s="92"/>
      <c r="H326" s="122"/>
      <c r="I326" s="68" t="str">
        <f>IFERROR(MID(作者统计[[#This Row],[作者]],FIND("[",作者统计[[#This Row],[作者]],1)+1,FIND("]",作者统计[[#This Row],[作者]],1)-FIND("[",作者统计[[#This Row],[作者]],1)-1),"")</f>
        <v/>
      </c>
      <c r="J326" s="68" t="str">
        <f>IFERROR(MID(作者统计[[#This Row],[作者]],FIND("(",作者统计[[#This Row],[作者]],1)+1,FIND(")",作者统计[[#This Row],[作者]],1)-FIND("(",作者统计[[#This Row],[作者]],1)-1),"")</f>
        <v/>
      </c>
      <c r="L326" s="6"/>
      <c r="M326" s="5"/>
      <c r="U326" s="5"/>
      <c r="W326"/>
    </row>
    <row r="327" spans="2:23" ht="18" customHeight="1" x14ac:dyDescent="0.25">
      <c r="B327" s="309"/>
      <c r="C327" s="120"/>
      <c r="D327" s="121"/>
      <c r="E327" s="121"/>
      <c r="F327" s="92"/>
      <c r="G327" s="92"/>
      <c r="H327" s="122"/>
      <c r="I327" s="68" t="str">
        <f>IFERROR(MID(作者统计[[#This Row],[作者]],FIND("[",作者统计[[#This Row],[作者]],1)+1,FIND("]",作者统计[[#This Row],[作者]],1)-FIND("[",作者统计[[#This Row],[作者]],1)-1),"")</f>
        <v/>
      </c>
      <c r="J327" s="68" t="str">
        <f>IFERROR(MID(作者统计[[#This Row],[作者]],FIND("(",作者统计[[#This Row],[作者]],1)+1,FIND(")",作者统计[[#This Row],[作者]],1)-FIND("(",作者统计[[#This Row],[作者]],1)-1),"")</f>
        <v/>
      </c>
      <c r="L327" s="6"/>
      <c r="M327" s="5"/>
      <c r="U327" s="5"/>
      <c r="W327"/>
    </row>
    <row r="328" spans="2:23" ht="18" customHeight="1" x14ac:dyDescent="0.25">
      <c r="B328" s="256"/>
      <c r="C328" s="257"/>
      <c r="D328" s="258"/>
      <c r="E328" s="258"/>
      <c r="F328" s="259"/>
      <c r="G328" s="259"/>
      <c r="H328" s="260"/>
      <c r="I328" s="261" t="str">
        <f>IFERROR(MID(作者统计[[#This Row],[作者]],FIND("[",作者统计[[#This Row],[作者]],1)+1,FIND("]",作者统计[[#This Row],[作者]],1)-FIND("[",作者统计[[#This Row],[作者]],1)-1),"")</f>
        <v/>
      </c>
      <c r="J328" s="261" t="str">
        <f>IFERROR(MID(作者统计[[#This Row],[作者]],FIND("(",作者统计[[#This Row],[作者]],1)+1,FIND(")",作者统计[[#This Row],[作者]],1)-FIND("(",作者统计[[#This Row],[作者]],1)-1),"")</f>
        <v/>
      </c>
      <c r="L328" s="6"/>
      <c r="M328" s="5"/>
      <c r="U328" s="5"/>
      <c r="W328"/>
    </row>
    <row r="329" spans="2:23" ht="18" customHeight="1" x14ac:dyDescent="0.25">
      <c r="B329" s="85"/>
      <c r="C329" s="120"/>
      <c r="D329" s="121"/>
      <c r="E329" s="121"/>
      <c r="F329" s="92"/>
      <c r="G329" s="92"/>
      <c r="H329" s="122"/>
      <c r="I329" s="68" t="str">
        <f>IFERROR(MID(作者统计[[#This Row],[作者]],FIND("[",作者统计[[#This Row],[作者]],1)+1,FIND("]",作者统计[[#This Row],[作者]],1)-FIND("[",作者统计[[#This Row],[作者]],1)-1),"")</f>
        <v/>
      </c>
      <c r="J329" s="68" t="str">
        <f>IFERROR(MID(作者统计[[#This Row],[作者]],FIND("(",作者统计[[#This Row],[作者]],1)+1,FIND(")",作者统计[[#This Row],[作者]],1)-FIND("(",作者统计[[#This Row],[作者]],1)-1),"")</f>
        <v/>
      </c>
      <c r="L329" s="6"/>
      <c r="M329" s="5"/>
      <c r="U329" s="5"/>
      <c r="W329"/>
    </row>
    <row r="330" spans="2:23" ht="18" customHeight="1" x14ac:dyDescent="0.25">
      <c r="B330" s="85"/>
      <c r="C330" s="120"/>
      <c r="D330" s="121"/>
      <c r="E330" s="121"/>
      <c r="F330" s="92"/>
      <c r="G330" s="92"/>
      <c r="H330" s="122"/>
      <c r="I330" s="68" t="str">
        <f>IFERROR(MID(作者统计[[#This Row],[作者]],FIND("[",作者统计[[#This Row],[作者]],1)+1,FIND("]",作者统计[[#This Row],[作者]],1)-FIND("[",作者统计[[#This Row],[作者]],1)-1),"")</f>
        <v/>
      </c>
      <c r="J330" s="68" t="str">
        <f>IFERROR(MID(作者统计[[#This Row],[作者]],FIND("(",作者统计[[#This Row],[作者]],1)+1,FIND(")",作者统计[[#This Row],[作者]],1)-FIND("(",作者统计[[#This Row],[作者]],1)-1),"")</f>
        <v/>
      </c>
      <c r="L330" s="6"/>
      <c r="M330" s="5"/>
      <c r="U330" s="5"/>
      <c r="W330"/>
    </row>
    <row r="331" spans="2:23" ht="18" customHeight="1" x14ac:dyDescent="0.25">
      <c r="B331" s="256"/>
      <c r="C331" s="257"/>
      <c r="D331" s="258"/>
      <c r="E331" s="258"/>
      <c r="F331" s="259"/>
      <c r="G331" s="259"/>
      <c r="H331" s="260"/>
      <c r="I331" s="261" t="str">
        <f>IFERROR(MID(作者统计[[#This Row],[作者]],FIND("[",作者统计[[#This Row],[作者]],1)+1,FIND("]",作者统计[[#This Row],[作者]],1)-FIND("[",作者统计[[#This Row],[作者]],1)-1),"")</f>
        <v/>
      </c>
      <c r="J331" s="261" t="str">
        <f>IFERROR(MID(作者统计[[#This Row],[作者]],FIND("(",作者统计[[#This Row],[作者]],1)+1,FIND(")",作者统计[[#This Row],[作者]],1)-FIND("(",作者统计[[#This Row],[作者]],1)-1),"")</f>
        <v/>
      </c>
      <c r="L331" s="6"/>
      <c r="M331" s="5"/>
      <c r="U331" s="5"/>
      <c r="W331"/>
    </row>
    <row r="332" spans="2:23" ht="18" customHeight="1" x14ac:dyDescent="0.25">
      <c r="B332" s="309"/>
      <c r="C332" s="120"/>
      <c r="D332" s="121"/>
      <c r="E332" s="121"/>
      <c r="F332" s="92"/>
      <c r="G332" s="92"/>
      <c r="H332" s="122"/>
      <c r="I332" s="68" t="str">
        <f>IFERROR(MID(作者统计[[#This Row],[作者]],FIND("[",作者统计[[#This Row],[作者]],1)+1,FIND("]",作者统计[[#This Row],[作者]],1)-FIND("[",作者统计[[#This Row],[作者]],1)-1),"")</f>
        <v/>
      </c>
      <c r="J332" s="68" t="str">
        <f>IFERROR(MID(作者统计[[#This Row],[作者]],FIND("(",作者统计[[#This Row],[作者]],1)+1,FIND(")",作者统计[[#This Row],[作者]],1)-FIND("(",作者统计[[#This Row],[作者]],1)-1),"")</f>
        <v/>
      </c>
      <c r="L332" s="6"/>
      <c r="M332" s="5"/>
      <c r="U332" s="5"/>
      <c r="W332"/>
    </row>
    <row r="333" spans="2:23" ht="18" customHeight="1" x14ac:dyDescent="0.25">
      <c r="B333" s="256"/>
      <c r="C333" s="257"/>
      <c r="D333" s="258"/>
      <c r="E333" s="258"/>
      <c r="F333" s="259"/>
      <c r="G333" s="259"/>
      <c r="H333" s="260"/>
      <c r="I333" s="261" t="str">
        <f>IFERROR(MID(作者统计[[#This Row],[作者]],FIND("[",作者统计[[#This Row],[作者]],1)+1,FIND("]",作者统计[[#This Row],[作者]],1)-FIND("[",作者统计[[#This Row],[作者]],1)-1),"")</f>
        <v/>
      </c>
      <c r="J333" s="261" t="str">
        <f>IFERROR(MID(作者统计[[#This Row],[作者]],FIND("(",作者统计[[#This Row],[作者]],1)+1,FIND(")",作者统计[[#This Row],[作者]],1)-FIND("(",作者统计[[#This Row],[作者]],1)-1),"")</f>
        <v/>
      </c>
      <c r="L333" s="6"/>
      <c r="M333" s="5"/>
      <c r="U333" s="5"/>
      <c r="W333"/>
    </row>
    <row r="334" spans="2:23" ht="18" customHeight="1" x14ac:dyDescent="0.25">
      <c r="B334" s="309"/>
      <c r="C334" s="120"/>
      <c r="D334" s="121"/>
      <c r="E334" s="121"/>
      <c r="F334" s="92"/>
      <c r="G334" s="92"/>
      <c r="H334" s="122"/>
      <c r="I334" s="68" t="str">
        <f>IFERROR(MID(作者统计[[#This Row],[作者]],FIND("[",作者统计[[#This Row],[作者]],1)+1,FIND("]",作者统计[[#This Row],[作者]],1)-FIND("[",作者统计[[#This Row],[作者]],1)-1),"")</f>
        <v/>
      </c>
      <c r="J334" s="68" t="str">
        <f>IFERROR(MID(作者统计[[#This Row],[作者]],FIND("(",作者统计[[#This Row],[作者]],1)+1,FIND(")",作者统计[[#This Row],[作者]],1)-FIND("(",作者统计[[#This Row],[作者]],1)-1),"")</f>
        <v/>
      </c>
      <c r="L334" s="6"/>
      <c r="M334" s="5"/>
      <c r="U334" s="5"/>
      <c r="W334"/>
    </row>
    <row r="335" spans="2:23" ht="18" customHeight="1" x14ac:dyDescent="0.25">
      <c r="B335" s="256"/>
      <c r="C335" s="257"/>
      <c r="D335" s="258"/>
      <c r="E335" s="258"/>
      <c r="F335" s="259"/>
      <c r="G335" s="259"/>
      <c r="H335" s="260"/>
      <c r="I335" s="261" t="str">
        <f>IFERROR(MID(作者统计[[#This Row],[作者]],FIND("[",作者统计[[#This Row],[作者]],1)+1,FIND("]",作者统计[[#This Row],[作者]],1)-FIND("[",作者统计[[#This Row],[作者]],1)-1),"")</f>
        <v/>
      </c>
      <c r="J335" s="261" t="str">
        <f>IFERROR(MID(作者统计[[#This Row],[作者]],FIND("(",作者统计[[#This Row],[作者]],1)+1,FIND(")",作者统计[[#This Row],[作者]],1)-FIND("(",作者统计[[#This Row],[作者]],1)-1),"")</f>
        <v/>
      </c>
      <c r="L335" s="6"/>
      <c r="M335" s="5"/>
      <c r="U335" s="5"/>
      <c r="W335"/>
    </row>
    <row r="336" spans="2:23" ht="18" customHeight="1" x14ac:dyDescent="0.25">
      <c r="B336" s="309"/>
      <c r="C336" s="120"/>
      <c r="D336" s="121"/>
      <c r="E336" s="121"/>
      <c r="F336" s="92"/>
      <c r="G336" s="92"/>
      <c r="H336" s="122"/>
      <c r="I336" s="68" t="str">
        <f>IFERROR(MID(作者统计[[#This Row],[作者]],FIND("[",作者统计[[#This Row],[作者]],1)+1,FIND("]",作者统计[[#This Row],[作者]],1)-FIND("[",作者统计[[#This Row],[作者]],1)-1),"")</f>
        <v/>
      </c>
      <c r="J336" s="68" t="str">
        <f>IFERROR(MID(作者统计[[#This Row],[作者]],FIND("(",作者统计[[#This Row],[作者]],1)+1,FIND(")",作者统计[[#This Row],[作者]],1)-FIND("(",作者统计[[#This Row],[作者]],1)-1),"")</f>
        <v/>
      </c>
      <c r="L336" s="6"/>
      <c r="M336" s="5"/>
      <c r="U336" s="5"/>
      <c r="W336"/>
    </row>
    <row r="337" spans="2:23" ht="18" customHeight="1" x14ac:dyDescent="0.25">
      <c r="B337" s="309"/>
      <c r="C337" s="120"/>
      <c r="D337" s="121"/>
      <c r="E337" s="121"/>
      <c r="F337" s="92"/>
      <c r="G337" s="92"/>
      <c r="H337" s="122"/>
      <c r="I337" s="68" t="str">
        <f>IFERROR(MID(作者统计[[#This Row],[作者]],FIND("[",作者统计[[#This Row],[作者]],1)+1,FIND("]",作者统计[[#This Row],[作者]],1)-FIND("[",作者统计[[#This Row],[作者]],1)-1),"")</f>
        <v/>
      </c>
      <c r="J337" s="68" t="str">
        <f>IFERROR(MID(作者统计[[#This Row],[作者]],FIND("(",作者统计[[#This Row],[作者]],1)+1,FIND(")",作者统计[[#This Row],[作者]],1)-FIND("(",作者统计[[#This Row],[作者]],1)-1),"")</f>
        <v/>
      </c>
      <c r="L337" s="6"/>
      <c r="M337" s="5"/>
      <c r="U337" s="5"/>
      <c r="W337"/>
    </row>
    <row r="338" spans="2:23" ht="18" customHeight="1" x14ac:dyDescent="0.25">
      <c r="B338" s="309"/>
      <c r="C338" s="120"/>
      <c r="D338" s="121"/>
      <c r="E338" s="121"/>
      <c r="F338" s="92"/>
      <c r="G338" s="92"/>
      <c r="H338" s="122"/>
      <c r="I338" s="68" t="str">
        <f>IFERROR(MID(作者统计[[#This Row],[作者]],FIND("[",作者统计[[#This Row],[作者]],1)+1,FIND("]",作者统计[[#This Row],[作者]],1)-FIND("[",作者统计[[#This Row],[作者]],1)-1),"")</f>
        <v/>
      </c>
      <c r="J338" s="68" t="str">
        <f>IFERROR(MID(作者统计[[#This Row],[作者]],FIND("(",作者统计[[#This Row],[作者]],1)+1,FIND(")",作者统计[[#This Row],[作者]],1)-FIND("(",作者统计[[#This Row],[作者]],1)-1),"")</f>
        <v/>
      </c>
      <c r="L338" s="6"/>
      <c r="M338" s="5"/>
      <c r="U338" s="5"/>
      <c r="W338"/>
    </row>
    <row r="339" spans="2:23" ht="18" customHeight="1" x14ac:dyDescent="0.25">
      <c r="B339" s="85"/>
      <c r="C339" s="120"/>
      <c r="D339" s="121"/>
      <c r="E339" s="121"/>
      <c r="F339" s="92"/>
      <c r="G339" s="92"/>
      <c r="H339" s="122"/>
      <c r="I339" s="68" t="str">
        <f>IFERROR(MID(作者统计[[#This Row],[作者]],FIND("[",作者统计[[#This Row],[作者]],1)+1,FIND("]",作者统计[[#This Row],[作者]],1)-FIND("[",作者统计[[#This Row],[作者]],1)-1),"")</f>
        <v/>
      </c>
      <c r="J339" s="68" t="str">
        <f>IFERROR(MID(作者统计[[#This Row],[作者]],FIND("(",作者统计[[#This Row],[作者]],1)+1,FIND(")",作者统计[[#This Row],[作者]],1)-FIND("(",作者统计[[#This Row],[作者]],1)-1),"")</f>
        <v/>
      </c>
      <c r="L339" s="6"/>
      <c r="M339" s="5"/>
      <c r="U339" s="5"/>
      <c r="W339"/>
    </row>
    <row r="340" spans="2:23" ht="18" customHeight="1" x14ac:dyDescent="0.25">
      <c r="B340" s="309"/>
      <c r="C340" s="120"/>
      <c r="D340" s="121"/>
      <c r="E340" s="121"/>
      <c r="F340" s="92"/>
      <c r="G340" s="92"/>
      <c r="H340" s="122"/>
      <c r="I340" s="68" t="str">
        <f>IFERROR(MID(作者统计[[#This Row],[作者]],FIND("[",作者统计[[#This Row],[作者]],1)+1,FIND("]",作者统计[[#This Row],[作者]],1)-FIND("[",作者统计[[#This Row],[作者]],1)-1),"")</f>
        <v/>
      </c>
      <c r="J340" s="68" t="str">
        <f>IFERROR(MID(作者统计[[#This Row],[作者]],FIND("(",作者统计[[#This Row],[作者]],1)+1,FIND(")",作者统计[[#This Row],[作者]],1)-FIND("(",作者统计[[#This Row],[作者]],1)-1),"")</f>
        <v/>
      </c>
      <c r="L340" s="6"/>
      <c r="M340" s="5"/>
      <c r="U340" s="5"/>
      <c r="W340"/>
    </row>
    <row r="341" spans="2:23" ht="18" customHeight="1" x14ac:dyDescent="0.25">
      <c r="B341" s="256"/>
      <c r="C341" s="257"/>
      <c r="D341" s="258"/>
      <c r="E341" s="258"/>
      <c r="F341" s="259"/>
      <c r="G341" s="259"/>
      <c r="H341" s="260"/>
      <c r="I341" s="261" t="str">
        <f>IFERROR(MID(作者统计[[#This Row],[作者]],FIND("[",作者统计[[#This Row],[作者]],1)+1,FIND("]",作者统计[[#This Row],[作者]],1)-FIND("[",作者统计[[#This Row],[作者]],1)-1),"")</f>
        <v/>
      </c>
      <c r="J341" s="261" t="str">
        <f>IFERROR(MID(作者统计[[#This Row],[作者]],FIND("(",作者统计[[#This Row],[作者]],1)+1,FIND(")",作者统计[[#This Row],[作者]],1)-FIND("(",作者统计[[#This Row],[作者]],1)-1),"")</f>
        <v/>
      </c>
      <c r="L341" s="6"/>
      <c r="M341" s="5"/>
      <c r="U341" s="5"/>
      <c r="W341"/>
    </row>
    <row r="342" spans="2:23" ht="18" customHeight="1" x14ac:dyDescent="0.25">
      <c r="B342" s="85"/>
      <c r="C342" s="120"/>
      <c r="D342" s="121"/>
      <c r="E342" s="121"/>
      <c r="F342" s="92"/>
      <c r="G342" s="92"/>
      <c r="H342" s="122"/>
      <c r="I342" s="68" t="str">
        <f>IFERROR(MID(作者统计[[#This Row],[作者]],FIND("[",作者统计[[#This Row],[作者]],1)+1,FIND("]",作者统计[[#This Row],[作者]],1)-FIND("[",作者统计[[#This Row],[作者]],1)-1),"")</f>
        <v/>
      </c>
      <c r="J342" s="68" t="str">
        <f>IFERROR(MID(作者统计[[#This Row],[作者]],FIND("(",作者统计[[#This Row],[作者]],1)+1,FIND(")",作者统计[[#This Row],[作者]],1)-FIND("(",作者统计[[#This Row],[作者]],1)-1),"")</f>
        <v/>
      </c>
      <c r="L342" s="6"/>
      <c r="M342" s="5"/>
      <c r="U342" s="5"/>
      <c r="W342"/>
    </row>
    <row r="343" spans="2:23" ht="18" customHeight="1" x14ac:dyDescent="0.25">
      <c r="B343" s="309"/>
      <c r="C343" s="120"/>
      <c r="D343" s="121"/>
      <c r="E343" s="121"/>
      <c r="F343" s="92"/>
      <c r="G343" s="92"/>
      <c r="H343" s="122"/>
      <c r="I343" s="68" t="str">
        <f>IFERROR(MID(作者统计[[#This Row],[作者]],FIND("[",作者统计[[#This Row],[作者]],1)+1,FIND("]",作者统计[[#This Row],[作者]],1)-FIND("[",作者统计[[#This Row],[作者]],1)-1),"")</f>
        <v/>
      </c>
      <c r="J343" s="68" t="str">
        <f>IFERROR(MID(作者统计[[#This Row],[作者]],FIND("(",作者统计[[#This Row],[作者]],1)+1,FIND(")",作者统计[[#This Row],[作者]],1)-FIND("(",作者统计[[#This Row],[作者]],1)-1),"")</f>
        <v/>
      </c>
      <c r="L343" s="6"/>
      <c r="M343" s="5"/>
      <c r="U343" s="5"/>
      <c r="W343"/>
    </row>
    <row r="344" spans="2:23" ht="18" customHeight="1" x14ac:dyDescent="0.25">
      <c r="B344" s="309"/>
      <c r="C344" s="120"/>
      <c r="D344" s="121"/>
      <c r="E344" s="121"/>
      <c r="F344" s="92"/>
      <c r="G344" s="92"/>
      <c r="H344" s="122"/>
      <c r="I344" s="68" t="str">
        <f>IFERROR(MID(作者统计[[#This Row],[作者]],FIND("[",作者统计[[#This Row],[作者]],1)+1,FIND("]",作者统计[[#This Row],[作者]],1)-FIND("[",作者统计[[#This Row],[作者]],1)-1),"")</f>
        <v/>
      </c>
      <c r="J344" s="68" t="str">
        <f>IFERROR(MID(作者统计[[#This Row],[作者]],FIND("(",作者统计[[#This Row],[作者]],1)+1,FIND(")",作者统计[[#This Row],[作者]],1)-FIND("(",作者统计[[#This Row],[作者]],1)-1),"")</f>
        <v/>
      </c>
      <c r="L344" s="6"/>
      <c r="M344" s="5"/>
      <c r="U344" s="5"/>
      <c r="W344"/>
    </row>
    <row r="345" spans="2:23" ht="18" customHeight="1" x14ac:dyDescent="0.25">
      <c r="B345" s="309"/>
      <c r="C345" s="120"/>
      <c r="D345" s="121"/>
      <c r="E345" s="121"/>
      <c r="F345" s="92"/>
      <c r="G345" s="92"/>
      <c r="H345" s="122"/>
      <c r="I345" s="68" t="str">
        <f>IFERROR(MID(作者统计[[#This Row],[作者]],FIND("[",作者统计[[#This Row],[作者]],1)+1,FIND("]",作者统计[[#This Row],[作者]],1)-FIND("[",作者统计[[#This Row],[作者]],1)-1),"")</f>
        <v/>
      </c>
      <c r="J345" s="68" t="str">
        <f>IFERROR(MID(作者统计[[#This Row],[作者]],FIND("(",作者统计[[#This Row],[作者]],1)+1,FIND(")",作者统计[[#This Row],[作者]],1)-FIND("(",作者统计[[#This Row],[作者]],1)-1),"")</f>
        <v/>
      </c>
      <c r="L345" s="6"/>
      <c r="M345" s="5"/>
      <c r="U345" s="5"/>
      <c r="W345"/>
    </row>
    <row r="346" spans="2:23" ht="18" customHeight="1" x14ac:dyDescent="0.25">
      <c r="B346" s="85"/>
      <c r="C346" s="120"/>
      <c r="D346" s="121"/>
      <c r="E346" s="121"/>
      <c r="F346" s="92"/>
      <c r="G346" s="92"/>
      <c r="H346" s="122"/>
      <c r="I346" s="68" t="str">
        <f>IFERROR(MID(作者统计[[#This Row],[作者]],FIND("[",作者统计[[#This Row],[作者]],1)+1,FIND("]",作者统计[[#This Row],[作者]],1)-FIND("[",作者统计[[#This Row],[作者]],1)-1),"")</f>
        <v/>
      </c>
      <c r="J346" s="68" t="str">
        <f>IFERROR(MID(作者统计[[#This Row],[作者]],FIND("(",作者统计[[#This Row],[作者]],1)+1,FIND(")",作者统计[[#This Row],[作者]],1)-FIND("(",作者统计[[#This Row],[作者]],1)-1),"")</f>
        <v/>
      </c>
      <c r="L346" s="6"/>
      <c r="M346" s="5"/>
      <c r="U346" s="5"/>
      <c r="W346"/>
    </row>
    <row r="347" spans="2:23" ht="18" customHeight="1" x14ac:dyDescent="0.25">
      <c r="B347" s="309"/>
      <c r="C347" s="120"/>
      <c r="D347" s="121"/>
      <c r="E347" s="121"/>
      <c r="F347" s="92"/>
      <c r="G347" s="92"/>
      <c r="H347" s="122"/>
      <c r="I347" s="68" t="str">
        <f>IFERROR(MID(作者统计[[#This Row],[作者]],FIND("[",作者统计[[#This Row],[作者]],1)+1,FIND("]",作者统计[[#This Row],[作者]],1)-FIND("[",作者统计[[#This Row],[作者]],1)-1),"")</f>
        <v/>
      </c>
      <c r="J347" s="68" t="str">
        <f>IFERROR(MID(作者统计[[#This Row],[作者]],FIND("(",作者统计[[#This Row],[作者]],1)+1,FIND(")",作者统计[[#This Row],[作者]],1)-FIND("(",作者统计[[#This Row],[作者]],1)-1),"")</f>
        <v/>
      </c>
      <c r="L347" s="6"/>
      <c r="M347" s="5"/>
      <c r="U347" s="5"/>
      <c r="W347"/>
    </row>
    <row r="348" spans="2:23" ht="18" customHeight="1" x14ac:dyDescent="0.25">
      <c r="B348" s="85"/>
      <c r="C348" s="120"/>
      <c r="D348" s="121"/>
      <c r="E348" s="121"/>
      <c r="F348" s="92"/>
      <c r="G348" s="92"/>
      <c r="H348" s="122"/>
      <c r="I348" s="68" t="str">
        <f>IFERROR(MID(作者统计[[#This Row],[作者]],FIND("[",作者统计[[#This Row],[作者]],1)+1,FIND("]",作者统计[[#This Row],[作者]],1)-FIND("[",作者统计[[#This Row],[作者]],1)-1),"")</f>
        <v/>
      </c>
      <c r="J348" s="68" t="str">
        <f>IFERROR(MID(作者统计[[#This Row],[作者]],FIND("(",作者统计[[#This Row],[作者]],1)+1,FIND(")",作者统计[[#This Row],[作者]],1)-FIND("(",作者统计[[#This Row],[作者]],1)-1),"")</f>
        <v/>
      </c>
      <c r="L348" s="6"/>
      <c r="M348" s="5"/>
      <c r="U348" s="5"/>
      <c r="W348"/>
    </row>
    <row r="349" spans="2:23" ht="18" customHeight="1" x14ac:dyDescent="0.25">
      <c r="B349" s="256"/>
      <c r="C349" s="257"/>
      <c r="D349" s="258"/>
      <c r="E349" s="258"/>
      <c r="F349" s="259"/>
      <c r="G349" s="259"/>
      <c r="H349" s="260"/>
      <c r="I349" s="261" t="str">
        <f>IFERROR(MID(作者统计[[#This Row],[作者]],FIND("[",作者统计[[#This Row],[作者]],1)+1,FIND("]",作者统计[[#This Row],[作者]],1)-FIND("[",作者统计[[#This Row],[作者]],1)-1),"")</f>
        <v/>
      </c>
      <c r="J349" s="261" t="str">
        <f>IFERROR(MID(作者统计[[#This Row],[作者]],FIND("(",作者统计[[#This Row],[作者]],1)+1,FIND(")",作者统计[[#This Row],[作者]],1)-FIND("(",作者统计[[#This Row],[作者]],1)-1),"")</f>
        <v/>
      </c>
      <c r="L349" s="6"/>
      <c r="M349" s="5"/>
      <c r="U349" s="5"/>
      <c r="W349"/>
    </row>
    <row r="350" spans="2:23" ht="18" customHeight="1" x14ac:dyDescent="0.25">
      <c r="B350" s="256"/>
      <c r="C350" s="257"/>
      <c r="D350" s="258"/>
      <c r="E350" s="258"/>
      <c r="F350" s="259"/>
      <c r="G350" s="259"/>
      <c r="H350" s="260"/>
      <c r="I350" s="261" t="str">
        <f>IFERROR(MID(作者统计[[#This Row],[作者]],FIND("[",作者统计[[#This Row],[作者]],1)+1,FIND("]",作者统计[[#This Row],[作者]],1)-FIND("[",作者统计[[#This Row],[作者]],1)-1),"")</f>
        <v/>
      </c>
      <c r="J350" s="261" t="str">
        <f>IFERROR(MID(作者统计[[#This Row],[作者]],FIND("(",作者统计[[#This Row],[作者]],1)+1,FIND(")",作者统计[[#This Row],[作者]],1)-FIND("(",作者统计[[#This Row],[作者]],1)-1),"")</f>
        <v/>
      </c>
      <c r="L350" s="6"/>
      <c r="M350" s="5"/>
      <c r="U350" s="5"/>
      <c r="W350"/>
    </row>
    <row r="351" spans="2:23" ht="18" customHeight="1" x14ac:dyDescent="0.25">
      <c r="B351" s="256"/>
      <c r="C351" s="257"/>
      <c r="D351" s="258"/>
      <c r="E351" s="258"/>
      <c r="F351" s="259"/>
      <c r="G351" s="259"/>
      <c r="H351" s="260"/>
      <c r="I351" s="261" t="str">
        <f>IFERROR(MID(作者统计[[#This Row],[作者]],FIND("[",作者统计[[#This Row],[作者]],1)+1,FIND("]",作者统计[[#This Row],[作者]],1)-FIND("[",作者统计[[#This Row],[作者]],1)-1),"")</f>
        <v/>
      </c>
      <c r="J351" s="261" t="str">
        <f>IFERROR(MID(作者统计[[#This Row],[作者]],FIND("(",作者统计[[#This Row],[作者]],1)+1,FIND(")",作者统计[[#This Row],[作者]],1)-FIND("(",作者统计[[#This Row],[作者]],1)-1),"")</f>
        <v/>
      </c>
      <c r="L351" s="6"/>
      <c r="M351" s="5"/>
      <c r="U351" s="5"/>
      <c r="W351"/>
    </row>
    <row r="352" spans="2:23" ht="18" customHeight="1" x14ac:dyDescent="0.25">
      <c r="B352" s="85"/>
      <c r="C352" s="120"/>
      <c r="D352" s="121"/>
      <c r="E352" s="121"/>
      <c r="F352" s="92"/>
      <c r="G352" s="92"/>
      <c r="H352" s="122"/>
      <c r="I352" s="68" t="str">
        <f>IFERROR(MID(作者统计[[#This Row],[作者]],FIND("[",作者统计[[#This Row],[作者]],1)+1,FIND("]",作者统计[[#This Row],[作者]],1)-FIND("[",作者统计[[#This Row],[作者]],1)-1),"")</f>
        <v/>
      </c>
      <c r="J352" s="68" t="str">
        <f>IFERROR(MID(作者统计[[#This Row],[作者]],FIND("(",作者统计[[#This Row],[作者]],1)+1,FIND(")",作者统计[[#This Row],[作者]],1)-FIND("(",作者统计[[#This Row],[作者]],1)-1),"")</f>
        <v/>
      </c>
      <c r="L352" s="6"/>
      <c r="M352" s="5"/>
      <c r="U352" s="5"/>
      <c r="W352"/>
    </row>
    <row r="353" spans="2:23" ht="18" customHeight="1" x14ac:dyDescent="0.25">
      <c r="B353" s="256"/>
      <c r="C353" s="257"/>
      <c r="D353" s="258"/>
      <c r="E353" s="258"/>
      <c r="F353" s="259"/>
      <c r="G353" s="259"/>
      <c r="H353" s="260"/>
      <c r="I353" s="261" t="str">
        <f>IFERROR(MID(作者统计[[#This Row],[作者]],FIND("[",作者统计[[#This Row],[作者]],1)+1,FIND("]",作者统计[[#This Row],[作者]],1)-FIND("[",作者统计[[#This Row],[作者]],1)-1),"")</f>
        <v/>
      </c>
      <c r="J353" s="261" t="str">
        <f>IFERROR(MID(作者统计[[#This Row],[作者]],FIND("(",作者统计[[#This Row],[作者]],1)+1,FIND(")",作者统计[[#This Row],[作者]],1)-FIND("(",作者统计[[#This Row],[作者]],1)-1),"")</f>
        <v/>
      </c>
      <c r="L353" s="6"/>
      <c r="M353" s="5"/>
      <c r="U353" s="5"/>
      <c r="W353"/>
    </row>
    <row r="354" spans="2:23" ht="18" customHeight="1" x14ac:dyDescent="0.25">
      <c r="B354" s="85"/>
      <c r="C354" s="120"/>
      <c r="D354" s="121"/>
      <c r="E354" s="121"/>
      <c r="F354" s="92"/>
      <c r="G354" s="92"/>
      <c r="H354" s="122"/>
      <c r="I354" s="68" t="str">
        <f>IFERROR(MID(作者统计[[#This Row],[作者]],FIND("[",作者统计[[#This Row],[作者]],1)+1,FIND("]",作者统计[[#This Row],[作者]],1)-FIND("[",作者统计[[#This Row],[作者]],1)-1),"")</f>
        <v/>
      </c>
      <c r="J354" s="68" t="str">
        <f>IFERROR(MID(作者统计[[#This Row],[作者]],FIND("(",作者统计[[#This Row],[作者]],1)+1,FIND(")",作者统计[[#This Row],[作者]],1)-FIND("(",作者统计[[#This Row],[作者]],1)-1),"")</f>
        <v/>
      </c>
      <c r="L354" s="6"/>
      <c r="M354" s="5"/>
      <c r="U354" s="5"/>
      <c r="W354"/>
    </row>
    <row r="355" spans="2:23" ht="18" customHeight="1" x14ac:dyDescent="0.25">
      <c r="B355" s="85"/>
      <c r="C355" s="120"/>
      <c r="D355" s="121"/>
      <c r="E355" s="121"/>
      <c r="F355" s="92"/>
      <c r="G355" s="92"/>
      <c r="H355" s="122"/>
      <c r="I355" s="68" t="str">
        <f>IFERROR(MID(作者统计[[#This Row],[作者]],FIND("[",作者统计[[#This Row],[作者]],1)+1,FIND("]",作者统计[[#This Row],[作者]],1)-FIND("[",作者统计[[#This Row],[作者]],1)-1),"")</f>
        <v/>
      </c>
      <c r="J355" s="68" t="str">
        <f>IFERROR(MID(作者统计[[#This Row],[作者]],FIND("(",作者统计[[#This Row],[作者]],1)+1,FIND(")",作者统计[[#This Row],[作者]],1)-FIND("(",作者统计[[#This Row],[作者]],1)-1),"")</f>
        <v/>
      </c>
      <c r="L355" s="6"/>
      <c r="M355" s="5"/>
      <c r="U355" s="5"/>
      <c r="W355"/>
    </row>
    <row r="356" spans="2:23" ht="18" customHeight="1" x14ac:dyDescent="0.25">
      <c r="B356" s="309"/>
      <c r="C356" s="120"/>
      <c r="D356" s="121"/>
      <c r="E356" s="121"/>
      <c r="F356" s="92"/>
      <c r="G356" s="92"/>
      <c r="H356" s="123"/>
      <c r="I356" s="68" t="str">
        <f>IFERROR(MID(作者统计[[#This Row],[作者]],FIND("[",作者统计[[#This Row],[作者]],1)+1,FIND("]",作者统计[[#This Row],[作者]],1)-FIND("[",作者统计[[#This Row],[作者]],1)-1),"")</f>
        <v/>
      </c>
      <c r="J356" s="68" t="str">
        <f>IFERROR(MID(作者统计[[#This Row],[作者]],FIND("(",作者统计[[#This Row],[作者]],1)+1,FIND(")",作者统计[[#This Row],[作者]],1)-FIND("(",作者统计[[#This Row],[作者]],1)-1),"")</f>
        <v/>
      </c>
      <c r="L356" s="6"/>
      <c r="M356" s="5"/>
      <c r="U356" s="5"/>
      <c r="W356"/>
    </row>
    <row r="357" spans="2:23" ht="18" customHeight="1" x14ac:dyDescent="0.25">
      <c r="B357" s="85"/>
      <c r="C357" s="120"/>
      <c r="D357" s="121"/>
      <c r="E357" s="121"/>
      <c r="F357" s="92"/>
      <c r="G357" s="92"/>
      <c r="H357" s="122"/>
      <c r="I357" s="68" t="str">
        <f>IFERROR(MID(作者统计[[#This Row],[作者]],FIND("[",作者统计[[#This Row],[作者]],1)+1,FIND("]",作者统计[[#This Row],[作者]],1)-FIND("[",作者统计[[#This Row],[作者]],1)-1),"")</f>
        <v/>
      </c>
      <c r="J357" s="68" t="str">
        <f>IFERROR(MID(作者统计[[#This Row],[作者]],FIND("(",作者统计[[#This Row],[作者]],1)+1,FIND(")",作者统计[[#This Row],[作者]],1)-FIND("(",作者统计[[#This Row],[作者]],1)-1),"")</f>
        <v/>
      </c>
      <c r="L357" s="6"/>
      <c r="M357" s="5"/>
      <c r="U357" s="5"/>
      <c r="W357"/>
    </row>
    <row r="358" spans="2:23" ht="18" customHeight="1" x14ac:dyDescent="0.25">
      <c r="B358" s="256"/>
      <c r="C358" s="257"/>
      <c r="D358" s="258"/>
      <c r="E358" s="258"/>
      <c r="F358" s="259"/>
      <c r="G358" s="259"/>
      <c r="H358" s="260"/>
      <c r="I358" s="261" t="str">
        <f>IFERROR(MID(作者统计[[#This Row],[作者]],FIND("[",作者统计[[#This Row],[作者]],1)+1,FIND("]",作者统计[[#This Row],[作者]],1)-FIND("[",作者统计[[#This Row],[作者]],1)-1),"")</f>
        <v/>
      </c>
      <c r="J358" s="261" t="str">
        <f>IFERROR(MID(作者统计[[#This Row],[作者]],FIND("(",作者统计[[#This Row],[作者]],1)+1,FIND(")",作者统计[[#This Row],[作者]],1)-FIND("(",作者统计[[#This Row],[作者]],1)-1),"")</f>
        <v/>
      </c>
      <c r="L358" s="6"/>
      <c r="M358" s="5"/>
      <c r="U358" s="5"/>
      <c r="W358"/>
    </row>
    <row r="359" spans="2:23" ht="18" customHeight="1" x14ac:dyDescent="0.25">
      <c r="B359" s="309"/>
      <c r="C359" s="120"/>
      <c r="D359" s="121"/>
      <c r="E359" s="121"/>
      <c r="F359" s="92"/>
      <c r="G359" s="92"/>
      <c r="H359" s="122"/>
      <c r="I359" s="68" t="str">
        <f>IFERROR(MID(作者统计[[#This Row],[作者]],FIND("[",作者统计[[#This Row],[作者]],1)+1,FIND("]",作者统计[[#This Row],[作者]],1)-FIND("[",作者统计[[#This Row],[作者]],1)-1),"")</f>
        <v/>
      </c>
      <c r="J359" s="68" t="str">
        <f>IFERROR(MID(作者统计[[#This Row],[作者]],FIND("(",作者统计[[#This Row],[作者]],1)+1,FIND(")",作者统计[[#This Row],[作者]],1)-FIND("(",作者统计[[#This Row],[作者]],1)-1),"")</f>
        <v/>
      </c>
      <c r="L359" s="6"/>
      <c r="M359" s="5"/>
      <c r="U359" s="5"/>
      <c r="W359"/>
    </row>
    <row r="360" spans="2:23" ht="18" customHeight="1" x14ac:dyDescent="0.25">
      <c r="B360" s="85"/>
      <c r="C360" s="120"/>
      <c r="D360" s="121"/>
      <c r="E360" s="121"/>
      <c r="F360" s="92"/>
      <c r="G360" s="92"/>
      <c r="H360" s="122"/>
      <c r="I360" s="68" t="str">
        <f>IFERROR(MID(作者统计[[#This Row],[作者]],FIND("[",作者统计[[#This Row],[作者]],1)+1,FIND("]",作者统计[[#This Row],[作者]],1)-FIND("[",作者统计[[#This Row],[作者]],1)-1),"")</f>
        <v/>
      </c>
      <c r="J360" s="68" t="str">
        <f>IFERROR(MID(作者统计[[#This Row],[作者]],FIND("(",作者统计[[#This Row],[作者]],1)+1,FIND(")",作者统计[[#This Row],[作者]],1)-FIND("(",作者统计[[#This Row],[作者]],1)-1),"")</f>
        <v/>
      </c>
      <c r="L360" s="6"/>
      <c r="M360" s="5"/>
      <c r="U360" s="5"/>
      <c r="W360"/>
    </row>
    <row r="361" spans="2:23" ht="18" customHeight="1" x14ac:dyDescent="0.25">
      <c r="B361" s="309"/>
      <c r="C361" s="120"/>
      <c r="D361" s="121"/>
      <c r="E361" s="121"/>
      <c r="F361" s="92"/>
      <c r="G361" s="92"/>
      <c r="H361" s="122"/>
      <c r="I361" s="68" t="str">
        <f>IFERROR(MID(作者统计[[#This Row],[作者]],FIND("[",作者统计[[#This Row],[作者]],1)+1,FIND("]",作者统计[[#This Row],[作者]],1)-FIND("[",作者统计[[#This Row],[作者]],1)-1),"")</f>
        <v/>
      </c>
      <c r="J361" s="68" t="str">
        <f>IFERROR(MID(作者统计[[#This Row],[作者]],FIND("(",作者统计[[#This Row],[作者]],1)+1,FIND(")",作者统计[[#This Row],[作者]],1)-FIND("(",作者统计[[#This Row],[作者]],1)-1),"")</f>
        <v/>
      </c>
      <c r="L361" s="6"/>
      <c r="M361" s="5"/>
      <c r="U361" s="5"/>
      <c r="W361"/>
    </row>
    <row r="362" spans="2:23" ht="18" customHeight="1" x14ac:dyDescent="0.25">
      <c r="B362" s="309"/>
      <c r="C362" s="120"/>
      <c r="D362" s="121"/>
      <c r="E362" s="121"/>
      <c r="F362" s="92"/>
      <c r="G362" s="92"/>
      <c r="H362" s="122"/>
      <c r="I362" s="68" t="str">
        <f>IFERROR(MID(作者统计[[#This Row],[作者]],FIND("[",作者统计[[#This Row],[作者]],1)+1,FIND("]",作者统计[[#This Row],[作者]],1)-FIND("[",作者统计[[#This Row],[作者]],1)-1),"")</f>
        <v/>
      </c>
      <c r="J362" s="68" t="str">
        <f>IFERROR(MID(作者统计[[#This Row],[作者]],FIND("(",作者统计[[#This Row],[作者]],1)+1,FIND(")",作者统计[[#This Row],[作者]],1)-FIND("(",作者统计[[#This Row],[作者]],1)-1),"")</f>
        <v/>
      </c>
      <c r="L362" s="6"/>
      <c r="M362" s="5"/>
      <c r="U362" s="5"/>
      <c r="W362"/>
    </row>
    <row r="363" spans="2:23" ht="18" customHeight="1" x14ac:dyDescent="0.25">
      <c r="B363" s="309"/>
      <c r="C363" s="120"/>
      <c r="D363" s="121"/>
      <c r="E363" s="121"/>
      <c r="F363" s="92"/>
      <c r="G363" s="92"/>
      <c r="H363" s="122"/>
      <c r="I363" s="68" t="str">
        <f>IFERROR(MID(作者统计[[#This Row],[作者]],FIND("[",作者统计[[#This Row],[作者]],1)+1,FIND("]",作者统计[[#This Row],[作者]],1)-FIND("[",作者统计[[#This Row],[作者]],1)-1),"")</f>
        <v/>
      </c>
      <c r="J363" s="68" t="str">
        <f>IFERROR(MID(作者统计[[#This Row],[作者]],FIND("(",作者统计[[#This Row],[作者]],1)+1,FIND(")",作者统计[[#This Row],[作者]],1)-FIND("(",作者统计[[#This Row],[作者]],1)-1),"")</f>
        <v/>
      </c>
      <c r="L363" s="6"/>
      <c r="M363" s="5"/>
      <c r="U363" s="5"/>
      <c r="W363"/>
    </row>
    <row r="364" spans="2:23" ht="18" customHeight="1" x14ac:dyDescent="0.25">
      <c r="B364" s="256"/>
      <c r="C364" s="257"/>
      <c r="D364" s="258"/>
      <c r="E364" s="258"/>
      <c r="F364" s="259"/>
      <c r="G364" s="259"/>
      <c r="H364" s="260"/>
      <c r="I364" s="261" t="str">
        <f>IFERROR(MID(作者统计[[#This Row],[作者]],FIND("[",作者统计[[#This Row],[作者]],1)+1,FIND("]",作者统计[[#This Row],[作者]],1)-FIND("[",作者统计[[#This Row],[作者]],1)-1),"")</f>
        <v/>
      </c>
      <c r="J364" s="261" t="str">
        <f>IFERROR(MID(作者统计[[#This Row],[作者]],FIND("(",作者统计[[#This Row],[作者]],1)+1,FIND(")",作者统计[[#This Row],[作者]],1)-FIND("(",作者统计[[#This Row],[作者]],1)-1),"")</f>
        <v/>
      </c>
      <c r="L364" s="6"/>
      <c r="M364" s="5"/>
      <c r="U364" s="5"/>
      <c r="W364"/>
    </row>
    <row r="365" spans="2:23" ht="18" customHeight="1" x14ac:dyDescent="0.25">
      <c r="B365" s="309"/>
      <c r="C365" s="120"/>
      <c r="D365" s="121"/>
      <c r="E365" s="121"/>
      <c r="F365" s="92"/>
      <c r="G365" s="92"/>
      <c r="H365" s="122"/>
      <c r="I365" s="68" t="str">
        <f>IFERROR(MID(作者统计[[#This Row],[作者]],FIND("[",作者统计[[#This Row],[作者]],1)+1,FIND("]",作者统计[[#This Row],[作者]],1)-FIND("[",作者统计[[#This Row],[作者]],1)-1),"")</f>
        <v/>
      </c>
      <c r="J365" s="68" t="str">
        <f>IFERROR(MID(作者统计[[#This Row],[作者]],FIND("(",作者统计[[#This Row],[作者]],1)+1,FIND(")",作者统计[[#This Row],[作者]],1)-FIND("(",作者统计[[#This Row],[作者]],1)-1),"")</f>
        <v/>
      </c>
      <c r="L365" s="6"/>
      <c r="M365" s="5"/>
      <c r="U365" s="5"/>
      <c r="W365"/>
    </row>
    <row r="366" spans="2:23" ht="18" customHeight="1" x14ac:dyDescent="0.25">
      <c r="B366" s="309"/>
      <c r="C366" s="120"/>
      <c r="D366" s="121"/>
      <c r="E366" s="121"/>
      <c r="F366" s="92"/>
      <c r="G366" s="92"/>
      <c r="H366" s="122"/>
      <c r="I366" s="68" t="str">
        <f>IFERROR(MID(作者统计[[#This Row],[作者]],FIND("[",作者统计[[#This Row],[作者]],1)+1,FIND("]",作者统计[[#This Row],[作者]],1)-FIND("[",作者统计[[#This Row],[作者]],1)-1),"")</f>
        <v/>
      </c>
      <c r="J366" s="68" t="str">
        <f>IFERROR(MID(作者统计[[#This Row],[作者]],FIND("(",作者统计[[#This Row],[作者]],1)+1,FIND(")",作者统计[[#This Row],[作者]],1)-FIND("(",作者统计[[#This Row],[作者]],1)-1),"")</f>
        <v/>
      </c>
      <c r="L366" s="6"/>
      <c r="M366" s="5"/>
      <c r="U366" s="5"/>
      <c r="W366"/>
    </row>
    <row r="367" spans="2:23" ht="18" customHeight="1" x14ac:dyDescent="0.25">
      <c r="B367" s="309"/>
      <c r="C367" s="120"/>
      <c r="D367" s="121"/>
      <c r="E367" s="121"/>
      <c r="F367" s="92"/>
      <c r="G367" s="92"/>
      <c r="H367" s="122"/>
      <c r="I367" s="68" t="str">
        <f>IFERROR(MID(作者统计[[#This Row],[作者]],FIND("[",作者统计[[#This Row],[作者]],1)+1,FIND("]",作者统计[[#This Row],[作者]],1)-FIND("[",作者统计[[#This Row],[作者]],1)-1),"")</f>
        <v/>
      </c>
      <c r="J367" s="68" t="str">
        <f>IFERROR(MID(作者统计[[#This Row],[作者]],FIND("(",作者统计[[#This Row],[作者]],1)+1,FIND(")",作者统计[[#This Row],[作者]],1)-FIND("(",作者统计[[#This Row],[作者]],1)-1),"")</f>
        <v/>
      </c>
      <c r="L367" s="6"/>
      <c r="M367" s="5"/>
      <c r="U367" s="5"/>
      <c r="W367"/>
    </row>
    <row r="368" spans="2:23" ht="18" customHeight="1" x14ac:dyDescent="0.25">
      <c r="B368" s="309"/>
      <c r="C368" s="120"/>
      <c r="D368" s="121"/>
      <c r="E368" s="121"/>
      <c r="F368" s="92"/>
      <c r="G368" s="92"/>
      <c r="H368" s="122"/>
      <c r="I368" s="68" t="str">
        <f>IFERROR(MID(作者统计[[#This Row],[作者]],FIND("[",作者统计[[#This Row],[作者]],1)+1,FIND("]",作者统计[[#This Row],[作者]],1)-FIND("[",作者统计[[#This Row],[作者]],1)-1),"")</f>
        <v/>
      </c>
      <c r="J368" s="68" t="str">
        <f>IFERROR(MID(作者统计[[#This Row],[作者]],FIND("(",作者统计[[#This Row],[作者]],1)+1,FIND(")",作者统计[[#This Row],[作者]],1)-FIND("(",作者统计[[#This Row],[作者]],1)-1),"")</f>
        <v/>
      </c>
      <c r="L368" s="6"/>
      <c r="M368" s="5"/>
      <c r="U368" s="5"/>
      <c r="W368"/>
    </row>
    <row r="369" spans="2:23" ht="18" customHeight="1" x14ac:dyDescent="0.25">
      <c r="B369" s="309"/>
      <c r="C369" s="120"/>
      <c r="D369" s="121"/>
      <c r="E369" s="121"/>
      <c r="F369" s="92"/>
      <c r="G369" s="92"/>
      <c r="H369" s="122"/>
      <c r="I369" s="68" t="str">
        <f>IFERROR(MID(作者统计[[#This Row],[作者]],FIND("[",作者统计[[#This Row],[作者]],1)+1,FIND("]",作者统计[[#This Row],[作者]],1)-FIND("[",作者统计[[#This Row],[作者]],1)-1),"")</f>
        <v/>
      </c>
      <c r="J369" s="68" t="str">
        <f>IFERROR(MID(作者统计[[#This Row],[作者]],FIND("(",作者统计[[#This Row],[作者]],1)+1,FIND(")",作者统计[[#This Row],[作者]],1)-FIND("(",作者统计[[#This Row],[作者]],1)-1),"")</f>
        <v/>
      </c>
      <c r="L369" s="6"/>
      <c r="M369" s="5"/>
      <c r="U369" s="5"/>
      <c r="W369"/>
    </row>
    <row r="370" spans="2:23" ht="18" customHeight="1" x14ac:dyDescent="0.25">
      <c r="B370" s="85"/>
      <c r="C370" s="120"/>
      <c r="D370" s="121"/>
      <c r="E370" s="121"/>
      <c r="F370" s="92"/>
      <c r="G370" s="92"/>
      <c r="H370" s="122"/>
      <c r="I370" s="68" t="str">
        <f>IFERROR(MID(作者统计[[#This Row],[作者]],FIND("[",作者统计[[#This Row],[作者]],1)+1,FIND("]",作者统计[[#This Row],[作者]],1)-FIND("[",作者统计[[#This Row],[作者]],1)-1),"")</f>
        <v/>
      </c>
      <c r="J370" s="68" t="str">
        <f>IFERROR(MID(作者统计[[#This Row],[作者]],FIND("(",作者统计[[#This Row],[作者]],1)+1,FIND(")",作者统计[[#This Row],[作者]],1)-FIND("(",作者统计[[#This Row],[作者]],1)-1),"")</f>
        <v/>
      </c>
      <c r="L370" s="6"/>
      <c r="M370" s="5"/>
      <c r="U370" s="5"/>
      <c r="W370"/>
    </row>
    <row r="371" spans="2:23" ht="18" customHeight="1" x14ac:dyDescent="0.25">
      <c r="B371" s="309"/>
      <c r="C371" s="120"/>
      <c r="D371" s="121"/>
      <c r="E371" s="121"/>
      <c r="F371" s="92"/>
      <c r="G371" s="92"/>
      <c r="H371" s="122"/>
      <c r="I371" s="68" t="str">
        <f>IFERROR(MID(作者统计[[#This Row],[作者]],FIND("[",作者统计[[#This Row],[作者]],1)+1,FIND("]",作者统计[[#This Row],[作者]],1)-FIND("[",作者统计[[#This Row],[作者]],1)-1),"")</f>
        <v/>
      </c>
      <c r="J371" s="68" t="str">
        <f>IFERROR(MID(作者统计[[#This Row],[作者]],FIND("(",作者统计[[#This Row],[作者]],1)+1,FIND(")",作者统计[[#This Row],[作者]],1)-FIND("(",作者统计[[#This Row],[作者]],1)-1),"")</f>
        <v/>
      </c>
      <c r="L371" s="6"/>
      <c r="M371" s="5"/>
      <c r="U371" s="5"/>
      <c r="W371"/>
    </row>
    <row r="372" spans="2:23" ht="18" customHeight="1" x14ac:dyDescent="0.25">
      <c r="B372" s="309"/>
      <c r="C372" s="120"/>
      <c r="D372" s="121"/>
      <c r="E372" s="121"/>
      <c r="F372" s="92"/>
      <c r="G372" s="92"/>
      <c r="H372" s="122"/>
      <c r="I372" s="68" t="str">
        <f>IFERROR(MID(作者统计[[#This Row],[作者]],FIND("[",作者统计[[#This Row],[作者]],1)+1,FIND("]",作者统计[[#This Row],[作者]],1)-FIND("[",作者统计[[#This Row],[作者]],1)-1),"")</f>
        <v/>
      </c>
      <c r="J372" s="68" t="str">
        <f>IFERROR(MID(作者统计[[#This Row],[作者]],FIND("(",作者统计[[#This Row],[作者]],1)+1,FIND(")",作者统计[[#This Row],[作者]],1)-FIND("(",作者统计[[#This Row],[作者]],1)-1),"")</f>
        <v/>
      </c>
      <c r="L372" s="6"/>
      <c r="M372" s="5"/>
      <c r="U372" s="5"/>
      <c r="W372"/>
    </row>
    <row r="373" spans="2:23" ht="18" customHeight="1" x14ac:dyDescent="0.25">
      <c r="B373" s="309"/>
      <c r="C373" s="120"/>
      <c r="D373" s="121"/>
      <c r="E373" s="121"/>
      <c r="F373" s="92"/>
      <c r="G373" s="92"/>
      <c r="H373" s="122"/>
      <c r="I373" s="68" t="str">
        <f>IFERROR(MID(作者统计[[#This Row],[作者]],FIND("[",作者统计[[#This Row],[作者]],1)+1,FIND("]",作者统计[[#This Row],[作者]],1)-FIND("[",作者统计[[#This Row],[作者]],1)-1),"")</f>
        <v/>
      </c>
      <c r="J373" s="68" t="str">
        <f>IFERROR(MID(作者统计[[#This Row],[作者]],FIND("(",作者统计[[#This Row],[作者]],1)+1,FIND(")",作者统计[[#This Row],[作者]],1)-FIND("(",作者统计[[#This Row],[作者]],1)-1),"")</f>
        <v/>
      </c>
      <c r="L373" s="6"/>
      <c r="M373" s="5"/>
      <c r="U373" s="5"/>
      <c r="W373"/>
    </row>
    <row r="374" spans="2:23" ht="18" customHeight="1" x14ac:dyDescent="0.25">
      <c r="B374" s="309"/>
      <c r="C374" s="120"/>
      <c r="D374" s="121"/>
      <c r="E374" s="121"/>
      <c r="F374" s="92"/>
      <c r="G374" s="92"/>
      <c r="H374" s="122"/>
      <c r="I374" s="68" t="str">
        <f>IFERROR(MID(作者统计[[#This Row],[作者]],FIND("[",作者统计[[#This Row],[作者]],1)+1,FIND("]",作者统计[[#This Row],[作者]],1)-FIND("[",作者统计[[#This Row],[作者]],1)-1),"")</f>
        <v/>
      </c>
      <c r="J374" s="68" t="str">
        <f>IFERROR(MID(作者统计[[#This Row],[作者]],FIND("(",作者统计[[#This Row],[作者]],1)+1,FIND(")",作者统计[[#This Row],[作者]],1)-FIND("(",作者统计[[#This Row],[作者]],1)-1),"")</f>
        <v/>
      </c>
      <c r="L374" s="6"/>
      <c r="M374" s="5"/>
      <c r="U374" s="5"/>
      <c r="W374"/>
    </row>
    <row r="375" spans="2:23" ht="18" customHeight="1" x14ac:dyDescent="0.25">
      <c r="B375" s="309"/>
      <c r="C375" s="120"/>
      <c r="D375" s="121"/>
      <c r="E375" s="121"/>
      <c r="F375" s="92"/>
      <c r="G375" s="92"/>
      <c r="H375" s="122"/>
      <c r="I375" s="68" t="str">
        <f>IFERROR(MID(作者统计[[#This Row],[作者]],FIND("[",作者统计[[#This Row],[作者]],1)+1,FIND("]",作者统计[[#This Row],[作者]],1)-FIND("[",作者统计[[#This Row],[作者]],1)-1),"")</f>
        <v/>
      </c>
      <c r="J375" s="68" t="str">
        <f>IFERROR(MID(作者统计[[#This Row],[作者]],FIND("(",作者统计[[#This Row],[作者]],1)+1,FIND(")",作者统计[[#This Row],[作者]],1)-FIND("(",作者统计[[#This Row],[作者]],1)-1),"")</f>
        <v/>
      </c>
      <c r="L375" s="6"/>
      <c r="M375" s="5"/>
      <c r="U375" s="5"/>
      <c r="W375"/>
    </row>
    <row r="376" spans="2:23" ht="18" customHeight="1" x14ac:dyDescent="0.25">
      <c r="B376" s="309"/>
      <c r="C376" s="120"/>
      <c r="D376" s="121"/>
      <c r="E376" s="121"/>
      <c r="F376" s="92"/>
      <c r="G376" s="92"/>
      <c r="H376" s="122"/>
      <c r="I376" s="68" t="str">
        <f>IFERROR(MID(作者统计[[#This Row],[作者]],FIND("[",作者统计[[#This Row],[作者]],1)+1,FIND("]",作者统计[[#This Row],[作者]],1)-FIND("[",作者统计[[#This Row],[作者]],1)-1),"")</f>
        <v/>
      </c>
      <c r="J376" s="68" t="str">
        <f>IFERROR(MID(作者统计[[#This Row],[作者]],FIND("(",作者统计[[#This Row],[作者]],1)+1,FIND(")",作者统计[[#This Row],[作者]],1)-FIND("(",作者统计[[#This Row],[作者]],1)-1),"")</f>
        <v/>
      </c>
      <c r="L376" s="6"/>
      <c r="M376" s="5"/>
      <c r="U376" s="5"/>
      <c r="W376"/>
    </row>
    <row r="377" spans="2:23" ht="18" customHeight="1" x14ac:dyDescent="0.25">
      <c r="B377" s="309"/>
      <c r="C377" s="120"/>
      <c r="D377" s="121"/>
      <c r="E377" s="121"/>
      <c r="F377" s="92"/>
      <c r="G377" s="92"/>
      <c r="H377" s="122"/>
      <c r="I377" s="68" t="str">
        <f>IFERROR(MID(作者统计[[#This Row],[作者]],FIND("[",作者统计[[#This Row],[作者]],1)+1,FIND("]",作者统计[[#This Row],[作者]],1)-FIND("[",作者统计[[#This Row],[作者]],1)-1),"")</f>
        <v/>
      </c>
      <c r="J377" s="68" t="str">
        <f>IFERROR(MID(作者统计[[#This Row],[作者]],FIND("(",作者统计[[#This Row],[作者]],1)+1,FIND(")",作者统计[[#This Row],[作者]],1)-FIND("(",作者统计[[#This Row],[作者]],1)-1),"")</f>
        <v/>
      </c>
      <c r="L377" s="6"/>
      <c r="M377" s="5"/>
      <c r="U377" s="5"/>
      <c r="W377"/>
    </row>
    <row r="378" spans="2:23" ht="18" customHeight="1" x14ac:dyDescent="0.25">
      <c r="B378" s="256"/>
      <c r="C378" s="257"/>
      <c r="D378" s="258"/>
      <c r="E378" s="258"/>
      <c r="F378" s="259"/>
      <c r="G378" s="259"/>
      <c r="H378" s="260"/>
      <c r="I378" s="261" t="str">
        <f>IFERROR(MID(作者统计[[#This Row],[作者]],FIND("[",作者统计[[#This Row],[作者]],1)+1,FIND("]",作者统计[[#This Row],[作者]],1)-FIND("[",作者统计[[#This Row],[作者]],1)-1),"")</f>
        <v/>
      </c>
      <c r="J378" s="261" t="str">
        <f>IFERROR(MID(作者统计[[#This Row],[作者]],FIND("(",作者统计[[#This Row],[作者]],1)+1,FIND(")",作者统计[[#This Row],[作者]],1)-FIND("(",作者统计[[#This Row],[作者]],1)-1),"")</f>
        <v/>
      </c>
      <c r="L378" s="6"/>
      <c r="M378" s="5"/>
      <c r="U378" s="5"/>
      <c r="W378"/>
    </row>
    <row r="379" spans="2:23" ht="18" customHeight="1" x14ac:dyDescent="0.25">
      <c r="B379" s="256"/>
      <c r="C379" s="257"/>
      <c r="D379" s="258"/>
      <c r="E379" s="258"/>
      <c r="F379" s="259"/>
      <c r="G379" s="259"/>
      <c r="H379" s="260"/>
      <c r="I379" s="261" t="str">
        <f>IFERROR(MID(作者统计[[#This Row],[作者]],FIND("[",作者统计[[#This Row],[作者]],1)+1,FIND("]",作者统计[[#This Row],[作者]],1)-FIND("[",作者统计[[#This Row],[作者]],1)-1),"")</f>
        <v/>
      </c>
      <c r="J379" s="261" t="str">
        <f>IFERROR(MID(作者统计[[#This Row],[作者]],FIND("(",作者统计[[#This Row],[作者]],1)+1,FIND(")",作者统计[[#This Row],[作者]],1)-FIND("(",作者统计[[#This Row],[作者]],1)-1),"")</f>
        <v/>
      </c>
      <c r="L379" s="6"/>
      <c r="M379" s="5"/>
      <c r="U379" s="5"/>
      <c r="W379"/>
    </row>
    <row r="380" spans="2:23" ht="18" customHeight="1" x14ac:dyDescent="0.25">
      <c r="B380" s="256"/>
      <c r="C380" s="257"/>
      <c r="D380" s="258"/>
      <c r="E380" s="258"/>
      <c r="F380" s="259"/>
      <c r="G380" s="259"/>
      <c r="H380" s="260"/>
      <c r="I380" s="261" t="str">
        <f>IFERROR(MID(作者统计[[#This Row],[作者]],FIND("[",作者统计[[#This Row],[作者]],1)+1,FIND("]",作者统计[[#This Row],[作者]],1)-FIND("[",作者统计[[#This Row],[作者]],1)-1),"")</f>
        <v/>
      </c>
      <c r="J380" s="261" t="str">
        <f>IFERROR(MID(作者统计[[#This Row],[作者]],FIND("(",作者统计[[#This Row],[作者]],1)+1,FIND(")",作者统计[[#This Row],[作者]],1)-FIND("(",作者统计[[#This Row],[作者]],1)-1),"")</f>
        <v/>
      </c>
      <c r="L380" s="6"/>
      <c r="M380" s="5"/>
      <c r="U380" s="5"/>
      <c r="W380"/>
    </row>
    <row r="381" spans="2:23" ht="18" customHeight="1" x14ac:dyDescent="0.25">
      <c r="B381" s="256"/>
      <c r="C381" s="257"/>
      <c r="D381" s="258"/>
      <c r="E381" s="258"/>
      <c r="F381" s="259"/>
      <c r="G381" s="259"/>
      <c r="H381" s="260"/>
      <c r="I381" s="261" t="str">
        <f>IFERROR(MID(作者统计[[#This Row],[作者]],FIND("[",作者统计[[#This Row],[作者]],1)+1,FIND("]",作者统计[[#This Row],[作者]],1)-FIND("[",作者统计[[#This Row],[作者]],1)-1),"")</f>
        <v/>
      </c>
      <c r="J381" s="261" t="str">
        <f>IFERROR(MID(作者统计[[#This Row],[作者]],FIND("(",作者统计[[#This Row],[作者]],1)+1,FIND(")",作者统计[[#This Row],[作者]],1)-FIND("(",作者统计[[#This Row],[作者]],1)-1),"")</f>
        <v/>
      </c>
      <c r="L381" s="6"/>
      <c r="M381" s="5"/>
      <c r="U381" s="5"/>
      <c r="W381"/>
    </row>
    <row r="382" spans="2:23" ht="18" customHeight="1" x14ac:dyDescent="0.25">
      <c r="B382" s="256"/>
      <c r="C382" s="257"/>
      <c r="D382" s="258"/>
      <c r="E382" s="258"/>
      <c r="F382" s="259"/>
      <c r="G382" s="259"/>
      <c r="H382" s="260"/>
      <c r="I382" s="261" t="str">
        <f>IFERROR(MID(作者统计[[#This Row],[作者]],FIND("[",作者统计[[#This Row],[作者]],1)+1,FIND("]",作者统计[[#This Row],[作者]],1)-FIND("[",作者统计[[#This Row],[作者]],1)-1),"")</f>
        <v/>
      </c>
      <c r="J382" s="261" t="str">
        <f>IFERROR(MID(作者统计[[#This Row],[作者]],FIND("(",作者统计[[#This Row],[作者]],1)+1,FIND(")",作者统计[[#This Row],[作者]],1)-FIND("(",作者统计[[#This Row],[作者]],1)-1),"")</f>
        <v/>
      </c>
      <c r="L382" s="6"/>
      <c r="M382" s="5"/>
      <c r="U382" s="5"/>
      <c r="W382"/>
    </row>
    <row r="383" spans="2:23" ht="18" customHeight="1" x14ac:dyDescent="0.25">
      <c r="B383" s="256"/>
      <c r="C383" s="257"/>
      <c r="D383" s="258"/>
      <c r="E383" s="258"/>
      <c r="F383" s="259"/>
      <c r="G383" s="259"/>
      <c r="H383" s="260"/>
      <c r="I383" s="261" t="str">
        <f>IFERROR(MID(作者统计[[#This Row],[作者]],FIND("[",作者统计[[#This Row],[作者]],1)+1,FIND("]",作者统计[[#This Row],[作者]],1)-FIND("[",作者统计[[#This Row],[作者]],1)-1),"")</f>
        <v/>
      </c>
      <c r="J383" s="261" t="str">
        <f>IFERROR(MID(作者统计[[#This Row],[作者]],FIND("(",作者统计[[#This Row],[作者]],1)+1,FIND(")",作者统计[[#This Row],[作者]],1)-FIND("(",作者统计[[#This Row],[作者]],1)-1),"")</f>
        <v/>
      </c>
      <c r="L383" s="6"/>
      <c r="M383" s="5"/>
      <c r="U383" s="5"/>
      <c r="W383"/>
    </row>
    <row r="384" spans="2:23" ht="18" customHeight="1" x14ac:dyDescent="0.25">
      <c r="B384" s="309"/>
      <c r="C384" s="120"/>
      <c r="D384" s="121"/>
      <c r="E384" s="121"/>
      <c r="F384" s="92"/>
      <c r="G384" s="92"/>
      <c r="H384" s="122"/>
      <c r="I384" s="68" t="str">
        <f>IFERROR(MID(作者统计[[#This Row],[作者]],FIND("[",作者统计[[#This Row],[作者]],1)+1,FIND("]",作者统计[[#This Row],[作者]],1)-FIND("[",作者统计[[#This Row],[作者]],1)-1),"")</f>
        <v/>
      </c>
      <c r="J384" s="68" t="str">
        <f>IFERROR(MID(作者统计[[#This Row],[作者]],FIND("(",作者统计[[#This Row],[作者]],1)+1,FIND(")",作者统计[[#This Row],[作者]],1)-FIND("(",作者统计[[#This Row],[作者]],1)-1),"")</f>
        <v/>
      </c>
      <c r="L384" s="6"/>
      <c r="M384" s="5"/>
      <c r="U384" s="5"/>
      <c r="W384"/>
    </row>
    <row r="385" spans="2:23" ht="18" customHeight="1" x14ac:dyDescent="0.25">
      <c r="B385" s="85"/>
      <c r="C385" s="120"/>
      <c r="D385" s="121"/>
      <c r="E385" s="121"/>
      <c r="F385" s="92"/>
      <c r="G385" s="92"/>
      <c r="H385" s="122"/>
      <c r="I385" s="68" t="str">
        <f>IFERROR(MID(作者统计[[#This Row],[作者]],FIND("[",作者统计[[#This Row],[作者]],1)+1,FIND("]",作者统计[[#This Row],[作者]],1)-FIND("[",作者统计[[#This Row],[作者]],1)-1),"")</f>
        <v/>
      </c>
      <c r="J385" s="68" t="str">
        <f>IFERROR(MID(作者统计[[#This Row],[作者]],FIND("(",作者统计[[#This Row],[作者]],1)+1,FIND(")",作者统计[[#This Row],[作者]],1)-FIND("(",作者统计[[#This Row],[作者]],1)-1),"")</f>
        <v/>
      </c>
      <c r="L385" s="6"/>
      <c r="M385" s="5"/>
      <c r="U385" s="5"/>
      <c r="W385"/>
    </row>
    <row r="386" spans="2:23" ht="18" customHeight="1" x14ac:dyDescent="0.25">
      <c r="B386" s="309"/>
      <c r="C386" s="120"/>
      <c r="D386" s="121"/>
      <c r="E386" s="121"/>
      <c r="F386" s="92"/>
      <c r="G386" s="92"/>
      <c r="H386" s="122"/>
      <c r="I386" s="68" t="str">
        <f>IFERROR(MID(作者统计[[#This Row],[作者]],FIND("[",作者统计[[#This Row],[作者]],1)+1,FIND("]",作者统计[[#This Row],[作者]],1)-FIND("[",作者统计[[#This Row],[作者]],1)-1),"")</f>
        <v/>
      </c>
      <c r="J386" s="68" t="str">
        <f>IFERROR(MID(作者统计[[#This Row],[作者]],FIND("(",作者统计[[#This Row],[作者]],1)+1,FIND(")",作者统计[[#This Row],[作者]],1)-FIND("(",作者统计[[#This Row],[作者]],1)-1),"")</f>
        <v/>
      </c>
      <c r="L386" s="6"/>
      <c r="M386" s="5"/>
      <c r="U386" s="5"/>
      <c r="W386"/>
    </row>
    <row r="387" spans="2:23" ht="18" customHeight="1" x14ac:dyDescent="0.25">
      <c r="B387" s="256"/>
      <c r="C387" s="257"/>
      <c r="D387" s="258"/>
      <c r="E387" s="258"/>
      <c r="F387" s="259"/>
      <c r="G387" s="259"/>
      <c r="H387" s="260"/>
      <c r="I387" s="261" t="str">
        <f>IFERROR(MID(作者统计[[#This Row],[作者]],FIND("[",作者统计[[#This Row],[作者]],1)+1,FIND("]",作者统计[[#This Row],[作者]],1)-FIND("[",作者统计[[#This Row],[作者]],1)-1),"")</f>
        <v/>
      </c>
      <c r="J387" s="261" t="str">
        <f>IFERROR(MID(作者统计[[#This Row],[作者]],FIND("(",作者统计[[#This Row],[作者]],1)+1,FIND(")",作者统计[[#This Row],[作者]],1)-FIND("(",作者统计[[#This Row],[作者]],1)-1),"")</f>
        <v/>
      </c>
      <c r="L387" s="6"/>
      <c r="M387" s="5"/>
      <c r="U387" s="5"/>
      <c r="W387"/>
    </row>
    <row r="388" spans="2:23" ht="18" customHeight="1" x14ac:dyDescent="0.25">
      <c r="B388" s="309"/>
      <c r="C388" s="120"/>
      <c r="D388" s="121"/>
      <c r="E388" s="121"/>
      <c r="F388" s="92"/>
      <c r="G388" s="92"/>
      <c r="H388" s="122"/>
      <c r="I388" s="68" t="str">
        <f>IFERROR(MID(作者统计[[#This Row],[作者]],FIND("[",作者统计[[#This Row],[作者]],1)+1,FIND("]",作者统计[[#This Row],[作者]],1)-FIND("[",作者统计[[#This Row],[作者]],1)-1),"")</f>
        <v/>
      </c>
      <c r="J388" s="68" t="str">
        <f>IFERROR(MID(作者统计[[#This Row],[作者]],FIND("(",作者统计[[#This Row],[作者]],1)+1,FIND(")",作者统计[[#This Row],[作者]],1)-FIND("(",作者统计[[#This Row],[作者]],1)-1),"")</f>
        <v/>
      </c>
      <c r="L388" s="6"/>
      <c r="M388" s="5"/>
      <c r="U388" s="5"/>
      <c r="W388"/>
    </row>
    <row r="389" spans="2:23" ht="18" customHeight="1" x14ac:dyDescent="0.25">
      <c r="B389" s="256"/>
      <c r="C389" s="257"/>
      <c r="D389" s="258"/>
      <c r="E389" s="258"/>
      <c r="F389" s="259"/>
      <c r="G389" s="259"/>
      <c r="H389" s="260"/>
      <c r="I389" s="261" t="str">
        <f>IFERROR(MID(作者统计[[#This Row],[作者]],FIND("[",作者统计[[#This Row],[作者]],1)+1,FIND("]",作者统计[[#This Row],[作者]],1)-FIND("[",作者统计[[#This Row],[作者]],1)-1),"")</f>
        <v/>
      </c>
      <c r="J389" s="261" t="str">
        <f>IFERROR(MID(作者统计[[#This Row],[作者]],FIND("(",作者统计[[#This Row],[作者]],1)+1,FIND(")",作者统计[[#This Row],[作者]],1)-FIND("(",作者统计[[#This Row],[作者]],1)-1),"")</f>
        <v/>
      </c>
      <c r="L389" s="6"/>
      <c r="M389" s="5"/>
      <c r="U389" s="5"/>
      <c r="W389"/>
    </row>
    <row r="390" spans="2:23" ht="18" customHeight="1" x14ac:dyDescent="0.25">
      <c r="B390" s="85"/>
      <c r="C390" s="120"/>
      <c r="D390" s="121"/>
      <c r="E390" s="121"/>
      <c r="F390" s="92"/>
      <c r="G390" s="92"/>
      <c r="H390" s="122"/>
      <c r="I390" s="68" t="str">
        <f>IFERROR(MID(作者统计[[#This Row],[作者]],FIND("[",作者统计[[#This Row],[作者]],1)+1,FIND("]",作者统计[[#This Row],[作者]],1)-FIND("[",作者统计[[#This Row],[作者]],1)-1),"")</f>
        <v/>
      </c>
      <c r="J390" s="68" t="str">
        <f>IFERROR(MID(作者统计[[#This Row],[作者]],FIND("(",作者统计[[#This Row],[作者]],1)+1,FIND(")",作者统计[[#This Row],[作者]],1)-FIND("(",作者统计[[#This Row],[作者]],1)-1),"")</f>
        <v/>
      </c>
      <c r="L390" s="6"/>
      <c r="M390" s="5"/>
      <c r="U390" s="5"/>
      <c r="W390"/>
    </row>
    <row r="391" spans="2:23" ht="18" customHeight="1" x14ac:dyDescent="0.25">
      <c r="B391" s="256"/>
      <c r="C391" s="257"/>
      <c r="D391" s="258"/>
      <c r="E391" s="258"/>
      <c r="F391" s="259"/>
      <c r="G391" s="259"/>
      <c r="H391" s="260"/>
      <c r="I391" s="261" t="str">
        <f>IFERROR(MID(作者统计[[#This Row],[作者]],FIND("[",作者统计[[#This Row],[作者]],1)+1,FIND("]",作者统计[[#This Row],[作者]],1)-FIND("[",作者统计[[#This Row],[作者]],1)-1),"")</f>
        <v/>
      </c>
      <c r="J391" s="261" t="str">
        <f>IFERROR(MID(作者统计[[#This Row],[作者]],FIND("(",作者统计[[#This Row],[作者]],1)+1,FIND(")",作者统计[[#This Row],[作者]],1)-FIND("(",作者统计[[#This Row],[作者]],1)-1),"")</f>
        <v/>
      </c>
      <c r="L391" s="6"/>
      <c r="M391" s="5"/>
      <c r="U391" s="5"/>
      <c r="W391"/>
    </row>
    <row r="392" spans="2:23" ht="18" customHeight="1" x14ac:dyDescent="0.25">
      <c r="B392" s="256"/>
      <c r="C392" s="257"/>
      <c r="D392" s="258"/>
      <c r="E392" s="258"/>
      <c r="F392" s="259"/>
      <c r="G392" s="259"/>
      <c r="H392" s="260"/>
      <c r="I392" s="261" t="str">
        <f>IFERROR(MID(作者统计[[#This Row],[作者]],FIND("[",作者统计[[#This Row],[作者]],1)+1,FIND("]",作者统计[[#This Row],[作者]],1)-FIND("[",作者统计[[#This Row],[作者]],1)-1),"")</f>
        <v/>
      </c>
      <c r="J392" s="261" t="str">
        <f>IFERROR(MID(作者统计[[#This Row],[作者]],FIND("(",作者统计[[#This Row],[作者]],1)+1,FIND(")",作者统计[[#This Row],[作者]],1)-FIND("(",作者统计[[#This Row],[作者]],1)-1),"")</f>
        <v/>
      </c>
      <c r="L392" s="6"/>
      <c r="M392" s="5"/>
      <c r="U392" s="5"/>
      <c r="W392"/>
    </row>
    <row r="393" spans="2:23" ht="18" customHeight="1" x14ac:dyDescent="0.25">
      <c r="B393" s="85"/>
      <c r="C393" s="120"/>
      <c r="D393" s="121"/>
      <c r="E393" s="121"/>
      <c r="F393" s="92"/>
      <c r="G393" s="92"/>
      <c r="H393" s="122"/>
      <c r="I393" s="68" t="str">
        <f>IFERROR(MID(作者统计[[#This Row],[作者]],FIND("[",作者统计[[#This Row],[作者]],1)+1,FIND("]",作者统计[[#This Row],[作者]],1)-FIND("[",作者统计[[#This Row],[作者]],1)-1),"")</f>
        <v/>
      </c>
      <c r="J393" s="68" t="str">
        <f>IFERROR(MID(作者统计[[#This Row],[作者]],FIND("(",作者统计[[#This Row],[作者]],1)+1,FIND(")",作者统计[[#This Row],[作者]],1)-FIND("(",作者统计[[#This Row],[作者]],1)-1),"")</f>
        <v/>
      </c>
      <c r="L393" s="6"/>
      <c r="M393" s="5"/>
      <c r="U393" s="5"/>
      <c r="W393"/>
    </row>
    <row r="394" spans="2:23" ht="18" customHeight="1" x14ac:dyDescent="0.25">
      <c r="B394" s="309"/>
      <c r="C394" s="120"/>
      <c r="D394" s="121"/>
      <c r="E394" s="121"/>
      <c r="F394" s="92"/>
      <c r="G394" s="92"/>
      <c r="H394" s="122"/>
      <c r="I394" s="68" t="str">
        <f>IFERROR(MID(作者统计[[#This Row],[作者]],FIND("[",作者统计[[#This Row],[作者]],1)+1,FIND("]",作者统计[[#This Row],[作者]],1)-FIND("[",作者统计[[#This Row],[作者]],1)-1),"")</f>
        <v/>
      </c>
      <c r="J394" s="68" t="str">
        <f>IFERROR(MID(作者统计[[#This Row],[作者]],FIND("(",作者统计[[#This Row],[作者]],1)+1,FIND(")",作者统计[[#This Row],[作者]],1)-FIND("(",作者统计[[#This Row],[作者]],1)-1),"")</f>
        <v/>
      </c>
      <c r="L394" s="6"/>
      <c r="M394" s="5"/>
      <c r="U394" s="5"/>
      <c r="W394"/>
    </row>
    <row r="395" spans="2:23" ht="18" customHeight="1" x14ac:dyDescent="0.25">
      <c r="B395" s="85"/>
      <c r="C395" s="120"/>
      <c r="D395" s="121"/>
      <c r="E395" s="121"/>
      <c r="F395" s="92"/>
      <c r="G395" s="92"/>
      <c r="H395" s="122"/>
      <c r="I395" s="68" t="str">
        <f>IFERROR(MID(作者统计[[#This Row],[作者]],FIND("[",作者统计[[#This Row],[作者]],1)+1,FIND("]",作者统计[[#This Row],[作者]],1)-FIND("[",作者统计[[#This Row],[作者]],1)-1),"")</f>
        <v/>
      </c>
      <c r="J395" s="68" t="str">
        <f>IFERROR(MID(作者统计[[#This Row],[作者]],FIND("(",作者统计[[#This Row],[作者]],1)+1,FIND(")",作者统计[[#This Row],[作者]],1)-FIND("(",作者统计[[#This Row],[作者]],1)-1),"")</f>
        <v/>
      </c>
      <c r="L395" s="6"/>
      <c r="M395" s="5"/>
      <c r="U395" s="5"/>
      <c r="W395"/>
    </row>
    <row r="396" spans="2:23" ht="18" customHeight="1" x14ac:dyDescent="0.25">
      <c r="B396" s="309"/>
      <c r="C396" s="120"/>
      <c r="D396" s="121"/>
      <c r="E396" s="121"/>
      <c r="F396" s="92"/>
      <c r="G396" s="92"/>
      <c r="H396" s="122"/>
      <c r="I396" s="68" t="str">
        <f>IFERROR(MID(作者统计[[#This Row],[作者]],FIND("[",作者统计[[#This Row],[作者]],1)+1,FIND("]",作者统计[[#This Row],[作者]],1)-FIND("[",作者统计[[#This Row],[作者]],1)-1),"")</f>
        <v/>
      </c>
      <c r="J396" s="68" t="str">
        <f>IFERROR(MID(作者统计[[#This Row],[作者]],FIND("(",作者统计[[#This Row],[作者]],1)+1,FIND(")",作者统计[[#This Row],[作者]],1)-FIND("(",作者统计[[#This Row],[作者]],1)-1),"")</f>
        <v/>
      </c>
      <c r="L396" s="6"/>
      <c r="M396" s="5"/>
      <c r="U396" s="5"/>
      <c r="W396"/>
    </row>
    <row r="397" spans="2:23" ht="18" customHeight="1" x14ac:dyDescent="0.25">
      <c r="B397" s="309"/>
      <c r="C397" s="120"/>
      <c r="D397" s="121"/>
      <c r="E397" s="121"/>
      <c r="F397" s="92"/>
      <c r="G397" s="92"/>
      <c r="H397" s="122"/>
      <c r="I397" s="68" t="str">
        <f>IFERROR(MID(作者统计[[#This Row],[作者]],FIND("[",作者统计[[#This Row],[作者]],1)+1,FIND("]",作者统计[[#This Row],[作者]],1)-FIND("[",作者统计[[#This Row],[作者]],1)-1),"")</f>
        <v/>
      </c>
      <c r="J397" s="68" t="str">
        <f>IFERROR(MID(作者统计[[#This Row],[作者]],FIND("(",作者统计[[#This Row],[作者]],1)+1,FIND(")",作者统计[[#This Row],[作者]],1)-FIND("(",作者统计[[#This Row],[作者]],1)-1),"")</f>
        <v/>
      </c>
      <c r="L397" s="6"/>
      <c r="M397" s="5"/>
      <c r="U397" s="5"/>
      <c r="W397"/>
    </row>
    <row r="398" spans="2:23" ht="18" customHeight="1" x14ac:dyDescent="0.25">
      <c r="B398" s="85"/>
      <c r="C398" s="120"/>
      <c r="D398" s="121"/>
      <c r="E398" s="121"/>
      <c r="F398" s="92"/>
      <c r="G398" s="92"/>
      <c r="H398" s="122"/>
      <c r="I398" s="68" t="str">
        <f>IFERROR(MID(作者统计[[#This Row],[作者]],FIND("[",作者统计[[#This Row],[作者]],1)+1,FIND("]",作者统计[[#This Row],[作者]],1)-FIND("[",作者统计[[#This Row],[作者]],1)-1),"")</f>
        <v/>
      </c>
      <c r="J398" s="68" t="str">
        <f>IFERROR(MID(作者统计[[#This Row],[作者]],FIND("(",作者统计[[#This Row],[作者]],1)+1,FIND(")",作者统计[[#This Row],[作者]],1)-FIND("(",作者统计[[#This Row],[作者]],1)-1),"")</f>
        <v/>
      </c>
      <c r="L398" s="6"/>
      <c r="M398" s="5"/>
      <c r="U398" s="5"/>
      <c r="W398"/>
    </row>
    <row r="399" spans="2:23" ht="18" customHeight="1" x14ac:dyDescent="0.25">
      <c r="B399" s="85"/>
      <c r="C399" s="120"/>
      <c r="D399" s="121"/>
      <c r="E399" s="121"/>
      <c r="F399" s="92"/>
      <c r="G399" s="92"/>
      <c r="H399" s="122"/>
      <c r="I399" s="68" t="str">
        <f>IFERROR(MID(作者统计[[#This Row],[作者]],FIND("[",作者统计[[#This Row],[作者]],1)+1,FIND("]",作者统计[[#This Row],[作者]],1)-FIND("[",作者统计[[#This Row],[作者]],1)-1),"")</f>
        <v/>
      </c>
      <c r="J399" s="68" t="str">
        <f>IFERROR(MID(作者统计[[#This Row],[作者]],FIND("(",作者统计[[#This Row],[作者]],1)+1,FIND(")",作者统计[[#This Row],[作者]],1)-FIND("(",作者统计[[#This Row],[作者]],1)-1),"")</f>
        <v/>
      </c>
      <c r="L399" s="6"/>
      <c r="M399" s="5"/>
      <c r="U399" s="5"/>
      <c r="W399"/>
    </row>
    <row r="400" spans="2:23" ht="18" customHeight="1" x14ac:dyDescent="0.25">
      <c r="B400" s="309"/>
      <c r="C400" s="120"/>
      <c r="D400" s="121"/>
      <c r="E400" s="121"/>
      <c r="F400" s="92"/>
      <c r="G400" s="92"/>
      <c r="H400" s="122"/>
      <c r="I400" s="68" t="str">
        <f>IFERROR(MID(作者统计[[#This Row],[作者]],FIND("[",作者统计[[#This Row],[作者]],1)+1,FIND("]",作者统计[[#This Row],[作者]],1)-FIND("[",作者统计[[#This Row],[作者]],1)-1),"")</f>
        <v/>
      </c>
      <c r="J400" s="68" t="str">
        <f>IFERROR(MID(作者统计[[#This Row],[作者]],FIND("(",作者统计[[#This Row],[作者]],1)+1,FIND(")",作者统计[[#This Row],[作者]],1)-FIND("(",作者统计[[#This Row],[作者]],1)-1),"")</f>
        <v/>
      </c>
      <c r="L400" s="6"/>
      <c r="M400" s="5"/>
      <c r="U400" s="5"/>
      <c r="W400"/>
    </row>
    <row r="401" spans="2:23" ht="18" customHeight="1" x14ac:dyDescent="0.25">
      <c r="B401" s="85"/>
      <c r="C401" s="120"/>
      <c r="D401" s="121"/>
      <c r="E401" s="121"/>
      <c r="F401" s="92"/>
      <c r="G401" s="92"/>
      <c r="H401" s="122"/>
      <c r="I401" s="68" t="str">
        <f>IFERROR(MID(作者统计[[#This Row],[作者]],FIND("[",作者统计[[#This Row],[作者]],1)+1,FIND("]",作者统计[[#This Row],[作者]],1)-FIND("[",作者统计[[#This Row],[作者]],1)-1),"")</f>
        <v/>
      </c>
      <c r="J401" s="68" t="str">
        <f>IFERROR(MID(作者统计[[#This Row],[作者]],FIND("(",作者统计[[#This Row],[作者]],1)+1,FIND(")",作者统计[[#This Row],[作者]],1)-FIND("(",作者统计[[#This Row],[作者]],1)-1),"")</f>
        <v/>
      </c>
      <c r="L401" s="6"/>
      <c r="M401" s="5"/>
      <c r="U401" s="5"/>
      <c r="W401"/>
    </row>
    <row r="402" spans="2:23" ht="18" customHeight="1" x14ac:dyDescent="0.25">
      <c r="B402" s="309"/>
      <c r="C402" s="120"/>
      <c r="D402" s="121"/>
      <c r="E402" s="121"/>
      <c r="F402" s="92"/>
      <c r="G402" s="92"/>
      <c r="H402" s="122"/>
      <c r="I402" s="68" t="str">
        <f>IFERROR(MID(作者统计[[#This Row],[作者]],FIND("[",作者统计[[#This Row],[作者]],1)+1,FIND("]",作者统计[[#This Row],[作者]],1)-FIND("[",作者统计[[#This Row],[作者]],1)-1),"")</f>
        <v/>
      </c>
      <c r="J402" s="68" t="str">
        <f>IFERROR(MID(作者统计[[#This Row],[作者]],FIND("(",作者统计[[#This Row],[作者]],1)+1,FIND(")",作者统计[[#This Row],[作者]],1)-FIND("(",作者统计[[#This Row],[作者]],1)-1),"")</f>
        <v/>
      </c>
      <c r="L402" s="6"/>
      <c r="M402" s="5"/>
      <c r="U402" s="5"/>
      <c r="W402"/>
    </row>
    <row r="403" spans="2:23" ht="18" customHeight="1" x14ac:dyDescent="0.25">
      <c r="B403" s="256"/>
      <c r="C403" s="257"/>
      <c r="D403" s="258"/>
      <c r="E403" s="258"/>
      <c r="F403" s="259"/>
      <c r="G403" s="259"/>
      <c r="H403" s="260"/>
      <c r="I403" s="261" t="str">
        <f>IFERROR(MID(作者统计[[#This Row],[作者]],FIND("[",作者统计[[#This Row],[作者]],1)+1,FIND("]",作者统计[[#This Row],[作者]],1)-FIND("[",作者统计[[#This Row],[作者]],1)-1),"")</f>
        <v/>
      </c>
      <c r="J403" s="261" t="str">
        <f>IFERROR(MID(作者统计[[#This Row],[作者]],FIND("(",作者统计[[#This Row],[作者]],1)+1,FIND(")",作者统计[[#This Row],[作者]],1)-FIND("(",作者统计[[#This Row],[作者]],1)-1),"")</f>
        <v/>
      </c>
      <c r="L403" s="6"/>
      <c r="M403" s="5"/>
      <c r="U403" s="5"/>
      <c r="W403"/>
    </row>
    <row r="404" spans="2:23" ht="18" customHeight="1" x14ac:dyDescent="0.25">
      <c r="B404" s="85"/>
      <c r="C404" s="120"/>
      <c r="D404" s="121"/>
      <c r="E404" s="121"/>
      <c r="F404" s="92"/>
      <c r="G404" s="92"/>
      <c r="H404" s="122"/>
      <c r="I404" s="68" t="str">
        <f>IFERROR(MID(作者统计[[#This Row],[作者]],FIND("[",作者统计[[#This Row],[作者]],1)+1,FIND("]",作者统计[[#This Row],[作者]],1)-FIND("[",作者统计[[#This Row],[作者]],1)-1),"")</f>
        <v/>
      </c>
      <c r="J404" s="68" t="str">
        <f>IFERROR(MID(作者统计[[#This Row],[作者]],FIND("(",作者统计[[#This Row],[作者]],1)+1,FIND(")",作者统计[[#This Row],[作者]],1)-FIND("(",作者统计[[#This Row],[作者]],1)-1),"")</f>
        <v/>
      </c>
      <c r="L404" s="6"/>
      <c r="M404" s="5"/>
      <c r="U404" s="5"/>
      <c r="W404"/>
    </row>
    <row r="405" spans="2:23" ht="18" customHeight="1" x14ac:dyDescent="0.25">
      <c r="B405" s="256"/>
      <c r="C405" s="257"/>
      <c r="D405" s="258"/>
      <c r="E405" s="258"/>
      <c r="F405" s="259"/>
      <c r="G405" s="259"/>
      <c r="H405" s="260"/>
      <c r="I405" s="261" t="str">
        <f>IFERROR(MID(作者统计[[#This Row],[作者]],FIND("[",作者统计[[#This Row],[作者]],1)+1,FIND("]",作者统计[[#This Row],[作者]],1)-FIND("[",作者统计[[#This Row],[作者]],1)-1),"")</f>
        <v/>
      </c>
      <c r="J405" s="261" t="str">
        <f>IFERROR(MID(作者统计[[#This Row],[作者]],FIND("(",作者统计[[#This Row],[作者]],1)+1,FIND(")",作者统计[[#This Row],[作者]],1)-FIND("(",作者统计[[#This Row],[作者]],1)-1),"")</f>
        <v/>
      </c>
      <c r="L405" s="6"/>
      <c r="M405" s="5"/>
      <c r="U405" s="5"/>
      <c r="W405"/>
    </row>
    <row r="406" spans="2:23" ht="18" customHeight="1" x14ac:dyDescent="0.25">
      <c r="B406" s="85"/>
      <c r="C406" s="120"/>
      <c r="D406" s="121"/>
      <c r="E406" s="121"/>
      <c r="F406" s="92"/>
      <c r="G406" s="92"/>
      <c r="H406" s="122"/>
      <c r="I406" s="68" t="str">
        <f>IFERROR(MID(作者统计[[#This Row],[作者]],FIND("[",作者统计[[#This Row],[作者]],1)+1,FIND("]",作者统计[[#This Row],[作者]],1)-FIND("[",作者统计[[#This Row],[作者]],1)-1),"")</f>
        <v/>
      </c>
      <c r="J406" s="68" t="str">
        <f>IFERROR(MID(作者统计[[#This Row],[作者]],FIND("(",作者统计[[#This Row],[作者]],1)+1,FIND(")",作者统计[[#This Row],[作者]],1)-FIND("(",作者统计[[#This Row],[作者]],1)-1),"")</f>
        <v/>
      </c>
      <c r="L406" s="6"/>
      <c r="M406" s="5"/>
      <c r="U406" s="5"/>
      <c r="W406"/>
    </row>
    <row r="407" spans="2:23" ht="18" customHeight="1" x14ac:dyDescent="0.25">
      <c r="B407" s="85"/>
      <c r="C407" s="120"/>
      <c r="D407" s="121"/>
      <c r="E407" s="121"/>
      <c r="F407" s="92"/>
      <c r="G407" s="92"/>
      <c r="H407" s="122"/>
      <c r="I407" s="68" t="str">
        <f>IFERROR(MID(作者统计[[#This Row],[作者]],FIND("[",作者统计[[#This Row],[作者]],1)+1,FIND("]",作者统计[[#This Row],[作者]],1)-FIND("[",作者统计[[#This Row],[作者]],1)-1),"")</f>
        <v/>
      </c>
      <c r="J407" s="68" t="str">
        <f>IFERROR(MID(作者统计[[#This Row],[作者]],FIND("(",作者统计[[#This Row],[作者]],1)+1,FIND(")",作者统计[[#This Row],[作者]],1)-FIND("(",作者统计[[#This Row],[作者]],1)-1),"")</f>
        <v/>
      </c>
      <c r="L407" s="6"/>
      <c r="M407" s="5"/>
      <c r="U407" s="5"/>
      <c r="W407"/>
    </row>
    <row r="408" spans="2:23" ht="18" customHeight="1" x14ac:dyDescent="0.25">
      <c r="B408" s="85"/>
      <c r="C408" s="120"/>
      <c r="D408" s="121"/>
      <c r="E408" s="121"/>
      <c r="F408" s="92"/>
      <c r="G408" s="92"/>
      <c r="H408" s="122"/>
      <c r="I408" s="68" t="str">
        <f>IFERROR(MID(作者统计[[#This Row],[作者]],FIND("[",作者统计[[#This Row],[作者]],1)+1,FIND("]",作者统计[[#This Row],[作者]],1)-FIND("[",作者统计[[#This Row],[作者]],1)-1),"")</f>
        <v/>
      </c>
      <c r="J408" s="68" t="str">
        <f>IFERROR(MID(作者统计[[#This Row],[作者]],FIND("(",作者统计[[#This Row],[作者]],1)+1,FIND(")",作者统计[[#This Row],[作者]],1)-FIND("(",作者统计[[#This Row],[作者]],1)-1),"")</f>
        <v/>
      </c>
      <c r="L408" s="6"/>
      <c r="M408" s="5"/>
      <c r="U408" s="5"/>
      <c r="W408"/>
    </row>
    <row r="409" spans="2:23" ht="18" customHeight="1" x14ac:dyDescent="0.25">
      <c r="B409" s="256"/>
      <c r="C409" s="257"/>
      <c r="D409" s="258"/>
      <c r="E409" s="258"/>
      <c r="F409" s="259"/>
      <c r="G409" s="259"/>
      <c r="H409" s="260"/>
      <c r="I409" s="261" t="str">
        <f>IFERROR(MID(作者统计[[#This Row],[作者]],FIND("[",作者统计[[#This Row],[作者]],1)+1,FIND("]",作者统计[[#This Row],[作者]],1)-FIND("[",作者统计[[#This Row],[作者]],1)-1),"")</f>
        <v/>
      </c>
      <c r="J409" s="261" t="str">
        <f>IFERROR(MID(作者统计[[#This Row],[作者]],FIND("(",作者统计[[#This Row],[作者]],1)+1,FIND(")",作者统计[[#This Row],[作者]],1)-FIND("(",作者统计[[#This Row],[作者]],1)-1),"")</f>
        <v/>
      </c>
      <c r="L409" s="6"/>
      <c r="M409" s="5"/>
      <c r="U409" s="5"/>
      <c r="W409"/>
    </row>
    <row r="410" spans="2:23" ht="18" customHeight="1" x14ac:dyDescent="0.25">
      <c r="B410" s="256"/>
      <c r="C410" s="257"/>
      <c r="D410" s="258"/>
      <c r="E410" s="258"/>
      <c r="F410" s="259"/>
      <c r="G410" s="259"/>
      <c r="H410" s="260"/>
      <c r="I410" s="261" t="str">
        <f>IFERROR(MID(作者统计[[#This Row],[作者]],FIND("[",作者统计[[#This Row],[作者]],1)+1,FIND("]",作者统计[[#This Row],[作者]],1)-FIND("[",作者统计[[#This Row],[作者]],1)-1),"")</f>
        <v/>
      </c>
      <c r="J410" s="261" t="str">
        <f>IFERROR(MID(作者统计[[#This Row],[作者]],FIND("(",作者统计[[#This Row],[作者]],1)+1,FIND(")",作者统计[[#This Row],[作者]],1)-FIND("(",作者统计[[#This Row],[作者]],1)-1),"")</f>
        <v/>
      </c>
      <c r="L410" s="6"/>
      <c r="M410" s="5"/>
      <c r="U410" s="5"/>
      <c r="W410"/>
    </row>
    <row r="411" spans="2:23" ht="18" customHeight="1" x14ac:dyDescent="0.25">
      <c r="B411" s="309"/>
      <c r="C411" s="120"/>
      <c r="D411" s="121"/>
      <c r="E411" s="121"/>
      <c r="F411" s="92"/>
      <c r="G411" s="92"/>
      <c r="H411" s="122"/>
      <c r="I411" s="68" t="str">
        <f>IFERROR(MID(作者统计[[#This Row],[作者]],FIND("[",作者统计[[#This Row],[作者]],1)+1,FIND("]",作者统计[[#This Row],[作者]],1)-FIND("[",作者统计[[#This Row],[作者]],1)-1),"")</f>
        <v/>
      </c>
      <c r="J411" s="68" t="str">
        <f>IFERROR(MID(作者统计[[#This Row],[作者]],FIND("(",作者统计[[#This Row],[作者]],1)+1,FIND(")",作者统计[[#This Row],[作者]],1)-FIND("(",作者统计[[#This Row],[作者]],1)-1),"")</f>
        <v/>
      </c>
      <c r="L411" s="6"/>
      <c r="M411" s="5"/>
      <c r="U411" s="5"/>
      <c r="W411"/>
    </row>
    <row r="412" spans="2:23" ht="18" customHeight="1" x14ac:dyDescent="0.25">
      <c r="B412" s="309"/>
      <c r="C412" s="120"/>
      <c r="D412" s="121"/>
      <c r="E412" s="121"/>
      <c r="F412" s="92"/>
      <c r="G412" s="92"/>
      <c r="H412" s="122"/>
      <c r="I412" s="68" t="str">
        <f>IFERROR(MID(作者统计[[#This Row],[作者]],FIND("[",作者统计[[#This Row],[作者]],1)+1,FIND("]",作者统计[[#This Row],[作者]],1)-FIND("[",作者统计[[#This Row],[作者]],1)-1),"")</f>
        <v/>
      </c>
      <c r="J412" s="68" t="str">
        <f>IFERROR(MID(作者统计[[#This Row],[作者]],FIND("(",作者统计[[#This Row],[作者]],1)+1,FIND(")",作者统计[[#This Row],[作者]],1)-FIND("(",作者统计[[#This Row],[作者]],1)-1),"")</f>
        <v/>
      </c>
      <c r="L412" s="6"/>
      <c r="M412" s="5"/>
      <c r="U412" s="5"/>
      <c r="W412"/>
    </row>
    <row r="413" spans="2:23" ht="18" customHeight="1" x14ac:dyDescent="0.25">
      <c r="B413" s="85"/>
      <c r="C413" s="120"/>
      <c r="D413" s="121"/>
      <c r="E413" s="121"/>
      <c r="F413" s="92"/>
      <c r="G413" s="92"/>
      <c r="H413" s="122"/>
      <c r="I413" s="68" t="str">
        <f>IFERROR(MID(作者统计[[#This Row],[作者]],FIND("[",作者统计[[#This Row],[作者]],1)+1,FIND("]",作者统计[[#This Row],[作者]],1)-FIND("[",作者统计[[#This Row],[作者]],1)-1),"")</f>
        <v/>
      </c>
      <c r="J413" s="68" t="str">
        <f>IFERROR(MID(作者统计[[#This Row],[作者]],FIND("(",作者统计[[#This Row],[作者]],1)+1,FIND(")",作者统计[[#This Row],[作者]],1)-FIND("(",作者统计[[#This Row],[作者]],1)-1),"")</f>
        <v/>
      </c>
      <c r="L413" s="6"/>
      <c r="M413" s="5"/>
      <c r="U413" s="5"/>
      <c r="W413"/>
    </row>
    <row r="414" spans="2:23" ht="18" customHeight="1" x14ac:dyDescent="0.25">
      <c r="B414" s="256"/>
      <c r="C414" s="257"/>
      <c r="D414" s="258"/>
      <c r="E414" s="258"/>
      <c r="F414" s="259"/>
      <c r="G414" s="259"/>
      <c r="H414" s="260"/>
      <c r="I414" s="261" t="str">
        <f>IFERROR(MID(作者统计[[#This Row],[作者]],FIND("[",作者统计[[#This Row],[作者]],1)+1,FIND("]",作者统计[[#This Row],[作者]],1)-FIND("[",作者统计[[#This Row],[作者]],1)-1),"")</f>
        <v/>
      </c>
      <c r="J414" s="261" t="str">
        <f>IFERROR(MID(作者统计[[#This Row],[作者]],FIND("(",作者统计[[#This Row],[作者]],1)+1,FIND(")",作者统计[[#This Row],[作者]],1)-FIND("(",作者统计[[#This Row],[作者]],1)-1),"")</f>
        <v/>
      </c>
      <c r="L414" s="6"/>
      <c r="M414" s="5"/>
      <c r="U414" s="5"/>
      <c r="W414"/>
    </row>
    <row r="415" spans="2:23" ht="18" customHeight="1" x14ac:dyDescent="0.25">
      <c r="B415" s="85"/>
      <c r="C415" s="120"/>
      <c r="D415" s="121"/>
      <c r="E415" s="121"/>
      <c r="F415" s="92"/>
      <c r="G415" s="92"/>
      <c r="H415" s="122"/>
      <c r="I415" s="68" t="str">
        <f>IFERROR(MID(作者统计[[#This Row],[作者]],FIND("[",作者统计[[#This Row],[作者]],1)+1,FIND("]",作者统计[[#This Row],[作者]],1)-FIND("[",作者统计[[#This Row],[作者]],1)-1),"")</f>
        <v/>
      </c>
      <c r="J415" s="68" t="str">
        <f>IFERROR(MID(作者统计[[#This Row],[作者]],FIND("(",作者统计[[#This Row],[作者]],1)+1,FIND(")",作者统计[[#This Row],[作者]],1)-FIND("(",作者统计[[#This Row],[作者]],1)-1),"")</f>
        <v/>
      </c>
      <c r="L415" s="6"/>
      <c r="M415" s="5"/>
      <c r="U415" s="5"/>
      <c r="W415"/>
    </row>
    <row r="416" spans="2:23" ht="18" customHeight="1" x14ac:dyDescent="0.25">
      <c r="B416" s="256"/>
      <c r="C416" s="257"/>
      <c r="D416" s="258"/>
      <c r="E416" s="258"/>
      <c r="F416" s="259"/>
      <c r="G416" s="259"/>
      <c r="H416" s="260"/>
      <c r="I416" s="261" t="str">
        <f>IFERROR(MID(作者统计[[#This Row],[作者]],FIND("[",作者统计[[#This Row],[作者]],1)+1,FIND("]",作者统计[[#This Row],[作者]],1)-FIND("[",作者统计[[#This Row],[作者]],1)-1),"")</f>
        <v/>
      </c>
      <c r="J416" s="261" t="str">
        <f>IFERROR(MID(作者统计[[#This Row],[作者]],FIND("(",作者统计[[#This Row],[作者]],1)+1,FIND(")",作者统计[[#This Row],[作者]],1)-FIND("(",作者统计[[#This Row],[作者]],1)-1),"")</f>
        <v/>
      </c>
      <c r="L416" s="6"/>
      <c r="M416" s="5"/>
      <c r="U416" s="5"/>
      <c r="W416"/>
    </row>
    <row r="417" spans="2:23" ht="18" customHeight="1" x14ac:dyDescent="0.25">
      <c r="B417" s="256"/>
      <c r="C417" s="257"/>
      <c r="D417" s="258"/>
      <c r="E417" s="258"/>
      <c r="F417" s="259"/>
      <c r="G417" s="259"/>
      <c r="H417" s="260"/>
      <c r="I417" s="261" t="str">
        <f>IFERROR(MID(作者统计[[#This Row],[作者]],FIND("[",作者统计[[#This Row],[作者]],1)+1,FIND("]",作者统计[[#This Row],[作者]],1)-FIND("[",作者统计[[#This Row],[作者]],1)-1),"")</f>
        <v/>
      </c>
      <c r="J417" s="261" t="str">
        <f>IFERROR(MID(作者统计[[#This Row],[作者]],FIND("(",作者统计[[#This Row],[作者]],1)+1,FIND(")",作者统计[[#This Row],[作者]],1)-FIND("(",作者统计[[#This Row],[作者]],1)-1),"")</f>
        <v/>
      </c>
      <c r="L417" s="6"/>
      <c r="M417" s="5"/>
      <c r="U417" s="5"/>
      <c r="W417"/>
    </row>
    <row r="418" spans="2:23" ht="18" customHeight="1" x14ac:dyDescent="0.25">
      <c r="B418" s="256"/>
      <c r="C418" s="257"/>
      <c r="D418" s="258"/>
      <c r="E418" s="258"/>
      <c r="F418" s="259"/>
      <c r="G418" s="259"/>
      <c r="H418" s="260"/>
      <c r="I418" s="261" t="str">
        <f>IFERROR(MID(作者统计[[#This Row],[作者]],FIND("[",作者统计[[#This Row],[作者]],1)+1,FIND("]",作者统计[[#This Row],[作者]],1)-FIND("[",作者统计[[#This Row],[作者]],1)-1),"")</f>
        <v/>
      </c>
      <c r="J418" s="261" t="str">
        <f>IFERROR(MID(作者统计[[#This Row],[作者]],FIND("(",作者统计[[#This Row],[作者]],1)+1,FIND(")",作者统计[[#This Row],[作者]],1)-FIND("(",作者统计[[#This Row],[作者]],1)-1),"")</f>
        <v/>
      </c>
      <c r="L418" s="6"/>
      <c r="M418" s="5"/>
      <c r="U418" s="5"/>
      <c r="W418"/>
    </row>
    <row r="419" spans="2:23" ht="18" customHeight="1" x14ac:dyDescent="0.25">
      <c r="B419" s="85"/>
      <c r="C419" s="120"/>
      <c r="D419" s="121"/>
      <c r="E419" s="121"/>
      <c r="F419" s="92"/>
      <c r="G419" s="92"/>
      <c r="H419" s="122"/>
      <c r="I419" s="68" t="str">
        <f>IFERROR(MID(作者统计[[#This Row],[作者]],FIND("[",作者统计[[#This Row],[作者]],1)+1,FIND("]",作者统计[[#This Row],[作者]],1)-FIND("[",作者统计[[#This Row],[作者]],1)-1),"")</f>
        <v/>
      </c>
      <c r="J419" s="68" t="str">
        <f>IFERROR(MID(作者统计[[#This Row],[作者]],FIND("(",作者统计[[#This Row],[作者]],1)+1,FIND(")",作者统计[[#This Row],[作者]],1)-FIND("(",作者统计[[#This Row],[作者]],1)-1),"")</f>
        <v/>
      </c>
      <c r="L419" s="6"/>
      <c r="M419" s="5"/>
      <c r="U419" s="5"/>
      <c r="W419"/>
    </row>
    <row r="420" spans="2:23" ht="18" customHeight="1" x14ac:dyDescent="0.25">
      <c r="B420" s="256"/>
      <c r="C420" s="257"/>
      <c r="D420" s="258"/>
      <c r="E420" s="258"/>
      <c r="F420" s="259"/>
      <c r="G420" s="259"/>
      <c r="H420" s="260"/>
      <c r="I420" s="261" t="str">
        <f>IFERROR(MID(作者统计[[#This Row],[作者]],FIND("[",作者统计[[#This Row],[作者]],1)+1,FIND("]",作者统计[[#This Row],[作者]],1)-FIND("[",作者统计[[#This Row],[作者]],1)-1),"")</f>
        <v/>
      </c>
      <c r="J420" s="261" t="str">
        <f>IFERROR(MID(作者统计[[#This Row],[作者]],FIND("(",作者统计[[#This Row],[作者]],1)+1,FIND(")",作者统计[[#This Row],[作者]],1)-FIND("(",作者统计[[#This Row],[作者]],1)-1),"")</f>
        <v/>
      </c>
      <c r="L420" s="6"/>
      <c r="M420" s="5"/>
      <c r="U420" s="5"/>
      <c r="W420"/>
    </row>
    <row r="421" spans="2:23" ht="18" customHeight="1" x14ac:dyDescent="0.25">
      <c r="B421" s="256"/>
      <c r="C421" s="257"/>
      <c r="D421" s="258"/>
      <c r="E421" s="258"/>
      <c r="F421" s="259"/>
      <c r="G421" s="259"/>
      <c r="H421" s="260"/>
      <c r="I421" s="261" t="str">
        <f>IFERROR(MID(作者统计[[#This Row],[作者]],FIND("[",作者统计[[#This Row],[作者]],1)+1,FIND("]",作者统计[[#This Row],[作者]],1)-FIND("[",作者统计[[#This Row],[作者]],1)-1),"")</f>
        <v/>
      </c>
      <c r="J421" s="261" t="str">
        <f>IFERROR(MID(作者统计[[#This Row],[作者]],FIND("(",作者统计[[#This Row],[作者]],1)+1,FIND(")",作者统计[[#This Row],[作者]],1)-FIND("(",作者统计[[#This Row],[作者]],1)-1),"")</f>
        <v/>
      </c>
      <c r="L421" s="6"/>
      <c r="M421" s="5"/>
      <c r="U421" s="5"/>
      <c r="W421"/>
    </row>
    <row r="422" spans="2:23" ht="18" customHeight="1" x14ac:dyDescent="0.25">
      <c r="B422" s="256"/>
      <c r="C422" s="257"/>
      <c r="D422" s="258"/>
      <c r="E422" s="258"/>
      <c r="F422" s="259"/>
      <c r="G422" s="259"/>
      <c r="H422" s="260"/>
      <c r="I422" s="261" t="str">
        <f>IFERROR(MID(作者统计[[#This Row],[作者]],FIND("[",作者统计[[#This Row],[作者]],1)+1,FIND("]",作者统计[[#This Row],[作者]],1)-FIND("[",作者统计[[#This Row],[作者]],1)-1),"")</f>
        <v/>
      </c>
      <c r="J422" s="261" t="str">
        <f>IFERROR(MID(作者统计[[#This Row],[作者]],FIND("(",作者统计[[#This Row],[作者]],1)+1,FIND(")",作者统计[[#This Row],[作者]],1)-FIND("(",作者统计[[#This Row],[作者]],1)-1),"")</f>
        <v/>
      </c>
      <c r="L422" s="6"/>
      <c r="M422" s="5"/>
      <c r="U422" s="5"/>
      <c r="W422"/>
    </row>
    <row r="423" spans="2:23" ht="18" customHeight="1" x14ac:dyDescent="0.25">
      <c r="B423" s="85"/>
      <c r="C423" s="120"/>
      <c r="D423" s="121"/>
      <c r="E423" s="121"/>
      <c r="F423" s="92"/>
      <c r="G423" s="92"/>
      <c r="H423" s="122"/>
      <c r="I423" s="68" t="str">
        <f>IFERROR(MID(作者统计[[#This Row],[作者]],FIND("[",作者统计[[#This Row],[作者]],1)+1,FIND("]",作者统计[[#This Row],[作者]],1)-FIND("[",作者统计[[#This Row],[作者]],1)-1),"")</f>
        <v/>
      </c>
      <c r="J423" s="68" t="str">
        <f>IFERROR(MID(作者统计[[#This Row],[作者]],FIND("(",作者统计[[#This Row],[作者]],1)+1,FIND(")",作者统计[[#This Row],[作者]],1)-FIND("(",作者统计[[#This Row],[作者]],1)-1),"")</f>
        <v/>
      </c>
      <c r="L423" s="6"/>
      <c r="M423" s="5"/>
      <c r="U423" s="5"/>
      <c r="W423"/>
    </row>
    <row r="424" spans="2:23" ht="18" customHeight="1" x14ac:dyDescent="0.25">
      <c r="B424" s="309"/>
      <c r="C424" s="120"/>
      <c r="D424" s="121"/>
      <c r="E424" s="121"/>
      <c r="F424" s="92"/>
      <c r="G424" s="92"/>
      <c r="H424" s="122"/>
      <c r="I424" s="68" t="str">
        <f>IFERROR(MID(作者统计[[#This Row],[作者]],FIND("[",作者统计[[#This Row],[作者]],1)+1,FIND("]",作者统计[[#This Row],[作者]],1)-FIND("[",作者统计[[#This Row],[作者]],1)-1),"")</f>
        <v/>
      </c>
      <c r="J424" s="68" t="str">
        <f>IFERROR(MID(作者统计[[#This Row],[作者]],FIND("(",作者统计[[#This Row],[作者]],1)+1,FIND(")",作者统计[[#This Row],[作者]],1)-FIND("(",作者统计[[#This Row],[作者]],1)-1),"")</f>
        <v/>
      </c>
      <c r="L424" s="6"/>
      <c r="M424" s="5"/>
      <c r="U424" s="5"/>
      <c r="W424"/>
    </row>
    <row r="425" spans="2:23" ht="18" customHeight="1" x14ac:dyDescent="0.25">
      <c r="B425" s="85"/>
      <c r="C425" s="120"/>
      <c r="D425" s="121"/>
      <c r="E425" s="121"/>
      <c r="F425" s="92"/>
      <c r="G425" s="92"/>
      <c r="H425" s="122"/>
      <c r="I425" s="68" t="str">
        <f>IFERROR(MID(作者统计[[#This Row],[作者]],FIND("[",作者统计[[#This Row],[作者]],1)+1,FIND("]",作者统计[[#This Row],[作者]],1)-FIND("[",作者统计[[#This Row],[作者]],1)-1),"")</f>
        <v/>
      </c>
      <c r="J425" s="68" t="str">
        <f>IFERROR(MID(作者统计[[#This Row],[作者]],FIND("(",作者统计[[#This Row],[作者]],1)+1,FIND(")",作者统计[[#This Row],[作者]],1)-FIND("(",作者统计[[#This Row],[作者]],1)-1),"")</f>
        <v/>
      </c>
      <c r="L425" s="6"/>
      <c r="M425" s="5"/>
      <c r="U425" s="5"/>
      <c r="W425"/>
    </row>
    <row r="426" spans="2:23" ht="18" customHeight="1" x14ac:dyDescent="0.25">
      <c r="B426" s="85"/>
      <c r="C426" s="120"/>
      <c r="D426" s="121"/>
      <c r="E426" s="121"/>
      <c r="F426" s="92"/>
      <c r="G426" s="92"/>
      <c r="H426" s="122"/>
      <c r="I426" s="68" t="str">
        <f>IFERROR(MID(作者统计[[#This Row],[作者]],FIND("[",作者统计[[#This Row],[作者]],1)+1,FIND("]",作者统计[[#This Row],[作者]],1)-FIND("[",作者统计[[#This Row],[作者]],1)-1),"")</f>
        <v/>
      </c>
      <c r="J426" s="68" t="str">
        <f>IFERROR(MID(作者统计[[#This Row],[作者]],FIND("(",作者统计[[#This Row],[作者]],1)+1,FIND(")",作者统计[[#This Row],[作者]],1)-FIND("(",作者统计[[#This Row],[作者]],1)-1),"")</f>
        <v/>
      </c>
      <c r="L426" s="6"/>
      <c r="M426" s="5"/>
      <c r="U426" s="5"/>
      <c r="W426"/>
    </row>
    <row r="427" spans="2:23" ht="18" customHeight="1" x14ac:dyDescent="0.25">
      <c r="B427" s="256"/>
      <c r="C427" s="257"/>
      <c r="D427" s="258"/>
      <c r="E427" s="258"/>
      <c r="F427" s="259"/>
      <c r="G427" s="259"/>
      <c r="H427" s="260"/>
      <c r="I427" s="261" t="str">
        <f>IFERROR(MID(作者统计[[#This Row],[作者]],FIND("[",作者统计[[#This Row],[作者]],1)+1,FIND("]",作者统计[[#This Row],[作者]],1)-FIND("[",作者统计[[#This Row],[作者]],1)-1),"")</f>
        <v/>
      </c>
      <c r="J427" s="261" t="str">
        <f>IFERROR(MID(作者统计[[#This Row],[作者]],FIND("(",作者统计[[#This Row],[作者]],1)+1,FIND(")",作者统计[[#This Row],[作者]],1)-FIND("(",作者统计[[#This Row],[作者]],1)-1),"")</f>
        <v/>
      </c>
      <c r="L427" s="6"/>
      <c r="M427" s="5"/>
      <c r="U427" s="5"/>
      <c r="W427"/>
    </row>
    <row r="428" spans="2:23" ht="18" customHeight="1" x14ac:dyDescent="0.25">
      <c r="B428" s="256"/>
      <c r="C428" s="257"/>
      <c r="D428" s="258"/>
      <c r="E428" s="258"/>
      <c r="F428" s="259"/>
      <c r="G428" s="259"/>
      <c r="H428" s="260"/>
      <c r="I428" s="261" t="str">
        <f>IFERROR(MID(作者统计[[#This Row],[作者]],FIND("[",作者统计[[#This Row],[作者]],1)+1,FIND("]",作者统计[[#This Row],[作者]],1)-FIND("[",作者统计[[#This Row],[作者]],1)-1),"")</f>
        <v/>
      </c>
      <c r="J428" s="261" t="str">
        <f>IFERROR(MID(作者统计[[#This Row],[作者]],FIND("(",作者统计[[#This Row],[作者]],1)+1,FIND(")",作者统计[[#This Row],[作者]],1)-FIND("(",作者统计[[#This Row],[作者]],1)-1),"")</f>
        <v/>
      </c>
      <c r="L428" s="6"/>
      <c r="M428" s="5"/>
      <c r="U428" s="5"/>
      <c r="W428"/>
    </row>
    <row r="429" spans="2:23" ht="18" customHeight="1" x14ac:dyDescent="0.25">
      <c r="B429" s="85"/>
      <c r="C429" s="120"/>
      <c r="D429" s="121"/>
      <c r="E429" s="121"/>
      <c r="F429" s="92"/>
      <c r="G429" s="92"/>
      <c r="H429" s="122"/>
      <c r="I429" s="68" t="str">
        <f>IFERROR(MID(作者统计[[#This Row],[作者]],FIND("[",作者统计[[#This Row],[作者]],1)+1,FIND("]",作者统计[[#This Row],[作者]],1)-FIND("[",作者统计[[#This Row],[作者]],1)-1),"")</f>
        <v/>
      </c>
      <c r="J429" s="68" t="str">
        <f>IFERROR(MID(作者统计[[#This Row],[作者]],FIND("(",作者统计[[#This Row],[作者]],1)+1,FIND(")",作者统计[[#This Row],[作者]],1)-FIND("(",作者统计[[#This Row],[作者]],1)-1),"")</f>
        <v/>
      </c>
      <c r="L429" s="6"/>
      <c r="M429" s="5"/>
      <c r="U429" s="5"/>
      <c r="W429"/>
    </row>
    <row r="430" spans="2:23" ht="18" customHeight="1" x14ac:dyDescent="0.25">
      <c r="B430" s="256"/>
      <c r="C430" s="257"/>
      <c r="D430" s="258"/>
      <c r="E430" s="258"/>
      <c r="F430" s="259"/>
      <c r="G430" s="259"/>
      <c r="H430" s="260"/>
      <c r="I430" s="261" t="str">
        <f>IFERROR(MID(作者统计[[#This Row],[作者]],FIND("[",作者统计[[#This Row],[作者]],1)+1,FIND("]",作者统计[[#This Row],[作者]],1)-FIND("[",作者统计[[#This Row],[作者]],1)-1),"")</f>
        <v/>
      </c>
      <c r="J430" s="261" t="str">
        <f>IFERROR(MID(作者统计[[#This Row],[作者]],FIND("(",作者统计[[#This Row],[作者]],1)+1,FIND(")",作者统计[[#This Row],[作者]],1)-FIND("(",作者统计[[#This Row],[作者]],1)-1),"")</f>
        <v/>
      </c>
      <c r="L430" s="6"/>
      <c r="M430" s="5"/>
      <c r="U430" s="5"/>
      <c r="W430"/>
    </row>
    <row r="431" spans="2:23" ht="18" customHeight="1" x14ac:dyDescent="0.25">
      <c r="B431" s="85"/>
      <c r="C431" s="120"/>
      <c r="D431" s="121"/>
      <c r="E431" s="121"/>
      <c r="F431" s="92"/>
      <c r="G431" s="92"/>
      <c r="H431" s="122"/>
      <c r="I431" s="68" t="str">
        <f>IFERROR(MID(作者统计[[#This Row],[作者]],FIND("[",作者统计[[#This Row],[作者]],1)+1,FIND("]",作者统计[[#This Row],[作者]],1)-FIND("[",作者统计[[#This Row],[作者]],1)-1),"")</f>
        <v/>
      </c>
      <c r="J431" s="68" t="str">
        <f>IFERROR(MID(作者统计[[#This Row],[作者]],FIND("(",作者统计[[#This Row],[作者]],1)+1,FIND(")",作者统计[[#This Row],[作者]],1)-FIND("(",作者统计[[#This Row],[作者]],1)-1),"")</f>
        <v/>
      </c>
      <c r="L431" s="6"/>
      <c r="M431" s="5"/>
      <c r="U431" s="5"/>
      <c r="W431"/>
    </row>
    <row r="432" spans="2:23" ht="18" customHeight="1" x14ac:dyDescent="0.25">
      <c r="B432" s="309"/>
      <c r="C432" s="120"/>
      <c r="D432" s="121"/>
      <c r="E432" s="121"/>
      <c r="F432" s="92"/>
      <c r="G432" s="92"/>
      <c r="H432" s="122"/>
      <c r="I432" s="68" t="str">
        <f>IFERROR(MID(作者统计[[#This Row],[作者]],FIND("[",作者统计[[#This Row],[作者]],1)+1,FIND("]",作者统计[[#This Row],[作者]],1)-FIND("[",作者统计[[#This Row],[作者]],1)-1),"")</f>
        <v/>
      </c>
      <c r="J432" s="68" t="str">
        <f>IFERROR(MID(作者统计[[#This Row],[作者]],FIND("(",作者统计[[#This Row],[作者]],1)+1,FIND(")",作者统计[[#This Row],[作者]],1)-FIND("(",作者统计[[#This Row],[作者]],1)-1),"")</f>
        <v/>
      </c>
      <c r="L432" s="6"/>
      <c r="M432" s="5"/>
      <c r="U432" s="5"/>
      <c r="W432"/>
    </row>
    <row r="433" spans="2:23" ht="18" customHeight="1" x14ac:dyDescent="0.25">
      <c r="B433" s="85"/>
      <c r="C433" s="120"/>
      <c r="D433" s="121"/>
      <c r="E433" s="121"/>
      <c r="F433" s="92"/>
      <c r="G433" s="92"/>
      <c r="H433" s="122"/>
      <c r="I433" s="68" t="str">
        <f>IFERROR(MID(作者统计[[#This Row],[作者]],FIND("[",作者统计[[#This Row],[作者]],1)+1,FIND("]",作者统计[[#This Row],[作者]],1)-FIND("[",作者统计[[#This Row],[作者]],1)-1),"")</f>
        <v/>
      </c>
      <c r="J433" s="68" t="str">
        <f>IFERROR(MID(作者统计[[#This Row],[作者]],FIND("(",作者统计[[#This Row],[作者]],1)+1,FIND(")",作者统计[[#This Row],[作者]],1)-FIND("(",作者统计[[#This Row],[作者]],1)-1),"")</f>
        <v/>
      </c>
      <c r="L433" s="6"/>
      <c r="M433" s="5"/>
      <c r="U433" s="5"/>
      <c r="W433"/>
    </row>
    <row r="434" spans="2:23" ht="18" customHeight="1" x14ac:dyDescent="0.25">
      <c r="B434" s="309"/>
      <c r="C434" s="120"/>
      <c r="D434" s="121"/>
      <c r="E434" s="121"/>
      <c r="F434" s="92"/>
      <c r="G434" s="92"/>
      <c r="H434" s="122"/>
      <c r="I434" s="68" t="str">
        <f>IFERROR(MID(作者统计[[#This Row],[作者]],FIND("[",作者统计[[#This Row],[作者]],1)+1,FIND("]",作者统计[[#This Row],[作者]],1)-FIND("[",作者统计[[#This Row],[作者]],1)-1),"")</f>
        <v/>
      </c>
      <c r="J434" s="68" t="str">
        <f>IFERROR(MID(作者统计[[#This Row],[作者]],FIND("(",作者统计[[#This Row],[作者]],1)+1,FIND(")",作者统计[[#This Row],[作者]],1)-FIND("(",作者统计[[#This Row],[作者]],1)-1),"")</f>
        <v/>
      </c>
      <c r="L434" s="6"/>
      <c r="M434" s="5"/>
      <c r="U434" s="5"/>
      <c r="W434"/>
    </row>
    <row r="435" spans="2:23" ht="18" customHeight="1" x14ac:dyDescent="0.25">
      <c r="B435" s="309"/>
      <c r="C435" s="120"/>
      <c r="D435" s="121"/>
      <c r="E435" s="121"/>
      <c r="F435" s="92"/>
      <c r="G435" s="92"/>
      <c r="H435" s="122"/>
      <c r="I435" s="68" t="str">
        <f>IFERROR(MID(作者统计[[#This Row],[作者]],FIND("[",作者统计[[#This Row],[作者]],1)+1,FIND("]",作者统计[[#This Row],[作者]],1)-FIND("[",作者统计[[#This Row],[作者]],1)-1),"")</f>
        <v/>
      </c>
      <c r="J435" s="68" t="str">
        <f>IFERROR(MID(作者统计[[#This Row],[作者]],FIND("(",作者统计[[#This Row],[作者]],1)+1,FIND(")",作者统计[[#This Row],[作者]],1)-FIND("(",作者统计[[#This Row],[作者]],1)-1),"")</f>
        <v/>
      </c>
      <c r="L435" s="6"/>
      <c r="M435" s="5"/>
      <c r="U435" s="5"/>
      <c r="W435"/>
    </row>
    <row r="436" spans="2:23" ht="18" customHeight="1" x14ac:dyDescent="0.25">
      <c r="B436" s="309"/>
      <c r="C436" s="120"/>
      <c r="D436" s="121"/>
      <c r="E436" s="121"/>
      <c r="F436" s="92"/>
      <c r="G436" s="92"/>
      <c r="H436" s="122"/>
      <c r="I436" s="68" t="str">
        <f>IFERROR(MID(作者统计[[#This Row],[作者]],FIND("[",作者统计[[#This Row],[作者]],1)+1,FIND("]",作者统计[[#This Row],[作者]],1)-FIND("[",作者统计[[#This Row],[作者]],1)-1),"")</f>
        <v/>
      </c>
      <c r="J436" s="68" t="str">
        <f>IFERROR(MID(作者统计[[#This Row],[作者]],FIND("(",作者统计[[#This Row],[作者]],1)+1,FIND(")",作者统计[[#This Row],[作者]],1)-FIND("(",作者统计[[#This Row],[作者]],1)-1),"")</f>
        <v/>
      </c>
      <c r="L436" s="6"/>
      <c r="M436" s="5"/>
      <c r="U436" s="5"/>
      <c r="W436"/>
    </row>
    <row r="437" spans="2:23" ht="18" customHeight="1" x14ac:dyDescent="0.25">
      <c r="B437" s="309"/>
      <c r="C437" s="120"/>
      <c r="D437" s="121"/>
      <c r="E437" s="121"/>
      <c r="F437" s="92"/>
      <c r="G437" s="92"/>
      <c r="H437" s="122"/>
      <c r="I437" s="68" t="str">
        <f>IFERROR(MID(作者统计[[#This Row],[作者]],FIND("[",作者统计[[#This Row],[作者]],1)+1,FIND("]",作者统计[[#This Row],[作者]],1)-FIND("[",作者统计[[#This Row],[作者]],1)-1),"")</f>
        <v/>
      </c>
      <c r="J437" s="68" t="str">
        <f>IFERROR(MID(作者统计[[#This Row],[作者]],FIND("(",作者统计[[#This Row],[作者]],1)+1,FIND(")",作者统计[[#This Row],[作者]],1)-FIND("(",作者统计[[#This Row],[作者]],1)-1),"")</f>
        <v/>
      </c>
      <c r="L437" s="6"/>
      <c r="M437" s="5"/>
      <c r="U437" s="5"/>
      <c r="W437"/>
    </row>
    <row r="438" spans="2:23" ht="18" customHeight="1" x14ac:dyDescent="0.25">
      <c r="B438" s="309"/>
      <c r="C438" s="120"/>
      <c r="D438" s="121"/>
      <c r="E438" s="121"/>
      <c r="F438" s="92"/>
      <c r="G438" s="92"/>
      <c r="H438" s="122"/>
      <c r="I438" s="68" t="str">
        <f>IFERROR(MID(作者统计[[#This Row],[作者]],FIND("[",作者统计[[#This Row],[作者]],1)+1,FIND("]",作者统计[[#This Row],[作者]],1)-FIND("[",作者统计[[#This Row],[作者]],1)-1),"")</f>
        <v/>
      </c>
      <c r="J438" s="68" t="str">
        <f>IFERROR(MID(作者统计[[#This Row],[作者]],FIND("(",作者统计[[#This Row],[作者]],1)+1,FIND(")",作者统计[[#This Row],[作者]],1)-FIND("(",作者统计[[#This Row],[作者]],1)-1),"")</f>
        <v/>
      </c>
      <c r="L438" s="6"/>
      <c r="M438" s="5"/>
      <c r="U438" s="5"/>
      <c r="W438"/>
    </row>
    <row r="439" spans="2:23" ht="18" customHeight="1" x14ac:dyDescent="0.25">
      <c r="B439" s="256"/>
      <c r="C439" s="257"/>
      <c r="D439" s="258"/>
      <c r="E439" s="258"/>
      <c r="F439" s="259"/>
      <c r="G439" s="259"/>
      <c r="H439" s="260"/>
      <c r="I439" s="261" t="str">
        <f>IFERROR(MID(作者统计[[#This Row],[作者]],FIND("[",作者统计[[#This Row],[作者]],1)+1,FIND("]",作者统计[[#This Row],[作者]],1)-FIND("[",作者统计[[#This Row],[作者]],1)-1),"")</f>
        <v/>
      </c>
      <c r="J439" s="261" t="str">
        <f>IFERROR(MID(作者统计[[#This Row],[作者]],FIND("(",作者统计[[#This Row],[作者]],1)+1,FIND(")",作者统计[[#This Row],[作者]],1)-FIND("(",作者统计[[#This Row],[作者]],1)-1),"")</f>
        <v/>
      </c>
      <c r="L439" s="6"/>
      <c r="M439" s="5"/>
      <c r="U439" s="5"/>
      <c r="W439"/>
    </row>
    <row r="440" spans="2:23" ht="18" customHeight="1" x14ac:dyDescent="0.25">
      <c r="B440" s="256"/>
      <c r="C440" s="257"/>
      <c r="D440" s="258"/>
      <c r="E440" s="258"/>
      <c r="F440" s="259"/>
      <c r="G440" s="259"/>
      <c r="H440" s="260"/>
      <c r="I440" s="261" t="str">
        <f>IFERROR(MID(作者统计[[#This Row],[作者]],FIND("[",作者统计[[#This Row],[作者]],1)+1,FIND("]",作者统计[[#This Row],[作者]],1)-FIND("[",作者统计[[#This Row],[作者]],1)-1),"")</f>
        <v/>
      </c>
      <c r="J440" s="261" t="str">
        <f>IFERROR(MID(作者统计[[#This Row],[作者]],FIND("(",作者统计[[#This Row],[作者]],1)+1,FIND(")",作者统计[[#This Row],[作者]],1)-FIND("(",作者统计[[#This Row],[作者]],1)-1),"")</f>
        <v/>
      </c>
      <c r="L440" s="6"/>
      <c r="M440" s="5"/>
      <c r="U440" s="5"/>
      <c r="W440"/>
    </row>
    <row r="441" spans="2:23" ht="18" customHeight="1" x14ac:dyDescent="0.25">
      <c r="B441" s="256"/>
      <c r="C441" s="257"/>
      <c r="D441" s="258"/>
      <c r="E441" s="258"/>
      <c r="F441" s="259"/>
      <c r="G441" s="259"/>
      <c r="H441" s="260"/>
      <c r="I441" s="261" t="str">
        <f>IFERROR(MID(作者统计[[#This Row],[作者]],FIND("[",作者统计[[#This Row],[作者]],1)+1,FIND("]",作者统计[[#This Row],[作者]],1)-FIND("[",作者统计[[#This Row],[作者]],1)-1),"")</f>
        <v/>
      </c>
      <c r="J441" s="261" t="str">
        <f>IFERROR(MID(作者统计[[#This Row],[作者]],FIND("(",作者统计[[#This Row],[作者]],1)+1,FIND(")",作者统计[[#This Row],[作者]],1)-FIND("(",作者统计[[#This Row],[作者]],1)-1),"")</f>
        <v/>
      </c>
      <c r="L441" s="6"/>
      <c r="M441" s="5"/>
      <c r="U441" s="5"/>
      <c r="W441"/>
    </row>
    <row r="442" spans="2:23" ht="18" customHeight="1" x14ac:dyDescent="0.25">
      <c r="B442" s="256"/>
      <c r="C442" s="257"/>
      <c r="D442" s="258"/>
      <c r="E442" s="258"/>
      <c r="F442" s="259"/>
      <c r="G442" s="259"/>
      <c r="H442" s="260"/>
      <c r="I442" s="261" t="str">
        <f>IFERROR(MID(作者统计[[#This Row],[作者]],FIND("[",作者统计[[#This Row],[作者]],1)+1,FIND("]",作者统计[[#This Row],[作者]],1)-FIND("[",作者统计[[#This Row],[作者]],1)-1),"")</f>
        <v/>
      </c>
      <c r="J442" s="261" t="str">
        <f>IFERROR(MID(作者统计[[#This Row],[作者]],FIND("(",作者统计[[#This Row],[作者]],1)+1,FIND(")",作者统计[[#This Row],[作者]],1)-FIND("(",作者统计[[#This Row],[作者]],1)-1),"")</f>
        <v/>
      </c>
      <c r="L442" s="6"/>
      <c r="M442" s="5"/>
      <c r="U442" s="5"/>
      <c r="W442"/>
    </row>
    <row r="443" spans="2:23" ht="18" customHeight="1" x14ac:dyDescent="0.25">
      <c r="B443" s="256"/>
      <c r="C443" s="257"/>
      <c r="D443" s="258"/>
      <c r="E443" s="258"/>
      <c r="F443" s="259"/>
      <c r="G443" s="259"/>
      <c r="H443" s="260"/>
      <c r="I443" s="261" t="str">
        <f>IFERROR(MID(作者统计[[#This Row],[作者]],FIND("[",作者统计[[#This Row],[作者]],1)+1,FIND("]",作者统计[[#This Row],[作者]],1)-FIND("[",作者统计[[#This Row],[作者]],1)-1),"")</f>
        <v/>
      </c>
      <c r="J443" s="261" t="str">
        <f>IFERROR(MID(作者统计[[#This Row],[作者]],FIND("(",作者统计[[#This Row],[作者]],1)+1,FIND(")",作者统计[[#This Row],[作者]],1)-FIND("(",作者统计[[#This Row],[作者]],1)-1),"")</f>
        <v/>
      </c>
      <c r="L443" s="6"/>
      <c r="M443" s="5"/>
      <c r="U443" s="5"/>
      <c r="W443"/>
    </row>
    <row r="444" spans="2:23" ht="18" customHeight="1" x14ac:dyDescent="0.25">
      <c r="B444" s="256"/>
      <c r="C444" s="257"/>
      <c r="D444" s="258"/>
      <c r="E444" s="258"/>
      <c r="F444" s="259"/>
      <c r="G444" s="259"/>
      <c r="H444" s="260"/>
      <c r="I444" s="261" t="str">
        <f>IFERROR(MID(作者统计[[#This Row],[作者]],FIND("[",作者统计[[#This Row],[作者]],1)+1,FIND("]",作者统计[[#This Row],[作者]],1)-FIND("[",作者统计[[#This Row],[作者]],1)-1),"")</f>
        <v/>
      </c>
      <c r="J444" s="261" t="str">
        <f>IFERROR(MID(作者统计[[#This Row],[作者]],FIND("(",作者统计[[#This Row],[作者]],1)+1,FIND(")",作者统计[[#This Row],[作者]],1)-FIND("(",作者统计[[#This Row],[作者]],1)-1),"")</f>
        <v/>
      </c>
      <c r="L444" s="6"/>
      <c r="M444" s="5"/>
      <c r="U444" s="5"/>
      <c r="W444"/>
    </row>
    <row r="445" spans="2:23" ht="18" customHeight="1" x14ac:dyDescent="0.25">
      <c r="B445" s="309"/>
      <c r="C445" s="120"/>
      <c r="D445" s="121"/>
      <c r="E445" s="121"/>
      <c r="F445" s="92"/>
      <c r="G445" s="92"/>
      <c r="H445" s="122"/>
      <c r="I445" s="68" t="str">
        <f>IFERROR(MID(作者统计[[#This Row],[作者]],FIND("[",作者统计[[#This Row],[作者]],1)+1,FIND("]",作者统计[[#This Row],[作者]],1)-FIND("[",作者统计[[#This Row],[作者]],1)-1),"")</f>
        <v/>
      </c>
      <c r="J445" s="68" t="str">
        <f>IFERROR(MID(作者统计[[#This Row],[作者]],FIND("(",作者统计[[#This Row],[作者]],1)+1,FIND(")",作者统计[[#This Row],[作者]],1)-FIND("(",作者统计[[#This Row],[作者]],1)-1),"")</f>
        <v/>
      </c>
      <c r="L445" s="6"/>
      <c r="M445" s="5"/>
      <c r="U445" s="5"/>
      <c r="W445"/>
    </row>
    <row r="446" spans="2:23" ht="18" customHeight="1" x14ac:dyDescent="0.25">
      <c r="B446" s="256"/>
      <c r="C446" s="257"/>
      <c r="D446" s="258"/>
      <c r="E446" s="258"/>
      <c r="F446" s="259"/>
      <c r="G446" s="259"/>
      <c r="H446" s="260"/>
      <c r="I446" s="261" t="str">
        <f>IFERROR(MID(作者统计[[#This Row],[作者]],FIND("[",作者统计[[#This Row],[作者]],1)+1,FIND("]",作者统计[[#This Row],[作者]],1)-FIND("[",作者统计[[#This Row],[作者]],1)-1),"")</f>
        <v/>
      </c>
      <c r="J446" s="261" t="str">
        <f>IFERROR(MID(作者统计[[#This Row],[作者]],FIND("(",作者统计[[#This Row],[作者]],1)+1,FIND(")",作者统计[[#This Row],[作者]],1)-FIND("(",作者统计[[#This Row],[作者]],1)-1),"")</f>
        <v/>
      </c>
      <c r="L446" s="6"/>
      <c r="M446" s="5"/>
      <c r="U446" s="5"/>
      <c r="W446"/>
    </row>
    <row r="447" spans="2:23" ht="18" customHeight="1" x14ac:dyDescent="0.25">
      <c r="B447" s="85"/>
      <c r="C447" s="120"/>
      <c r="D447" s="121"/>
      <c r="E447" s="121"/>
      <c r="F447" s="92"/>
      <c r="G447" s="92"/>
      <c r="H447" s="122"/>
      <c r="I447" s="68" t="str">
        <f>IFERROR(MID(作者统计[[#This Row],[作者]],FIND("[",作者统计[[#This Row],[作者]],1)+1,FIND("]",作者统计[[#This Row],[作者]],1)-FIND("[",作者统计[[#This Row],[作者]],1)-1),"")</f>
        <v/>
      </c>
      <c r="J447" s="68" t="str">
        <f>IFERROR(MID(作者统计[[#This Row],[作者]],FIND("(",作者统计[[#This Row],[作者]],1)+1,FIND(")",作者统计[[#This Row],[作者]],1)-FIND("(",作者统计[[#This Row],[作者]],1)-1),"")</f>
        <v/>
      </c>
      <c r="L447" s="6"/>
      <c r="M447" s="5"/>
      <c r="U447" s="5"/>
      <c r="W447"/>
    </row>
    <row r="448" spans="2:23" ht="18" customHeight="1" x14ac:dyDescent="0.25">
      <c r="B448" s="256"/>
      <c r="C448" s="257"/>
      <c r="D448" s="258"/>
      <c r="E448" s="258"/>
      <c r="F448" s="259"/>
      <c r="G448" s="259"/>
      <c r="H448" s="260"/>
      <c r="I448" s="261" t="str">
        <f>IFERROR(MID(作者统计[[#This Row],[作者]],FIND("[",作者统计[[#This Row],[作者]],1)+1,FIND("]",作者统计[[#This Row],[作者]],1)-FIND("[",作者统计[[#This Row],[作者]],1)-1),"")</f>
        <v/>
      </c>
      <c r="J448" s="261" t="str">
        <f>IFERROR(MID(作者统计[[#This Row],[作者]],FIND("(",作者统计[[#This Row],[作者]],1)+1,FIND(")",作者统计[[#This Row],[作者]],1)-FIND("(",作者统计[[#This Row],[作者]],1)-1),"")</f>
        <v/>
      </c>
      <c r="L448" s="6"/>
      <c r="M448" s="5"/>
      <c r="U448" s="5"/>
      <c r="W448"/>
    </row>
    <row r="449" spans="2:23" ht="18" customHeight="1" x14ac:dyDescent="0.25">
      <c r="B449" s="309"/>
      <c r="C449" s="120"/>
      <c r="D449" s="121"/>
      <c r="E449" s="121"/>
      <c r="F449" s="92"/>
      <c r="G449" s="92"/>
      <c r="H449" s="122"/>
      <c r="I449" s="68" t="str">
        <f>IFERROR(MID(作者统计[[#This Row],[作者]],FIND("[",作者统计[[#This Row],[作者]],1)+1,FIND("]",作者统计[[#This Row],[作者]],1)-FIND("[",作者统计[[#This Row],[作者]],1)-1),"")</f>
        <v/>
      </c>
      <c r="J449" s="68" t="str">
        <f>IFERROR(MID(作者统计[[#This Row],[作者]],FIND("(",作者统计[[#This Row],[作者]],1)+1,FIND(")",作者统计[[#This Row],[作者]],1)-FIND("(",作者统计[[#This Row],[作者]],1)-1),"")</f>
        <v/>
      </c>
      <c r="L449" s="6"/>
      <c r="M449" s="5"/>
      <c r="U449" s="5"/>
      <c r="W449"/>
    </row>
    <row r="450" spans="2:23" ht="18" customHeight="1" x14ac:dyDescent="0.25">
      <c r="B450" s="309"/>
      <c r="C450" s="120"/>
      <c r="D450" s="121"/>
      <c r="E450" s="121"/>
      <c r="F450" s="92"/>
      <c r="G450" s="92"/>
      <c r="H450" s="122"/>
      <c r="I450" s="68" t="str">
        <f>IFERROR(MID(作者统计[[#This Row],[作者]],FIND("[",作者统计[[#This Row],[作者]],1)+1,FIND("]",作者统计[[#This Row],[作者]],1)-FIND("[",作者统计[[#This Row],[作者]],1)-1),"")</f>
        <v/>
      </c>
      <c r="J450" s="68" t="str">
        <f>IFERROR(MID(作者统计[[#This Row],[作者]],FIND("(",作者统计[[#This Row],[作者]],1)+1,FIND(")",作者统计[[#This Row],[作者]],1)-FIND("(",作者统计[[#This Row],[作者]],1)-1),"")</f>
        <v/>
      </c>
      <c r="L450" s="6"/>
      <c r="M450" s="5"/>
      <c r="U450" s="5"/>
      <c r="W450"/>
    </row>
    <row r="451" spans="2:23" ht="18" customHeight="1" x14ac:dyDescent="0.25">
      <c r="B451" s="256"/>
      <c r="C451" s="257"/>
      <c r="D451" s="258"/>
      <c r="E451" s="258"/>
      <c r="F451" s="259"/>
      <c r="G451" s="259"/>
      <c r="H451" s="260"/>
      <c r="I451" s="261" t="str">
        <f>IFERROR(MID(作者统计[[#This Row],[作者]],FIND("[",作者统计[[#This Row],[作者]],1)+1,FIND("]",作者统计[[#This Row],[作者]],1)-FIND("[",作者统计[[#This Row],[作者]],1)-1),"")</f>
        <v/>
      </c>
      <c r="J451" s="261" t="str">
        <f>IFERROR(MID(作者统计[[#This Row],[作者]],FIND("(",作者统计[[#This Row],[作者]],1)+1,FIND(")",作者统计[[#This Row],[作者]],1)-FIND("(",作者统计[[#This Row],[作者]],1)-1),"")</f>
        <v/>
      </c>
      <c r="L451" s="6"/>
      <c r="M451" s="5"/>
      <c r="U451" s="5"/>
      <c r="W451"/>
    </row>
    <row r="452" spans="2:23" ht="18" customHeight="1" x14ac:dyDescent="0.25">
      <c r="B452" s="309"/>
      <c r="C452" s="120"/>
      <c r="D452" s="121"/>
      <c r="E452" s="121"/>
      <c r="F452" s="92"/>
      <c r="G452" s="92"/>
      <c r="H452" s="122"/>
      <c r="I452" s="68" t="str">
        <f>IFERROR(MID(作者统计[[#This Row],[作者]],FIND("[",作者统计[[#This Row],[作者]],1)+1,FIND("]",作者统计[[#This Row],[作者]],1)-FIND("[",作者统计[[#This Row],[作者]],1)-1),"")</f>
        <v/>
      </c>
      <c r="J452" s="68" t="str">
        <f>IFERROR(MID(作者统计[[#This Row],[作者]],FIND("(",作者统计[[#This Row],[作者]],1)+1,FIND(")",作者统计[[#This Row],[作者]],1)-FIND("(",作者统计[[#This Row],[作者]],1)-1),"")</f>
        <v/>
      </c>
      <c r="L452" s="6"/>
      <c r="M452" s="5"/>
      <c r="U452" s="5"/>
      <c r="W452"/>
    </row>
    <row r="453" spans="2:23" ht="18" customHeight="1" x14ac:dyDescent="0.25">
      <c r="B453" s="256"/>
      <c r="C453" s="257"/>
      <c r="D453" s="258"/>
      <c r="E453" s="258"/>
      <c r="F453" s="259"/>
      <c r="G453" s="259"/>
      <c r="H453" s="260"/>
      <c r="I453" s="261" t="str">
        <f>IFERROR(MID(作者统计[[#This Row],[作者]],FIND("[",作者统计[[#This Row],[作者]],1)+1,FIND("]",作者统计[[#This Row],[作者]],1)-FIND("[",作者统计[[#This Row],[作者]],1)-1),"")</f>
        <v/>
      </c>
      <c r="J453" s="261" t="str">
        <f>IFERROR(MID(作者统计[[#This Row],[作者]],FIND("(",作者统计[[#This Row],[作者]],1)+1,FIND(")",作者统计[[#This Row],[作者]],1)-FIND("(",作者统计[[#This Row],[作者]],1)-1),"")</f>
        <v/>
      </c>
      <c r="L453" s="6"/>
      <c r="M453" s="5"/>
      <c r="U453" s="5"/>
      <c r="W453"/>
    </row>
    <row r="454" spans="2:23" ht="18" customHeight="1" x14ac:dyDescent="0.25">
      <c r="B454" s="256"/>
      <c r="C454" s="257"/>
      <c r="D454" s="258"/>
      <c r="E454" s="258"/>
      <c r="F454" s="259"/>
      <c r="G454" s="259"/>
      <c r="H454" s="260"/>
      <c r="I454" s="261" t="str">
        <f>IFERROR(MID(作者统计[[#This Row],[作者]],FIND("[",作者统计[[#This Row],[作者]],1)+1,FIND("]",作者统计[[#This Row],[作者]],1)-FIND("[",作者统计[[#This Row],[作者]],1)-1),"")</f>
        <v/>
      </c>
      <c r="J454" s="261" t="str">
        <f>IFERROR(MID(作者统计[[#This Row],[作者]],FIND("(",作者统计[[#This Row],[作者]],1)+1,FIND(")",作者统计[[#This Row],[作者]],1)-FIND("(",作者统计[[#This Row],[作者]],1)-1),"")</f>
        <v/>
      </c>
      <c r="L454" s="6"/>
      <c r="M454" s="5"/>
      <c r="U454" s="5"/>
      <c r="W454"/>
    </row>
    <row r="455" spans="2:23" ht="18" customHeight="1" x14ac:dyDescent="0.25">
      <c r="B455" s="85"/>
      <c r="C455" s="120"/>
      <c r="D455" s="121"/>
      <c r="E455" s="121"/>
      <c r="F455" s="92"/>
      <c r="G455" s="92"/>
      <c r="H455" s="122"/>
      <c r="I455" s="68" t="str">
        <f>IFERROR(MID(作者统计[[#This Row],[作者]],FIND("[",作者统计[[#This Row],[作者]],1)+1,FIND("]",作者统计[[#This Row],[作者]],1)-FIND("[",作者统计[[#This Row],[作者]],1)-1),"")</f>
        <v/>
      </c>
      <c r="J455" s="68" t="str">
        <f>IFERROR(MID(作者统计[[#This Row],[作者]],FIND("(",作者统计[[#This Row],[作者]],1)+1,FIND(")",作者统计[[#This Row],[作者]],1)-FIND("(",作者统计[[#This Row],[作者]],1)-1),"")</f>
        <v/>
      </c>
      <c r="L455" s="6"/>
      <c r="M455" s="5"/>
      <c r="U455" s="5"/>
      <c r="W455"/>
    </row>
    <row r="456" spans="2:23" ht="18" customHeight="1" x14ac:dyDescent="0.25">
      <c r="B456" s="85"/>
      <c r="C456" s="120"/>
      <c r="D456" s="121"/>
      <c r="E456" s="121"/>
      <c r="F456" s="92"/>
      <c r="G456" s="92"/>
      <c r="H456" s="122"/>
      <c r="I456" s="68" t="str">
        <f>IFERROR(MID(作者统计[[#This Row],[作者]],FIND("[",作者统计[[#This Row],[作者]],1)+1,FIND("]",作者统计[[#This Row],[作者]],1)-FIND("[",作者统计[[#This Row],[作者]],1)-1),"")</f>
        <v/>
      </c>
      <c r="J456" s="68" t="str">
        <f>IFERROR(MID(作者统计[[#This Row],[作者]],FIND("(",作者统计[[#This Row],[作者]],1)+1,FIND(")",作者统计[[#This Row],[作者]],1)-FIND("(",作者统计[[#This Row],[作者]],1)-1),"")</f>
        <v/>
      </c>
      <c r="L456" s="6"/>
      <c r="M456" s="5"/>
      <c r="U456" s="5"/>
      <c r="W456"/>
    </row>
    <row r="457" spans="2:23" ht="18" customHeight="1" x14ac:dyDescent="0.25">
      <c r="B457" s="256"/>
      <c r="C457" s="257"/>
      <c r="D457" s="258"/>
      <c r="E457" s="258"/>
      <c r="F457" s="259"/>
      <c r="G457" s="259"/>
      <c r="H457" s="260"/>
      <c r="I457" s="261" t="str">
        <f>IFERROR(MID(作者统计[[#This Row],[作者]],FIND("[",作者统计[[#This Row],[作者]],1)+1,FIND("]",作者统计[[#This Row],[作者]],1)-FIND("[",作者统计[[#This Row],[作者]],1)-1),"")</f>
        <v/>
      </c>
      <c r="J457" s="261" t="str">
        <f>IFERROR(MID(作者统计[[#This Row],[作者]],FIND("(",作者统计[[#This Row],[作者]],1)+1,FIND(")",作者统计[[#This Row],[作者]],1)-FIND("(",作者统计[[#This Row],[作者]],1)-1),"")</f>
        <v/>
      </c>
      <c r="L457" s="6"/>
      <c r="M457" s="5"/>
      <c r="U457" s="5"/>
      <c r="W457"/>
    </row>
    <row r="458" spans="2:23" ht="18" customHeight="1" x14ac:dyDescent="0.25">
      <c r="B458" s="256"/>
      <c r="C458" s="257"/>
      <c r="D458" s="258"/>
      <c r="E458" s="258"/>
      <c r="F458" s="259"/>
      <c r="G458" s="259"/>
      <c r="H458" s="260"/>
      <c r="I458" s="261" t="str">
        <f>IFERROR(MID(作者统计[[#This Row],[作者]],FIND("[",作者统计[[#This Row],[作者]],1)+1,FIND("]",作者统计[[#This Row],[作者]],1)-FIND("[",作者统计[[#This Row],[作者]],1)-1),"")</f>
        <v/>
      </c>
      <c r="J458" s="261" t="str">
        <f>IFERROR(MID(作者统计[[#This Row],[作者]],FIND("(",作者统计[[#This Row],[作者]],1)+1,FIND(")",作者统计[[#This Row],[作者]],1)-FIND("(",作者统计[[#This Row],[作者]],1)-1),"")</f>
        <v/>
      </c>
      <c r="L458" s="6"/>
      <c r="M458" s="5"/>
      <c r="U458" s="5"/>
      <c r="W458"/>
    </row>
    <row r="459" spans="2:23" ht="18" customHeight="1" x14ac:dyDescent="0.25">
      <c r="B459" s="256"/>
      <c r="C459" s="257"/>
      <c r="D459" s="258"/>
      <c r="E459" s="258"/>
      <c r="F459" s="259"/>
      <c r="G459" s="259"/>
      <c r="H459" s="260"/>
      <c r="I459" s="261" t="str">
        <f>IFERROR(MID(作者统计[[#This Row],[作者]],FIND("[",作者统计[[#This Row],[作者]],1)+1,FIND("]",作者统计[[#This Row],[作者]],1)-FIND("[",作者统计[[#This Row],[作者]],1)-1),"")</f>
        <v/>
      </c>
      <c r="J459" s="261" t="str">
        <f>IFERROR(MID(作者统计[[#This Row],[作者]],FIND("(",作者统计[[#This Row],[作者]],1)+1,FIND(")",作者统计[[#This Row],[作者]],1)-FIND("(",作者统计[[#This Row],[作者]],1)-1),"")</f>
        <v/>
      </c>
      <c r="L459" s="6"/>
      <c r="M459" s="5"/>
      <c r="U459" s="5"/>
      <c r="W459"/>
    </row>
    <row r="460" spans="2:23" ht="18" customHeight="1" x14ac:dyDescent="0.25">
      <c r="B460" s="309"/>
      <c r="C460" s="120"/>
      <c r="D460" s="121"/>
      <c r="E460" s="121"/>
      <c r="F460" s="92"/>
      <c r="G460" s="92"/>
      <c r="H460" s="122"/>
      <c r="I460" s="68" t="str">
        <f>IFERROR(MID(作者统计[[#This Row],[作者]],FIND("[",作者统计[[#This Row],[作者]],1)+1,FIND("]",作者统计[[#This Row],[作者]],1)-FIND("[",作者统计[[#This Row],[作者]],1)-1),"")</f>
        <v/>
      </c>
      <c r="J460" s="68" t="str">
        <f>IFERROR(MID(作者统计[[#This Row],[作者]],FIND("(",作者统计[[#This Row],[作者]],1)+1,FIND(")",作者统计[[#This Row],[作者]],1)-FIND("(",作者统计[[#This Row],[作者]],1)-1),"")</f>
        <v/>
      </c>
      <c r="L460" s="6"/>
      <c r="M460" s="5"/>
      <c r="U460" s="5"/>
      <c r="W460"/>
    </row>
    <row r="461" spans="2:23" ht="18" customHeight="1" x14ac:dyDescent="0.25">
      <c r="B461" s="309"/>
      <c r="C461" s="120"/>
      <c r="D461" s="121"/>
      <c r="E461" s="121"/>
      <c r="F461" s="92"/>
      <c r="G461" s="92"/>
      <c r="H461" s="122"/>
      <c r="I461" s="68" t="str">
        <f>IFERROR(MID(作者统计[[#This Row],[作者]],FIND("[",作者统计[[#This Row],[作者]],1)+1,FIND("]",作者统计[[#This Row],[作者]],1)-FIND("[",作者统计[[#This Row],[作者]],1)-1),"")</f>
        <v/>
      </c>
      <c r="J461" s="68" t="str">
        <f>IFERROR(MID(作者统计[[#This Row],[作者]],FIND("(",作者统计[[#This Row],[作者]],1)+1,FIND(")",作者统计[[#This Row],[作者]],1)-FIND("(",作者统计[[#This Row],[作者]],1)-1),"")</f>
        <v/>
      </c>
      <c r="L461" s="6"/>
      <c r="M461" s="5"/>
      <c r="U461" s="5"/>
      <c r="W461"/>
    </row>
    <row r="462" spans="2:23" ht="18" customHeight="1" x14ac:dyDescent="0.25">
      <c r="B462" s="85"/>
      <c r="C462" s="120"/>
      <c r="D462" s="121"/>
      <c r="E462" s="121"/>
      <c r="F462" s="92"/>
      <c r="G462" s="92"/>
      <c r="H462" s="122"/>
      <c r="I462" s="68" t="str">
        <f>IFERROR(MID(作者统计[[#This Row],[作者]],FIND("[",作者统计[[#This Row],[作者]],1)+1,FIND("]",作者统计[[#This Row],[作者]],1)-FIND("[",作者统计[[#This Row],[作者]],1)-1),"")</f>
        <v/>
      </c>
      <c r="J462" s="68" t="str">
        <f>IFERROR(MID(作者统计[[#This Row],[作者]],FIND("(",作者统计[[#This Row],[作者]],1)+1,FIND(")",作者统计[[#This Row],[作者]],1)-FIND("(",作者统计[[#This Row],[作者]],1)-1),"")</f>
        <v/>
      </c>
      <c r="L462" s="6"/>
      <c r="M462" s="5"/>
      <c r="U462" s="5"/>
      <c r="W462"/>
    </row>
    <row r="463" spans="2:23" ht="18" customHeight="1" x14ac:dyDescent="0.25">
      <c r="B463" s="256"/>
      <c r="C463" s="257"/>
      <c r="D463" s="258"/>
      <c r="E463" s="258"/>
      <c r="F463" s="259"/>
      <c r="G463" s="259"/>
      <c r="H463" s="260"/>
      <c r="I463" s="261" t="str">
        <f>IFERROR(MID(作者统计[[#This Row],[作者]],FIND("[",作者统计[[#This Row],[作者]],1)+1,FIND("]",作者统计[[#This Row],[作者]],1)-FIND("[",作者统计[[#This Row],[作者]],1)-1),"")</f>
        <v/>
      </c>
      <c r="J463" s="261" t="str">
        <f>IFERROR(MID(作者统计[[#This Row],[作者]],FIND("(",作者统计[[#This Row],[作者]],1)+1,FIND(")",作者统计[[#This Row],[作者]],1)-FIND("(",作者统计[[#This Row],[作者]],1)-1),"")</f>
        <v/>
      </c>
      <c r="L463" s="6"/>
      <c r="M463" s="5"/>
      <c r="U463" s="5"/>
      <c r="W463"/>
    </row>
    <row r="464" spans="2:23" ht="18" customHeight="1" x14ac:dyDescent="0.25">
      <c r="B464" s="309"/>
      <c r="C464" s="120"/>
      <c r="D464" s="121"/>
      <c r="E464" s="121"/>
      <c r="F464" s="92"/>
      <c r="G464" s="92"/>
      <c r="H464" s="122"/>
      <c r="I464" s="68" t="str">
        <f>IFERROR(MID(作者统计[[#This Row],[作者]],FIND("[",作者统计[[#This Row],[作者]],1)+1,FIND("]",作者统计[[#This Row],[作者]],1)-FIND("[",作者统计[[#This Row],[作者]],1)-1),"")</f>
        <v/>
      </c>
      <c r="J464" s="68" t="str">
        <f>IFERROR(MID(作者统计[[#This Row],[作者]],FIND("(",作者统计[[#This Row],[作者]],1)+1,FIND(")",作者统计[[#This Row],[作者]],1)-FIND("(",作者统计[[#This Row],[作者]],1)-1),"")</f>
        <v/>
      </c>
      <c r="L464" s="6"/>
      <c r="M464" s="5"/>
      <c r="U464" s="5"/>
      <c r="W464"/>
    </row>
    <row r="465" spans="2:23" ht="18" customHeight="1" x14ac:dyDescent="0.25">
      <c r="B465" s="256"/>
      <c r="C465" s="257"/>
      <c r="D465" s="258"/>
      <c r="E465" s="258"/>
      <c r="F465" s="259"/>
      <c r="G465" s="259"/>
      <c r="H465" s="260"/>
      <c r="I465" s="261" t="str">
        <f>IFERROR(MID(作者统计[[#This Row],[作者]],FIND("[",作者统计[[#This Row],[作者]],1)+1,FIND("]",作者统计[[#This Row],[作者]],1)-FIND("[",作者统计[[#This Row],[作者]],1)-1),"")</f>
        <v/>
      </c>
      <c r="J465" s="261" t="str">
        <f>IFERROR(MID(作者统计[[#This Row],[作者]],FIND("(",作者统计[[#This Row],[作者]],1)+1,FIND(")",作者统计[[#This Row],[作者]],1)-FIND("(",作者统计[[#This Row],[作者]],1)-1),"")</f>
        <v/>
      </c>
      <c r="L465" s="6"/>
      <c r="M465" s="5"/>
      <c r="U465" s="5"/>
      <c r="W465"/>
    </row>
    <row r="466" spans="2:23" ht="18" customHeight="1" x14ac:dyDescent="0.25">
      <c r="B466" s="309"/>
      <c r="C466" s="120"/>
      <c r="D466" s="121"/>
      <c r="E466" s="121"/>
      <c r="F466" s="92"/>
      <c r="G466" s="92"/>
      <c r="H466" s="122"/>
      <c r="I466" s="68" t="str">
        <f>IFERROR(MID(作者统计[[#This Row],[作者]],FIND("[",作者统计[[#This Row],[作者]],1)+1,FIND("]",作者统计[[#This Row],[作者]],1)-FIND("[",作者统计[[#This Row],[作者]],1)-1),"")</f>
        <v/>
      </c>
      <c r="J466" s="68" t="str">
        <f>IFERROR(MID(作者统计[[#This Row],[作者]],FIND("(",作者统计[[#This Row],[作者]],1)+1,FIND(")",作者统计[[#This Row],[作者]],1)-FIND("(",作者统计[[#This Row],[作者]],1)-1),"")</f>
        <v/>
      </c>
      <c r="L466" s="6"/>
      <c r="M466" s="5"/>
      <c r="U466" s="5"/>
      <c r="W466"/>
    </row>
    <row r="467" spans="2:23" ht="18" customHeight="1" x14ac:dyDescent="0.25">
      <c r="B467" s="309"/>
      <c r="C467" s="120"/>
      <c r="D467" s="121"/>
      <c r="E467" s="121"/>
      <c r="F467" s="92"/>
      <c r="G467" s="92"/>
      <c r="H467" s="122"/>
      <c r="I467" s="68" t="str">
        <f>IFERROR(MID(作者统计[[#This Row],[作者]],FIND("[",作者统计[[#This Row],[作者]],1)+1,FIND("]",作者统计[[#This Row],[作者]],1)-FIND("[",作者统计[[#This Row],[作者]],1)-1),"")</f>
        <v/>
      </c>
      <c r="J467" s="68" t="str">
        <f>IFERROR(MID(作者统计[[#This Row],[作者]],FIND("(",作者统计[[#This Row],[作者]],1)+1,FIND(")",作者统计[[#This Row],[作者]],1)-FIND("(",作者统计[[#This Row],[作者]],1)-1),"")</f>
        <v/>
      </c>
      <c r="L467" s="6"/>
      <c r="M467" s="5"/>
      <c r="U467" s="5"/>
      <c r="W467"/>
    </row>
    <row r="468" spans="2:23" ht="18" customHeight="1" x14ac:dyDescent="0.25">
      <c r="B468" s="309"/>
      <c r="C468" s="120"/>
      <c r="D468" s="121"/>
      <c r="E468" s="121"/>
      <c r="F468" s="92"/>
      <c r="G468" s="92"/>
      <c r="H468" s="122"/>
      <c r="I468" s="68" t="str">
        <f>IFERROR(MID(作者统计[[#This Row],[作者]],FIND("[",作者统计[[#This Row],[作者]],1)+1,FIND("]",作者统计[[#This Row],[作者]],1)-FIND("[",作者统计[[#This Row],[作者]],1)-1),"")</f>
        <v/>
      </c>
      <c r="J468" s="68" t="str">
        <f>IFERROR(MID(作者统计[[#This Row],[作者]],FIND("(",作者统计[[#This Row],[作者]],1)+1,FIND(")",作者统计[[#This Row],[作者]],1)-FIND("(",作者统计[[#This Row],[作者]],1)-1),"")</f>
        <v/>
      </c>
      <c r="L468" s="6"/>
      <c r="M468" s="5"/>
      <c r="U468" s="5"/>
      <c r="W468"/>
    </row>
    <row r="469" spans="2:23" ht="18" customHeight="1" x14ac:dyDescent="0.25">
      <c r="B469" s="256"/>
      <c r="C469" s="257"/>
      <c r="D469" s="258"/>
      <c r="E469" s="258"/>
      <c r="F469" s="259"/>
      <c r="G469" s="259"/>
      <c r="H469" s="260"/>
      <c r="I469" s="261" t="str">
        <f>IFERROR(MID(作者统计[[#This Row],[作者]],FIND("[",作者统计[[#This Row],[作者]],1)+1,FIND("]",作者统计[[#This Row],[作者]],1)-FIND("[",作者统计[[#This Row],[作者]],1)-1),"")</f>
        <v/>
      </c>
      <c r="J469" s="261" t="str">
        <f>IFERROR(MID(作者统计[[#This Row],[作者]],FIND("(",作者统计[[#This Row],[作者]],1)+1,FIND(")",作者统计[[#This Row],[作者]],1)-FIND("(",作者统计[[#This Row],[作者]],1)-1),"")</f>
        <v/>
      </c>
      <c r="L469" s="6"/>
      <c r="M469" s="5"/>
      <c r="U469" s="5"/>
      <c r="W469"/>
    </row>
    <row r="470" spans="2:23" ht="18" customHeight="1" x14ac:dyDescent="0.25">
      <c r="B470" s="85"/>
      <c r="C470" s="120"/>
      <c r="D470" s="121"/>
      <c r="E470" s="121"/>
      <c r="F470" s="92"/>
      <c r="G470" s="92"/>
      <c r="H470" s="122"/>
      <c r="I470" s="68" t="str">
        <f>IFERROR(MID(作者统计[[#This Row],[作者]],FIND("[",作者统计[[#This Row],[作者]],1)+1,FIND("]",作者统计[[#This Row],[作者]],1)-FIND("[",作者统计[[#This Row],[作者]],1)-1),"")</f>
        <v/>
      </c>
      <c r="J470" s="68" t="str">
        <f>IFERROR(MID(作者统计[[#This Row],[作者]],FIND("(",作者统计[[#This Row],[作者]],1)+1,FIND(")",作者统计[[#This Row],[作者]],1)-FIND("(",作者统计[[#This Row],[作者]],1)-1),"")</f>
        <v/>
      </c>
      <c r="L470" s="6"/>
      <c r="M470" s="5"/>
      <c r="U470" s="5"/>
      <c r="W470"/>
    </row>
    <row r="471" spans="2:23" ht="18" customHeight="1" x14ac:dyDescent="0.25">
      <c r="B471" s="256"/>
      <c r="C471" s="257"/>
      <c r="D471" s="258"/>
      <c r="E471" s="258"/>
      <c r="F471" s="259"/>
      <c r="G471" s="259"/>
      <c r="H471" s="260"/>
      <c r="I471" s="261" t="str">
        <f>IFERROR(MID(作者统计[[#This Row],[作者]],FIND("[",作者统计[[#This Row],[作者]],1)+1,FIND("]",作者统计[[#This Row],[作者]],1)-FIND("[",作者统计[[#This Row],[作者]],1)-1),"")</f>
        <v/>
      </c>
      <c r="J471" s="261" t="str">
        <f>IFERROR(MID(作者统计[[#This Row],[作者]],FIND("(",作者统计[[#This Row],[作者]],1)+1,FIND(")",作者统计[[#This Row],[作者]],1)-FIND("(",作者统计[[#This Row],[作者]],1)-1),"")</f>
        <v/>
      </c>
      <c r="L471" s="6"/>
      <c r="M471" s="5"/>
      <c r="U471" s="5"/>
      <c r="W471"/>
    </row>
    <row r="472" spans="2:23" ht="18" customHeight="1" x14ac:dyDescent="0.25">
      <c r="B472" s="256"/>
      <c r="C472" s="257"/>
      <c r="D472" s="258"/>
      <c r="E472" s="258"/>
      <c r="F472" s="259"/>
      <c r="G472" s="259"/>
      <c r="H472" s="260"/>
      <c r="I472" s="261" t="str">
        <f>IFERROR(MID(作者统计[[#This Row],[作者]],FIND("[",作者统计[[#This Row],[作者]],1)+1,FIND("]",作者统计[[#This Row],[作者]],1)-FIND("[",作者统计[[#This Row],[作者]],1)-1),"")</f>
        <v/>
      </c>
      <c r="J472" s="261" t="str">
        <f>IFERROR(MID(作者统计[[#This Row],[作者]],FIND("(",作者统计[[#This Row],[作者]],1)+1,FIND(")",作者统计[[#This Row],[作者]],1)-FIND("(",作者统计[[#This Row],[作者]],1)-1),"")</f>
        <v/>
      </c>
      <c r="L472" s="6"/>
      <c r="M472" s="5"/>
      <c r="U472" s="5"/>
      <c r="W472"/>
    </row>
    <row r="473" spans="2:23" ht="18" customHeight="1" x14ac:dyDescent="0.25">
      <c r="B473" s="309"/>
      <c r="C473" s="120"/>
      <c r="D473" s="121"/>
      <c r="E473" s="121"/>
      <c r="F473" s="92"/>
      <c r="G473" s="92"/>
      <c r="H473" s="122"/>
      <c r="I473" s="68" t="str">
        <f>IFERROR(MID(作者统计[[#This Row],[作者]],FIND("[",作者统计[[#This Row],[作者]],1)+1,FIND("]",作者统计[[#This Row],[作者]],1)-FIND("[",作者统计[[#This Row],[作者]],1)-1),"")</f>
        <v/>
      </c>
      <c r="J473" s="68" t="str">
        <f>IFERROR(MID(作者统计[[#This Row],[作者]],FIND("(",作者统计[[#This Row],[作者]],1)+1,FIND(")",作者统计[[#This Row],[作者]],1)-FIND("(",作者统计[[#This Row],[作者]],1)-1),"")</f>
        <v/>
      </c>
      <c r="L473" s="6"/>
      <c r="M473" s="5"/>
      <c r="U473" s="5"/>
      <c r="W473"/>
    </row>
    <row r="474" spans="2:23" ht="18" customHeight="1" x14ac:dyDescent="0.25">
      <c r="B474" s="309"/>
      <c r="C474" s="120"/>
      <c r="D474" s="121"/>
      <c r="E474" s="121"/>
      <c r="F474" s="92"/>
      <c r="G474" s="92"/>
      <c r="H474" s="122"/>
      <c r="I474" s="68" t="str">
        <f>IFERROR(MID(作者统计[[#This Row],[作者]],FIND("[",作者统计[[#This Row],[作者]],1)+1,FIND("]",作者统计[[#This Row],[作者]],1)-FIND("[",作者统计[[#This Row],[作者]],1)-1),"")</f>
        <v/>
      </c>
      <c r="J474" s="68" t="str">
        <f>IFERROR(MID(作者统计[[#This Row],[作者]],FIND("(",作者统计[[#This Row],[作者]],1)+1,FIND(")",作者统计[[#This Row],[作者]],1)-FIND("(",作者统计[[#This Row],[作者]],1)-1),"")</f>
        <v/>
      </c>
      <c r="L474" s="6"/>
      <c r="M474" s="5"/>
      <c r="U474" s="5"/>
      <c r="W474"/>
    </row>
    <row r="475" spans="2:23" ht="18" customHeight="1" x14ac:dyDescent="0.25">
      <c r="B475" s="256"/>
      <c r="C475" s="257"/>
      <c r="D475" s="258"/>
      <c r="E475" s="258"/>
      <c r="F475" s="259"/>
      <c r="G475" s="259"/>
      <c r="H475" s="260"/>
      <c r="I475" s="261" t="str">
        <f>IFERROR(MID(作者统计[[#This Row],[作者]],FIND("[",作者统计[[#This Row],[作者]],1)+1,FIND("]",作者统计[[#This Row],[作者]],1)-FIND("[",作者统计[[#This Row],[作者]],1)-1),"")</f>
        <v/>
      </c>
      <c r="J475" s="261" t="str">
        <f>IFERROR(MID(作者统计[[#This Row],[作者]],FIND("(",作者统计[[#This Row],[作者]],1)+1,FIND(")",作者统计[[#This Row],[作者]],1)-FIND("(",作者统计[[#This Row],[作者]],1)-1),"")</f>
        <v/>
      </c>
      <c r="L475" s="6"/>
      <c r="M475" s="5"/>
      <c r="U475" s="5"/>
      <c r="W475"/>
    </row>
    <row r="476" spans="2:23" ht="18" customHeight="1" x14ac:dyDescent="0.25">
      <c r="B476" s="85"/>
      <c r="C476" s="120"/>
      <c r="D476" s="121"/>
      <c r="E476" s="121"/>
      <c r="F476" s="92"/>
      <c r="G476" s="92"/>
      <c r="H476" s="122"/>
      <c r="I476" s="68" t="str">
        <f>IFERROR(MID(作者统计[[#This Row],[作者]],FIND("[",作者统计[[#This Row],[作者]],1)+1,FIND("]",作者统计[[#This Row],[作者]],1)-FIND("[",作者统计[[#This Row],[作者]],1)-1),"")</f>
        <v/>
      </c>
      <c r="J476" s="68" t="str">
        <f>IFERROR(MID(作者统计[[#This Row],[作者]],FIND("(",作者统计[[#This Row],[作者]],1)+1,FIND(")",作者统计[[#This Row],[作者]],1)-FIND("(",作者统计[[#This Row],[作者]],1)-1),"")</f>
        <v/>
      </c>
      <c r="L476" s="6"/>
      <c r="M476" s="5"/>
      <c r="U476" s="5"/>
      <c r="W476"/>
    </row>
    <row r="477" spans="2:23" ht="18" customHeight="1" x14ac:dyDescent="0.25">
      <c r="B477" s="85"/>
      <c r="C477" s="120"/>
      <c r="D477" s="121"/>
      <c r="E477" s="121"/>
      <c r="F477" s="92"/>
      <c r="G477" s="92"/>
      <c r="H477" s="122"/>
      <c r="I477" s="68" t="str">
        <f>IFERROR(MID(作者统计[[#This Row],[作者]],FIND("[",作者统计[[#This Row],[作者]],1)+1,FIND("]",作者统计[[#This Row],[作者]],1)-FIND("[",作者统计[[#This Row],[作者]],1)-1),"")</f>
        <v/>
      </c>
      <c r="J477" s="68" t="str">
        <f>IFERROR(MID(作者统计[[#This Row],[作者]],FIND("(",作者统计[[#This Row],[作者]],1)+1,FIND(")",作者统计[[#This Row],[作者]],1)-FIND("(",作者统计[[#This Row],[作者]],1)-1),"")</f>
        <v/>
      </c>
      <c r="L477" s="6"/>
      <c r="M477" s="5"/>
      <c r="U477" s="5"/>
      <c r="W477"/>
    </row>
    <row r="478" spans="2:23" ht="18" customHeight="1" x14ac:dyDescent="0.25">
      <c r="B478" s="256"/>
      <c r="C478" s="257"/>
      <c r="D478" s="258"/>
      <c r="E478" s="258"/>
      <c r="F478" s="259"/>
      <c r="G478" s="259"/>
      <c r="H478" s="260"/>
      <c r="I478" s="261" t="str">
        <f>IFERROR(MID(作者统计[[#This Row],[作者]],FIND("[",作者统计[[#This Row],[作者]],1)+1,FIND("]",作者统计[[#This Row],[作者]],1)-FIND("[",作者统计[[#This Row],[作者]],1)-1),"")</f>
        <v/>
      </c>
      <c r="J478" s="261" t="str">
        <f>IFERROR(MID(作者统计[[#This Row],[作者]],FIND("(",作者统计[[#This Row],[作者]],1)+1,FIND(")",作者统计[[#This Row],[作者]],1)-FIND("(",作者统计[[#This Row],[作者]],1)-1),"")</f>
        <v/>
      </c>
      <c r="L478" s="6"/>
      <c r="M478" s="5"/>
      <c r="U478" s="5"/>
      <c r="W478"/>
    </row>
    <row r="479" spans="2:23" ht="18" customHeight="1" x14ac:dyDescent="0.25">
      <c r="B479" s="85"/>
      <c r="C479" s="120"/>
      <c r="D479" s="121"/>
      <c r="E479" s="121"/>
      <c r="F479" s="92"/>
      <c r="G479" s="92"/>
      <c r="H479" s="122"/>
      <c r="I479" s="68" t="str">
        <f>IFERROR(MID(作者统计[[#This Row],[作者]],FIND("[",作者统计[[#This Row],[作者]],1)+1,FIND("]",作者统计[[#This Row],[作者]],1)-FIND("[",作者统计[[#This Row],[作者]],1)-1),"")</f>
        <v/>
      </c>
      <c r="J479" s="68" t="str">
        <f>IFERROR(MID(作者统计[[#This Row],[作者]],FIND("(",作者统计[[#This Row],[作者]],1)+1,FIND(")",作者统计[[#This Row],[作者]],1)-FIND("(",作者统计[[#This Row],[作者]],1)-1),"")</f>
        <v/>
      </c>
      <c r="L479" s="6"/>
      <c r="M479" s="5"/>
      <c r="U479" s="5"/>
      <c r="W479"/>
    </row>
    <row r="480" spans="2:23" ht="18" customHeight="1" x14ac:dyDescent="0.25">
      <c r="B480" s="256"/>
      <c r="C480" s="257"/>
      <c r="D480" s="258"/>
      <c r="E480" s="258"/>
      <c r="F480" s="259"/>
      <c r="G480" s="259"/>
      <c r="H480" s="260"/>
      <c r="I480" s="261" t="str">
        <f>IFERROR(MID(作者统计[[#This Row],[作者]],FIND("[",作者统计[[#This Row],[作者]],1)+1,FIND("]",作者统计[[#This Row],[作者]],1)-FIND("[",作者统计[[#This Row],[作者]],1)-1),"")</f>
        <v/>
      </c>
      <c r="J480" s="261" t="str">
        <f>IFERROR(MID(作者统计[[#This Row],[作者]],FIND("(",作者统计[[#This Row],[作者]],1)+1,FIND(")",作者统计[[#This Row],[作者]],1)-FIND("(",作者统计[[#This Row],[作者]],1)-1),"")</f>
        <v/>
      </c>
      <c r="L480" s="6"/>
      <c r="M480" s="5"/>
      <c r="U480" s="5"/>
      <c r="W480"/>
    </row>
    <row r="481" spans="2:23" ht="18" customHeight="1" x14ac:dyDescent="0.25">
      <c r="B481" s="85"/>
      <c r="C481" s="120"/>
      <c r="D481" s="121"/>
      <c r="E481" s="121"/>
      <c r="F481" s="92"/>
      <c r="G481" s="92"/>
      <c r="H481" s="122"/>
      <c r="I481" s="68" t="str">
        <f>IFERROR(MID(作者统计[[#This Row],[作者]],FIND("[",作者统计[[#This Row],[作者]],1)+1,FIND("]",作者统计[[#This Row],[作者]],1)-FIND("[",作者统计[[#This Row],[作者]],1)-1),"")</f>
        <v/>
      </c>
      <c r="J481" s="68" t="str">
        <f>IFERROR(MID(作者统计[[#This Row],[作者]],FIND("(",作者统计[[#This Row],[作者]],1)+1,FIND(")",作者统计[[#This Row],[作者]],1)-FIND("(",作者统计[[#This Row],[作者]],1)-1),"")</f>
        <v/>
      </c>
      <c r="L481" s="6"/>
      <c r="M481" s="5"/>
      <c r="U481" s="5"/>
      <c r="W481"/>
    </row>
    <row r="482" spans="2:23" ht="18" customHeight="1" x14ac:dyDescent="0.25">
      <c r="B482" s="85"/>
      <c r="C482" s="120"/>
      <c r="D482" s="121"/>
      <c r="E482" s="121"/>
      <c r="F482" s="92"/>
      <c r="G482" s="92"/>
      <c r="H482" s="122"/>
      <c r="I482" s="68" t="str">
        <f>IFERROR(MID(作者统计[[#This Row],[作者]],FIND("[",作者统计[[#This Row],[作者]],1)+1,FIND("]",作者统计[[#This Row],[作者]],1)-FIND("[",作者统计[[#This Row],[作者]],1)-1),"")</f>
        <v/>
      </c>
      <c r="J482" s="68" t="str">
        <f>IFERROR(MID(作者统计[[#This Row],[作者]],FIND("(",作者统计[[#This Row],[作者]],1)+1,FIND(")",作者统计[[#This Row],[作者]],1)-FIND("(",作者统计[[#This Row],[作者]],1)-1),"")</f>
        <v/>
      </c>
      <c r="L482" s="6"/>
      <c r="M482" s="5"/>
      <c r="U482" s="5"/>
      <c r="W482"/>
    </row>
    <row r="483" spans="2:23" ht="18" customHeight="1" x14ac:dyDescent="0.25">
      <c r="B483" s="85"/>
      <c r="C483" s="120"/>
      <c r="D483" s="121"/>
      <c r="E483" s="121"/>
      <c r="F483" s="92"/>
      <c r="G483" s="92"/>
      <c r="H483" s="122"/>
      <c r="I483" s="68" t="str">
        <f>IFERROR(MID(作者统计[[#This Row],[作者]],FIND("[",作者统计[[#This Row],[作者]],1)+1,FIND("]",作者统计[[#This Row],[作者]],1)-FIND("[",作者统计[[#This Row],[作者]],1)-1),"")</f>
        <v/>
      </c>
      <c r="J483" s="68" t="str">
        <f>IFERROR(MID(作者统计[[#This Row],[作者]],FIND("(",作者统计[[#This Row],[作者]],1)+1,FIND(")",作者统计[[#This Row],[作者]],1)-FIND("(",作者统计[[#This Row],[作者]],1)-1),"")</f>
        <v/>
      </c>
      <c r="L483" s="6"/>
      <c r="M483" s="5"/>
      <c r="U483" s="5"/>
      <c r="W483"/>
    </row>
    <row r="484" spans="2:23" ht="18" customHeight="1" x14ac:dyDescent="0.25">
      <c r="B484" s="309"/>
      <c r="C484" s="120"/>
      <c r="D484" s="121"/>
      <c r="E484" s="121"/>
      <c r="F484" s="92"/>
      <c r="G484" s="92"/>
      <c r="H484" s="122"/>
      <c r="I484" s="68" t="str">
        <f>IFERROR(MID(作者统计[[#This Row],[作者]],FIND("[",作者统计[[#This Row],[作者]],1)+1,FIND("]",作者统计[[#This Row],[作者]],1)-FIND("[",作者统计[[#This Row],[作者]],1)-1),"")</f>
        <v/>
      </c>
      <c r="J484" s="68" t="str">
        <f>IFERROR(MID(作者统计[[#This Row],[作者]],FIND("(",作者统计[[#This Row],[作者]],1)+1,FIND(")",作者统计[[#This Row],[作者]],1)-FIND("(",作者统计[[#This Row],[作者]],1)-1),"")</f>
        <v/>
      </c>
      <c r="L484" s="6"/>
      <c r="M484" s="5"/>
      <c r="U484" s="5"/>
      <c r="W484"/>
    </row>
    <row r="485" spans="2:23" ht="18" customHeight="1" x14ac:dyDescent="0.25">
      <c r="B485" s="309"/>
      <c r="C485" s="120"/>
      <c r="D485" s="121"/>
      <c r="E485" s="121"/>
      <c r="F485" s="92"/>
      <c r="G485" s="92"/>
      <c r="H485" s="122"/>
      <c r="I485" s="68" t="str">
        <f>IFERROR(MID(作者统计[[#This Row],[作者]],FIND("[",作者统计[[#This Row],[作者]],1)+1,FIND("]",作者统计[[#This Row],[作者]],1)-FIND("[",作者统计[[#This Row],[作者]],1)-1),"")</f>
        <v/>
      </c>
      <c r="J485" s="68" t="str">
        <f>IFERROR(MID(作者统计[[#This Row],[作者]],FIND("(",作者统计[[#This Row],[作者]],1)+1,FIND(")",作者统计[[#This Row],[作者]],1)-FIND("(",作者统计[[#This Row],[作者]],1)-1),"")</f>
        <v/>
      </c>
      <c r="L485" s="6"/>
      <c r="M485" s="5"/>
      <c r="U485" s="5"/>
      <c r="W485"/>
    </row>
    <row r="486" spans="2:23" ht="18" customHeight="1" x14ac:dyDescent="0.25">
      <c r="B486" s="256"/>
      <c r="C486" s="257"/>
      <c r="D486" s="258"/>
      <c r="E486" s="258"/>
      <c r="F486" s="259"/>
      <c r="G486" s="259"/>
      <c r="H486" s="260"/>
      <c r="I486" s="261" t="str">
        <f>IFERROR(MID(作者统计[[#This Row],[作者]],FIND("[",作者统计[[#This Row],[作者]],1)+1,FIND("]",作者统计[[#This Row],[作者]],1)-FIND("[",作者统计[[#This Row],[作者]],1)-1),"")</f>
        <v/>
      </c>
      <c r="J486" s="261" t="str">
        <f>IFERROR(MID(作者统计[[#This Row],[作者]],FIND("(",作者统计[[#This Row],[作者]],1)+1,FIND(")",作者统计[[#This Row],[作者]],1)-FIND("(",作者统计[[#This Row],[作者]],1)-1),"")</f>
        <v/>
      </c>
      <c r="L486" s="6"/>
      <c r="M486" s="5"/>
      <c r="U486" s="5"/>
      <c r="W486"/>
    </row>
    <row r="487" spans="2:23" ht="18" customHeight="1" x14ac:dyDescent="0.25">
      <c r="B487" s="309"/>
      <c r="C487" s="120"/>
      <c r="D487" s="121"/>
      <c r="E487" s="121"/>
      <c r="F487" s="92"/>
      <c r="G487" s="92"/>
      <c r="H487" s="122"/>
      <c r="I487" s="68" t="str">
        <f>IFERROR(MID(作者统计[[#This Row],[作者]],FIND("[",作者统计[[#This Row],[作者]],1)+1,FIND("]",作者统计[[#This Row],[作者]],1)-FIND("[",作者统计[[#This Row],[作者]],1)-1),"")</f>
        <v/>
      </c>
      <c r="J487" s="68" t="str">
        <f>IFERROR(MID(作者统计[[#This Row],[作者]],FIND("(",作者统计[[#This Row],[作者]],1)+1,FIND(")",作者统计[[#This Row],[作者]],1)-FIND("(",作者统计[[#This Row],[作者]],1)-1),"")</f>
        <v/>
      </c>
      <c r="L487" s="6"/>
      <c r="M487" s="5"/>
      <c r="U487" s="5"/>
      <c r="W487"/>
    </row>
    <row r="488" spans="2:23" ht="18" customHeight="1" x14ac:dyDescent="0.25">
      <c r="B488" s="85"/>
      <c r="C488" s="120"/>
      <c r="D488" s="121"/>
      <c r="E488" s="121"/>
      <c r="F488" s="92"/>
      <c r="G488" s="92"/>
      <c r="H488" s="122"/>
      <c r="I488" s="68" t="str">
        <f>IFERROR(MID(作者统计[[#This Row],[作者]],FIND("[",作者统计[[#This Row],[作者]],1)+1,FIND("]",作者统计[[#This Row],[作者]],1)-FIND("[",作者统计[[#This Row],[作者]],1)-1),"")</f>
        <v/>
      </c>
      <c r="J488" s="68" t="str">
        <f>IFERROR(MID(作者统计[[#This Row],[作者]],FIND("(",作者统计[[#This Row],[作者]],1)+1,FIND(")",作者统计[[#This Row],[作者]],1)-FIND("(",作者统计[[#This Row],[作者]],1)-1),"")</f>
        <v/>
      </c>
      <c r="L488" s="6"/>
      <c r="M488" s="5"/>
      <c r="U488" s="5"/>
      <c r="W488"/>
    </row>
    <row r="489" spans="2:23" ht="18" customHeight="1" x14ac:dyDescent="0.25">
      <c r="B489" s="309"/>
      <c r="C489" s="120"/>
      <c r="D489" s="121"/>
      <c r="E489" s="121"/>
      <c r="F489" s="92"/>
      <c r="G489" s="92"/>
      <c r="H489" s="122"/>
      <c r="I489" s="68" t="str">
        <f>IFERROR(MID(作者统计[[#This Row],[作者]],FIND("[",作者统计[[#This Row],[作者]],1)+1,FIND("]",作者统计[[#This Row],[作者]],1)-FIND("[",作者统计[[#This Row],[作者]],1)-1),"")</f>
        <v/>
      </c>
      <c r="J489" s="68" t="str">
        <f>IFERROR(MID(作者统计[[#This Row],[作者]],FIND("(",作者统计[[#This Row],[作者]],1)+1,FIND(")",作者统计[[#This Row],[作者]],1)-FIND("(",作者统计[[#This Row],[作者]],1)-1),"")</f>
        <v/>
      </c>
      <c r="L489" s="6"/>
      <c r="M489" s="5"/>
      <c r="U489" s="5"/>
      <c r="W489"/>
    </row>
    <row r="490" spans="2:23" ht="18" customHeight="1" x14ac:dyDescent="0.25">
      <c r="B490" s="256"/>
      <c r="C490" s="257"/>
      <c r="D490" s="258"/>
      <c r="E490" s="258"/>
      <c r="F490" s="259"/>
      <c r="G490" s="259"/>
      <c r="H490" s="260"/>
      <c r="I490" s="261" t="str">
        <f>IFERROR(MID(作者统计[[#This Row],[作者]],FIND("[",作者统计[[#This Row],[作者]],1)+1,FIND("]",作者统计[[#This Row],[作者]],1)-FIND("[",作者统计[[#This Row],[作者]],1)-1),"")</f>
        <v/>
      </c>
      <c r="J490" s="261" t="str">
        <f>IFERROR(MID(作者统计[[#This Row],[作者]],FIND("(",作者统计[[#This Row],[作者]],1)+1,FIND(")",作者统计[[#This Row],[作者]],1)-FIND("(",作者统计[[#This Row],[作者]],1)-1),"")</f>
        <v/>
      </c>
      <c r="L490" s="6"/>
      <c r="M490" s="5"/>
      <c r="U490" s="5"/>
      <c r="W490"/>
    </row>
    <row r="491" spans="2:23" ht="18" customHeight="1" x14ac:dyDescent="0.25">
      <c r="B491" s="256"/>
      <c r="C491" s="257"/>
      <c r="D491" s="258"/>
      <c r="E491" s="258"/>
      <c r="F491" s="259"/>
      <c r="G491" s="259"/>
      <c r="H491" s="260"/>
      <c r="I491" s="261" t="str">
        <f>IFERROR(MID(作者统计[[#This Row],[作者]],FIND("[",作者统计[[#This Row],[作者]],1)+1,FIND("]",作者统计[[#This Row],[作者]],1)-FIND("[",作者统计[[#This Row],[作者]],1)-1),"")</f>
        <v/>
      </c>
      <c r="J491" s="261" t="str">
        <f>IFERROR(MID(作者统计[[#This Row],[作者]],FIND("(",作者统计[[#This Row],[作者]],1)+1,FIND(")",作者统计[[#This Row],[作者]],1)-FIND("(",作者统计[[#This Row],[作者]],1)-1),"")</f>
        <v/>
      </c>
      <c r="L491" s="6"/>
      <c r="M491" s="5"/>
      <c r="U491" s="5"/>
      <c r="W491"/>
    </row>
    <row r="492" spans="2:23" ht="18" customHeight="1" x14ac:dyDescent="0.25">
      <c r="B492" s="256"/>
      <c r="C492" s="257"/>
      <c r="D492" s="258"/>
      <c r="E492" s="258"/>
      <c r="F492" s="259"/>
      <c r="G492" s="259"/>
      <c r="H492" s="260"/>
      <c r="I492" s="261" t="str">
        <f>IFERROR(MID(作者统计[[#This Row],[作者]],FIND("[",作者统计[[#This Row],[作者]],1)+1,FIND("]",作者统计[[#This Row],[作者]],1)-FIND("[",作者统计[[#This Row],[作者]],1)-1),"")</f>
        <v/>
      </c>
      <c r="J492" s="261" t="str">
        <f>IFERROR(MID(作者统计[[#This Row],[作者]],FIND("(",作者统计[[#This Row],[作者]],1)+1,FIND(")",作者统计[[#This Row],[作者]],1)-FIND("(",作者统计[[#This Row],[作者]],1)-1),"")</f>
        <v/>
      </c>
      <c r="L492" s="6"/>
      <c r="M492" s="5"/>
      <c r="U492" s="5"/>
      <c r="W492"/>
    </row>
    <row r="493" spans="2:23" ht="18" customHeight="1" x14ac:dyDescent="0.25">
      <c r="B493" s="85"/>
      <c r="C493" s="120"/>
      <c r="D493" s="121"/>
      <c r="E493" s="121"/>
      <c r="F493" s="92"/>
      <c r="G493" s="92"/>
      <c r="H493" s="122"/>
      <c r="I493" s="68" t="str">
        <f>IFERROR(MID(作者统计[[#This Row],[作者]],FIND("[",作者统计[[#This Row],[作者]],1)+1,FIND("]",作者统计[[#This Row],[作者]],1)-FIND("[",作者统计[[#This Row],[作者]],1)-1),"")</f>
        <v/>
      </c>
      <c r="J493" s="68" t="str">
        <f>IFERROR(MID(作者统计[[#This Row],[作者]],FIND("(",作者统计[[#This Row],[作者]],1)+1,FIND(")",作者统计[[#This Row],[作者]],1)-FIND("(",作者统计[[#This Row],[作者]],1)-1),"")</f>
        <v/>
      </c>
      <c r="L493" s="6"/>
      <c r="M493" s="5"/>
      <c r="U493" s="5"/>
      <c r="W493"/>
    </row>
    <row r="494" spans="2:23" ht="18" customHeight="1" x14ac:dyDescent="0.25">
      <c r="B494" s="85"/>
      <c r="C494" s="120"/>
      <c r="D494" s="121"/>
      <c r="E494" s="121"/>
      <c r="F494" s="92"/>
      <c r="G494" s="92"/>
      <c r="H494" s="122"/>
      <c r="I494" s="68" t="str">
        <f>IFERROR(MID(作者统计[[#This Row],[作者]],FIND("[",作者统计[[#This Row],[作者]],1)+1,FIND("]",作者统计[[#This Row],[作者]],1)-FIND("[",作者统计[[#This Row],[作者]],1)-1),"")</f>
        <v/>
      </c>
      <c r="J494" s="68" t="str">
        <f>IFERROR(MID(作者统计[[#This Row],[作者]],FIND("(",作者统计[[#This Row],[作者]],1)+1,FIND(")",作者统计[[#This Row],[作者]],1)-FIND("(",作者统计[[#This Row],[作者]],1)-1),"")</f>
        <v/>
      </c>
      <c r="L494" s="6"/>
      <c r="M494" s="5"/>
      <c r="U494" s="5"/>
      <c r="W494"/>
    </row>
    <row r="495" spans="2:23" ht="18" customHeight="1" x14ac:dyDescent="0.25">
      <c r="B495" s="85"/>
      <c r="C495" s="120"/>
      <c r="D495" s="121"/>
      <c r="E495" s="121"/>
      <c r="F495" s="92"/>
      <c r="G495" s="92"/>
      <c r="H495" s="122"/>
      <c r="I495" s="68" t="str">
        <f>IFERROR(MID(作者统计[[#This Row],[作者]],FIND("[",作者统计[[#This Row],[作者]],1)+1,FIND("]",作者统计[[#This Row],[作者]],1)-FIND("[",作者统计[[#This Row],[作者]],1)-1),"")</f>
        <v/>
      </c>
      <c r="J495" s="68" t="str">
        <f>IFERROR(MID(作者统计[[#This Row],[作者]],FIND("(",作者统计[[#This Row],[作者]],1)+1,FIND(")",作者统计[[#This Row],[作者]],1)-FIND("(",作者统计[[#This Row],[作者]],1)-1),"")</f>
        <v/>
      </c>
      <c r="L495" s="6"/>
      <c r="M495" s="5"/>
      <c r="U495" s="5"/>
      <c r="W495"/>
    </row>
    <row r="496" spans="2:23" ht="18" customHeight="1" x14ac:dyDescent="0.25">
      <c r="B496" s="309"/>
      <c r="C496" s="120"/>
      <c r="D496" s="121"/>
      <c r="E496" s="121"/>
      <c r="F496" s="92"/>
      <c r="G496" s="92"/>
      <c r="H496" s="122"/>
      <c r="I496" s="68" t="str">
        <f>IFERROR(MID(作者统计[[#This Row],[作者]],FIND("[",作者统计[[#This Row],[作者]],1)+1,FIND("]",作者统计[[#This Row],[作者]],1)-FIND("[",作者统计[[#This Row],[作者]],1)-1),"")</f>
        <v/>
      </c>
      <c r="J496" s="68" t="str">
        <f>IFERROR(MID(作者统计[[#This Row],[作者]],FIND("(",作者统计[[#This Row],[作者]],1)+1,FIND(")",作者统计[[#This Row],[作者]],1)-FIND("(",作者统计[[#This Row],[作者]],1)-1),"")</f>
        <v/>
      </c>
      <c r="L496" s="6"/>
      <c r="M496" s="5"/>
      <c r="U496" s="5"/>
      <c r="W496"/>
    </row>
    <row r="497" spans="2:23" ht="18" customHeight="1" x14ac:dyDescent="0.25">
      <c r="B497" s="309"/>
      <c r="C497" s="120"/>
      <c r="D497" s="121"/>
      <c r="E497" s="121"/>
      <c r="F497" s="92"/>
      <c r="G497" s="92"/>
      <c r="H497" s="122"/>
      <c r="I497" s="68" t="str">
        <f>IFERROR(MID(作者统计[[#This Row],[作者]],FIND("[",作者统计[[#This Row],[作者]],1)+1,FIND("]",作者统计[[#This Row],[作者]],1)-FIND("[",作者统计[[#This Row],[作者]],1)-1),"")</f>
        <v/>
      </c>
      <c r="J497" s="68" t="str">
        <f>IFERROR(MID(作者统计[[#This Row],[作者]],FIND("(",作者统计[[#This Row],[作者]],1)+1,FIND(")",作者统计[[#This Row],[作者]],1)-FIND("(",作者统计[[#This Row],[作者]],1)-1),"")</f>
        <v/>
      </c>
      <c r="L497" s="6"/>
      <c r="M497" s="5"/>
      <c r="U497" s="5"/>
      <c r="W497"/>
    </row>
    <row r="498" spans="2:23" ht="18" customHeight="1" x14ac:dyDescent="0.25">
      <c r="B498" s="309"/>
      <c r="C498" s="120"/>
      <c r="D498" s="121"/>
      <c r="E498" s="121"/>
      <c r="F498" s="92"/>
      <c r="G498" s="92"/>
      <c r="H498" s="122"/>
      <c r="I498" s="68" t="str">
        <f>IFERROR(MID(作者统计[[#This Row],[作者]],FIND("[",作者统计[[#This Row],[作者]],1)+1,FIND("]",作者统计[[#This Row],[作者]],1)-FIND("[",作者统计[[#This Row],[作者]],1)-1),"")</f>
        <v/>
      </c>
      <c r="J498" s="68" t="str">
        <f>IFERROR(MID(作者统计[[#This Row],[作者]],FIND("(",作者统计[[#This Row],[作者]],1)+1,FIND(")",作者统计[[#This Row],[作者]],1)-FIND("(",作者统计[[#This Row],[作者]],1)-1),"")</f>
        <v/>
      </c>
      <c r="L498" s="6"/>
      <c r="M498" s="5"/>
      <c r="U498" s="5"/>
      <c r="W498"/>
    </row>
    <row r="499" spans="2:23" ht="18" customHeight="1" x14ac:dyDescent="0.25">
      <c r="B499" s="85"/>
      <c r="C499" s="120"/>
      <c r="D499" s="121"/>
      <c r="E499" s="121"/>
      <c r="F499" s="92"/>
      <c r="G499" s="92"/>
      <c r="H499" s="122"/>
      <c r="I499" s="68" t="str">
        <f>IFERROR(MID(作者统计[[#This Row],[作者]],FIND("[",作者统计[[#This Row],[作者]],1)+1,FIND("]",作者统计[[#This Row],[作者]],1)-FIND("[",作者统计[[#This Row],[作者]],1)-1),"")</f>
        <v/>
      </c>
      <c r="J499" s="68" t="str">
        <f>IFERROR(MID(作者统计[[#This Row],[作者]],FIND("(",作者统计[[#This Row],[作者]],1)+1,FIND(")",作者统计[[#This Row],[作者]],1)-FIND("(",作者统计[[#This Row],[作者]],1)-1),"")</f>
        <v/>
      </c>
      <c r="L499" s="6"/>
      <c r="M499" s="5"/>
      <c r="U499" s="5"/>
      <c r="W499"/>
    </row>
    <row r="500" spans="2:23" ht="18" customHeight="1" x14ac:dyDescent="0.25">
      <c r="B500" s="85"/>
      <c r="C500" s="120"/>
      <c r="D500" s="121"/>
      <c r="E500" s="121"/>
      <c r="F500" s="92"/>
      <c r="G500" s="92"/>
      <c r="H500" s="122"/>
      <c r="I500" s="68" t="str">
        <f>IFERROR(MID(作者统计[[#This Row],[作者]],FIND("[",作者统计[[#This Row],[作者]],1)+1,FIND("]",作者统计[[#This Row],[作者]],1)-FIND("[",作者统计[[#This Row],[作者]],1)-1),"")</f>
        <v/>
      </c>
      <c r="J500" s="68" t="str">
        <f>IFERROR(MID(作者统计[[#This Row],[作者]],FIND("(",作者统计[[#This Row],[作者]],1)+1,FIND(")",作者统计[[#This Row],[作者]],1)-FIND("(",作者统计[[#This Row],[作者]],1)-1),"")</f>
        <v/>
      </c>
      <c r="L500" s="6"/>
      <c r="M500" s="5"/>
      <c r="U500" s="5"/>
      <c r="W500"/>
    </row>
    <row r="501" spans="2:23" ht="18" customHeight="1" x14ac:dyDescent="0.25">
      <c r="B501" s="309"/>
      <c r="C501" s="120"/>
      <c r="D501" s="121"/>
      <c r="E501" s="121"/>
      <c r="F501" s="92"/>
      <c r="G501" s="92"/>
      <c r="H501" s="122"/>
      <c r="I501" s="68" t="str">
        <f>IFERROR(MID(作者统计[[#This Row],[作者]],FIND("[",作者统计[[#This Row],[作者]],1)+1,FIND("]",作者统计[[#This Row],[作者]],1)-FIND("[",作者统计[[#This Row],[作者]],1)-1),"")</f>
        <v/>
      </c>
      <c r="J501" s="68" t="str">
        <f>IFERROR(MID(作者统计[[#This Row],[作者]],FIND("(",作者统计[[#This Row],[作者]],1)+1,FIND(")",作者统计[[#This Row],[作者]],1)-FIND("(",作者统计[[#This Row],[作者]],1)-1),"")</f>
        <v/>
      </c>
      <c r="L501" s="6"/>
      <c r="M501" s="5"/>
      <c r="U501" s="5"/>
      <c r="W501"/>
    </row>
    <row r="502" spans="2:23" ht="18" customHeight="1" x14ac:dyDescent="0.25">
      <c r="B502" s="256"/>
      <c r="C502" s="257"/>
      <c r="D502" s="258"/>
      <c r="E502" s="258"/>
      <c r="F502" s="259"/>
      <c r="G502" s="259"/>
      <c r="H502" s="260"/>
      <c r="I502" s="261" t="str">
        <f>IFERROR(MID(作者统计[[#This Row],[作者]],FIND("[",作者统计[[#This Row],[作者]],1)+1,FIND("]",作者统计[[#This Row],[作者]],1)-FIND("[",作者统计[[#This Row],[作者]],1)-1),"")</f>
        <v/>
      </c>
      <c r="J502" s="261" t="str">
        <f>IFERROR(MID(作者统计[[#This Row],[作者]],FIND("(",作者统计[[#This Row],[作者]],1)+1,FIND(")",作者统计[[#This Row],[作者]],1)-FIND("(",作者统计[[#This Row],[作者]],1)-1),"")</f>
        <v/>
      </c>
      <c r="L502" s="6"/>
      <c r="M502" s="5"/>
      <c r="U502" s="5"/>
      <c r="W502"/>
    </row>
    <row r="503" spans="2:23" ht="18" customHeight="1" x14ac:dyDescent="0.25">
      <c r="B503" s="85"/>
      <c r="C503" s="120"/>
      <c r="D503" s="121"/>
      <c r="E503" s="121"/>
      <c r="F503" s="92"/>
      <c r="G503" s="92"/>
      <c r="H503" s="122"/>
      <c r="I503" s="68" t="str">
        <f>IFERROR(MID(作者统计[[#This Row],[作者]],FIND("[",作者统计[[#This Row],[作者]],1)+1,FIND("]",作者统计[[#This Row],[作者]],1)-FIND("[",作者统计[[#This Row],[作者]],1)-1),"")</f>
        <v/>
      </c>
      <c r="J503" s="68" t="str">
        <f>IFERROR(MID(作者统计[[#This Row],[作者]],FIND("(",作者统计[[#This Row],[作者]],1)+1,FIND(")",作者统计[[#This Row],[作者]],1)-FIND("(",作者统计[[#This Row],[作者]],1)-1),"")</f>
        <v/>
      </c>
      <c r="L503" s="6"/>
      <c r="M503" s="5"/>
      <c r="U503" s="5"/>
      <c r="W503"/>
    </row>
    <row r="504" spans="2:23" ht="18" customHeight="1" x14ac:dyDescent="0.25">
      <c r="B504" s="309"/>
      <c r="C504" s="120"/>
      <c r="D504" s="121"/>
      <c r="E504" s="121"/>
      <c r="F504" s="92"/>
      <c r="G504" s="92"/>
      <c r="H504" s="122"/>
      <c r="I504" s="68" t="str">
        <f>IFERROR(MID(作者统计[[#This Row],[作者]],FIND("[",作者统计[[#This Row],[作者]],1)+1,FIND("]",作者统计[[#This Row],[作者]],1)-FIND("[",作者统计[[#This Row],[作者]],1)-1),"")</f>
        <v/>
      </c>
      <c r="J504" s="68" t="str">
        <f>IFERROR(MID(作者统计[[#This Row],[作者]],FIND("(",作者统计[[#This Row],[作者]],1)+1,FIND(")",作者统计[[#This Row],[作者]],1)-FIND("(",作者统计[[#This Row],[作者]],1)-1),"")</f>
        <v/>
      </c>
      <c r="L504" s="6"/>
      <c r="M504" s="5"/>
      <c r="U504" s="5"/>
      <c r="W504"/>
    </row>
    <row r="505" spans="2:23" ht="18" customHeight="1" x14ac:dyDescent="0.25">
      <c r="B505" s="309"/>
      <c r="C505" s="120"/>
      <c r="D505" s="121"/>
      <c r="E505" s="121"/>
      <c r="F505" s="92"/>
      <c r="G505" s="92"/>
      <c r="H505" s="122"/>
      <c r="I505" s="68" t="str">
        <f>IFERROR(MID(作者统计[[#This Row],[作者]],FIND("[",作者统计[[#This Row],[作者]],1)+1,FIND("]",作者统计[[#This Row],[作者]],1)-FIND("[",作者统计[[#This Row],[作者]],1)-1),"")</f>
        <v/>
      </c>
      <c r="J505" s="68" t="str">
        <f>IFERROR(MID(作者统计[[#This Row],[作者]],FIND("(",作者统计[[#This Row],[作者]],1)+1,FIND(")",作者统计[[#This Row],[作者]],1)-FIND("(",作者统计[[#This Row],[作者]],1)-1),"")</f>
        <v/>
      </c>
      <c r="L505" s="6"/>
      <c r="M505" s="5"/>
      <c r="U505" s="5"/>
      <c r="W505"/>
    </row>
    <row r="506" spans="2:23" ht="18" customHeight="1" x14ac:dyDescent="0.25">
      <c r="B506" s="256"/>
      <c r="C506" s="257"/>
      <c r="D506" s="258"/>
      <c r="E506" s="258"/>
      <c r="F506" s="259"/>
      <c r="G506" s="259"/>
      <c r="H506" s="260"/>
      <c r="I506" s="261" t="str">
        <f>IFERROR(MID(作者统计[[#This Row],[作者]],FIND("[",作者统计[[#This Row],[作者]],1)+1,FIND("]",作者统计[[#This Row],[作者]],1)-FIND("[",作者统计[[#This Row],[作者]],1)-1),"")</f>
        <v/>
      </c>
      <c r="J506" s="261" t="str">
        <f>IFERROR(MID(作者统计[[#This Row],[作者]],FIND("(",作者统计[[#This Row],[作者]],1)+1,FIND(")",作者统计[[#This Row],[作者]],1)-FIND("(",作者统计[[#This Row],[作者]],1)-1),"")</f>
        <v/>
      </c>
      <c r="L506" s="6"/>
      <c r="M506" s="5"/>
      <c r="U506" s="5"/>
      <c r="W506"/>
    </row>
    <row r="507" spans="2:23" ht="18" customHeight="1" x14ac:dyDescent="0.25">
      <c r="B507" s="256"/>
      <c r="C507" s="257"/>
      <c r="D507" s="258"/>
      <c r="E507" s="258"/>
      <c r="F507" s="259"/>
      <c r="G507" s="259"/>
      <c r="H507" s="260"/>
      <c r="I507" s="261" t="str">
        <f>IFERROR(MID(作者统计[[#This Row],[作者]],FIND("[",作者统计[[#This Row],[作者]],1)+1,FIND("]",作者统计[[#This Row],[作者]],1)-FIND("[",作者统计[[#This Row],[作者]],1)-1),"")</f>
        <v/>
      </c>
      <c r="J507" s="261" t="str">
        <f>IFERROR(MID(作者统计[[#This Row],[作者]],FIND("(",作者统计[[#This Row],[作者]],1)+1,FIND(")",作者统计[[#This Row],[作者]],1)-FIND("(",作者统计[[#This Row],[作者]],1)-1),"")</f>
        <v/>
      </c>
      <c r="L507" s="6"/>
      <c r="M507" s="5"/>
      <c r="U507" s="5"/>
      <c r="W507"/>
    </row>
    <row r="508" spans="2:23" ht="18" customHeight="1" x14ac:dyDescent="0.25">
      <c r="B508" s="256"/>
      <c r="C508" s="257"/>
      <c r="D508" s="258"/>
      <c r="E508" s="258"/>
      <c r="F508" s="259"/>
      <c r="G508" s="259"/>
      <c r="H508" s="260"/>
      <c r="I508" s="261" t="str">
        <f>IFERROR(MID(作者统计[[#This Row],[作者]],FIND("[",作者统计[[#This Row],[作者]],1)+1,FIND("]",作者统计[[#This Row],[作者]],1)-FIND("[",作者统计[[#This Row],[作者]],1)-1),"")</f>
        <v/>
      </c>
      <c r="J508" s="261" t="str">
        <f>IFERROR(MID(作者统计[[#This Row],[作者]],FIND("(",作者统计[[#This Row],[作者]],1)+1,FIND(")",作者统计[[#This Row],[作者]],1)-FIND("(",作者统计[[#This Row],[作者]],1)-1),"")</f>
        <v/>
      </c>
      <c r="L508" s="6"/>
      <c r="M508" s="5"/>
      <c r="U508" s="5"/>
      <c r="W508"/>
    </row>
    <row r="509" spans="2:23" ht="18" customHeight="1" x14ac:dyDescent="0.25">
      <c r="B509" s="85"/>
      <c r="C509" s="120"/>
      <c r="D509" s="121"/>
      <c r="E509" s="121"/>
      <c r="F509" s="92"/>
      <c r="G509" s="92"/>
      <c r="H509" s="122"/>
      <c r="I509" s="68" t="str">
        <f>IFERROR(MID(作者统计[[#This Row],[作者]],FIND("[",作者统计[[#This Row],[作者]],1)+1,FIND("]",作者统计[[#This Row],[作者]],1)-FIND("[",作者统计[[#This Row],[作者]],1)-1),"")</f>
        <v/>
      </c>
      <c r="J509" s="68" t="str">
        <f>IFERROR(MID(作者统计[[#This Row],[作者]],FIND("(",作者统计[[#This Row],[作者]],1)+1,FIND(")",作者统计[[#This Row],[作者]],1)-FIND("(",作者统计[[#This Row],[作者]],1)-1),"")</f>
        <v/>
      </c>
      <c r="L509" s="6"/>
      <c r="M509" s="5"/>
      <c r="U509" s="5"/>
      <c r="W509"/>
    </row>
    <row r="510" spans="2:23" ht="18" customHeight="1" x14ac:dyDescent="0.25">
      <c r="B510" s="309"/>
      <c r="C510" s="120"/>
      <c r="D510" s="121"/>
      <c r="E510" s="121"/>
      <c r="F510" s="92"/>
      <c r="G510" s="92"/>
      <c r="H510" s="122"/>
      <c r="I510" s="68" t="str">
        <f>IFERROR(MID(作者统计[[#This Row],[作者]],FIND("[",作者统计[[#This Row],[作者]],1)+1,FIND("]",作者统计[[#This Row],[作者]],1)-FIND("[",作者统计[[#This Row],[作者]],1)-1),"")</f>
        <v/>
      </c>
      <c r="J510" s="68" t="str">
        <f>IFERROR(MID(作者统计[[#This Row],[作者]],FIND("(",作者统计[[#This Row],[作者]],1)+1,FIND(")",作者统计[[#This Row],[作者]],1)-FIND("(",作者统计[[#This Row],[作者]],1)-1),"")</f>
        <v/>
      </c>
      <c r="L510" s="6"/>
      <c r="M510" s="5"/>
      <c r="U510" s="5"/>
      <c r="W510"/>
    </row>
    <row r="511" spans="2:23" ht="18" customHeight="1" x14ac:dyDescent="0.25">
      <c r="B511" s="256"/>
      <c r="C511" s="257"/>
      <c r="D511" s="258"/>
      <c r="E511" s="258"/>
      <c r="F511" s="259"/>
      <c r="G511" s="259"/>
      <c r="H511" s="260"/>
      <c r="I511" s="261" t="str">
        <f>IFERROR(MID(作者统计[[#This Row],[作者]],FIND("[",作者统计[[#This Row],[作者]],1)+1,FIND("]",作者统计[[#This Row],[作者]],1)-FIND("[",作者统计[[#This Row],[作者]],1)-1),"")</f>
        <v/>
      </c>
      <c r="J511" s="261" t="str">
        <f>IFERROR(MID(作者统计[[#This Row],[作者]],FIND("(",作者统计[[#This Row],[作者]],1)+1,FIND(")",作者统计[[#This Row],[作者]],1)-FIND("(",作者统计[[#This Row],[作者]],1)-1),"")</f>
        <v/>
      </c>
      <c r="L511" s="6"/>
      <c r="M511" s="5"/>
      <c r="U511" s="5"/>
      <c r="W511"/>
    </row>
    <row r="512" spans="2:23" ht="18" customHeight="1" x14ac:dyDescent="0.25">
      <c r="B512" s="309"/>
      <c r="C512" s="120"/>
      <c r="D512" s="121"/>
      <c r="E512" s="121"/>
      <c r="F512" s="92"/>
      <c r="G512" s="92"/>
      <c r="H512" s="122"/>
      <c r="I512" s="68" t="str">
        <f>IFERROR(MID(作者统计[[#This Row],[作者]],FIND("[",作者统计[[#This Row],[作者]],1)+1,FIND("]",作者统计[[#This Row],[作者]],1)-FIND("[",作者统计[[#This Row],[作者]],1)-1),"")</f>
        <v/>
      </c>
      <c r="J512" s="68" t="str">
        <f>IFERROR(MID(作者统计[[#This Row],[作者]],FIND("(",作者统计[[#This Row],[作者]],1)+1,FIND(")",作者统计[[#This Row],[作者]],1)-FIND("(",作者统计[[#This Row],[作者]],1)-1),"")</f>
        <v/>
      </c>
      <c r="L512" s="6"/>
      <c r="M512" s="5"/>
      <c r="U512" s="5"/>
      <c r="W512"/>
    </row>
    <row r="513" spans="2:23" ht="18" customHeight="1" x14ac:dyDescent="0.25">
      <c r="B513" s="85"/>
      <c r="C513" s="120"/>
      <c r="D513" s="121"/>
      <c r="E513" s="121"/>
      <c r="F513" s="92"/>
      <c r="G513" s="92"/>
      <c r="H513" s="122"/>
      <c r="I513" s="68" t="str">
        <f>IFERROR(MID(作者统计[[#This Row],[作者]],FIND("[",作者统计[[#This Row],[作者]],1)+1,FIND("]",作者统计[[#This Row],[作者]],1)-FIND("[",作者统计[[#This Row],[作者]],1)-1),"")</f>
        <v/>
      </c>
      <c r="J513" s="68" t="str">
        <f>IFERROR(MID(作者统计[[#This Row],[作者]],FIND("(",作者统计[[#This Row],[作者]],1)+1,FIND(")",作者统计[[#This Row],[作者]],1)-FIND("(",作者统计[[#This Row],[作者]],1)-1),"")</f>
        <v/>
      </c>
      <c r="L513" s="6"/>
      <c r="M513" s="5"/>
      <c r="U513" s="5"/>
      <c r="W513"/>
    </row>
    <row r="514" spans="2:23" ht="18" customHeight="1" x14ac:dyDescent="0.25">
      <c r="B514" s="309"/>
      <c r="C514" s="120"/>
      <c r="D514" s="121"/>
      <c r="E514" s="121"/>
      <c r="F514" s="92"/>
      <c r="G514" s="92"/>
      <c r="H514" s="122"/>
      <c r="I514" s="68" t="str">
        <f>IFERROR(MID(作者统计[[#This Row],[作者]],FIND("[",作者统计[[#This Row],[作者]],1)+1,FIND("]",作者统计[[#This Row],[作者]],1)-FIND("[",作者统计[[#This Row],[作者]],1)-1),"")</f>
        <v/>
      </c>
      <c r="J514" s="68" t="str">
        <f>IFERROR(MID(作者统计[[#This Row],[作者]],FIND("(",作者统计[[#This Row],[作者]],1)+1,FIND(")",作者统计[[#This Row],[作者]],1)-FIND("(",作者统计[[#This Row],[作者]],1)-1),"")</f>
        <v/>
      </c>
      <c r="L514" s="6"/>
      <c r="M514" s="5"/>
      <c r="U514" s="5"/>
      <c r="W514"/>
    </row>
    <row r="515" spans="2:23" ht="18" customHeight="1" x14ac:dyDescent="0.25">
      <c r="B515" s="309"/>
      <c r="C515" s="120"/>
      <c r="D515" s="121"/>
      <c r="E515" s="121"/>
      <c r="F515" s="92"/>
      <c r="G515" s="92"/>
      <c r="H515" s="122"/>
      <c r="I515" s="68" t="str">
        <f>IFERROR(MID(作者统计[[#This Row],[作者]],FIND("[",作者统计[[#This Row],[作者]],1)+1,FIND("]",作者统计[[#This Row],[作者]],1)-FIND("[",作者统计[[#This Row],[作者]],1)-1),"")</f>
        <v/>
      </c>
      <c r="J515" s="68" t="str">
        <f>IFERROR(MID(作者统计[[#This Row],[作者]],FIND("(",作者统计[[#This Row],[作者]],1)+1,FIND(")",作者统计[[#This Row],[作者]],1)-FIND("(",作者统计[[#This Row],[作者]],1)-1),"")</f>
        <v/>
      </c>
      <c r="L515" s="6"/>
      <c r="M515" s="5"/>
      <c r="U515" s="5"/>
      <c r="W515"/>
    </row>
    <row r="516" spans="2:23" ht="18" customHeight="1" x14ac:dyDescent="0.25">
      <c r="B516" s="309"/>
      <c r="C516" s="120"/>
      <c r="D516" s="121"/>
      <c r="E516" s="121"/>
      <c r="F516" s="92"/>
      <c r="G516" s="92"/>
      <c r="H516" s="122"/>
      <c r="I516" s="68" t="str">
        <f>IFERROR(MID(作者统计[[#This Row],[作者]],FIND("[",作者统计[[#This Row],[作者]],1)+1,FIND("]",作者统计[[#This Row],[作者]],1)-FIND("[",作者统计[[#This Row],[作者]],1)-1),"")</f>
        <v/>
      </c>
      <c r="J516" s="68" t="str">
        <f>IFERROR(MID(作者统计[[#This Row],[作者]],FIND("(",作者统计[[#This Row],[作者]],1)+1,FIND(")",作者统计[[#This Row],[作者]],1)-FIND("(",作者统计[[#This Row],[作者]],1)-1),"")</f>
        <v/>
      </c>
      <c r="L516" s="6"/>
      <c r="M516" s="5"/>
      <c r="U516" s="5"/>
      <c r="W516"/>
    </row>
    <row r="517" spans="2:23" ht="18" customHeight="1" x14ac:dyDescent="0.25">
      <c r="B517" s="309"/>
      <c r="C517" s="120"/>
      <c r="D517" s="121"/>
      <c r="E517" s="121"/>
      <c r="F517" s="92"/>
      <c r="G517" s="92"/>
      <c r="H517" s="122"/>
      <c r="I517" s="68" t="str">
        <f>IFERROR(MID(作者统计[[#This Row],[作者]],FIND("[",作者统计[[#This Row],[作者]],1)+1,FIND("]",作者统计[[#This Row],[作者]],1)-FIND("[",作者统计[[#This Row],[作者]],1)-1),"")</f>
        <v/>
      </c>
      <c r="J517" s="68" t="str">
        <f>IFERROR(MID(作者统计[[#This Row],[作者]],FIND("(",作者统计[[#This Row],[作者]],1)+1,FIND(")",作者统计[[#This Row],[作者]],1)-FIND("(",作者统计[[#This Row],[作者]],1)-1),"")</f>
        <v/>
      </c>
      <c r="L517" s="6"/>
      <c r="M517" s="5"/>
      <c r="U517" s="5"/>
      <c r="W517"/>
    </row>
    <row r="518" spans="2:23" ht="18" customHeight="1" x14ac:dyDescent="0.25">
      <c r="B518" s="256"/>
      <c r="C518" s="257"/>
      <c r="D518" s="258"/>
      <c r="E518" s="258"/>
      <c r="F518" s="259"/>
      <c r="G518" s="259"/>
      <c r="H518" s="260"/>
      <c r="I518" s="261" t="str">
        <f>IFERROR(MID(作者统计[[#This Row],[作者]],FIND("[",作者统计[[#This Row],[作者]],1)+1,FIND("]",作者统计[[#This Row],[作者]],1)-FIND("[",作者统计[[#This Row],[作者]],1)-1),"")</f>
        <v/>
      </c>
      <c r="J518" s="261" t="str">
        <f>IFERROR(MID(作者统计[[#This Row],[作者]],FIND("(",作者统计[[#This Row],[作者]],1)+1,FIND(")",作者统计[[#This Row],[作者]],1)-FIND("(",作者统计[[#This Row],[作者]],1)-1),"")</f>
        <v/>
      </c>
      <c r="L518" s="6"/>
      <c r="M518" s="5"/>
      <c r="U518" s="5"/>
      <c r="W518"/>
    </row>
    <row r="519" spans="2:23" ht="18" customHeight="1" x14ac:dyDescent="0.25">
      <c r="B519" s="309"/>
      <c r="C519" s="120"/>
      <c r="D519" s="121"/>
      <c r="E519" s="121"/>
      <c r="F519" s="92"/>
      <c r="G519" s="92"/>
      <c r="H519" s="122"/>
      <c r="I519" s="68" t="str">
        <f>IFERROR(MID(作者统计[[#This Row],[作者]],FIND("[",作者统计[[#This Row],[作者]],1)+1,FIND("]",作者统计[[#This Row],[作者]],1)-FIND("[",作者统计[[#This Row],[作者]],1)-1),"")</f>
        <v/>
      </c>
      <c r="J519" s="68" t="str">
        <f>IFERROR(MID(作者统计[[#This Row],[作者]],FIND("(",作者统计[[#This Row],[作者]],1)+1,FIND(")",作者统计[[#This Row],[作者]],1)-FIND("(",作者统计[[#This Row],[作者]],1)-1),"")</f>
        <v/>
      </c>
      <c r="L519" s="6"/>
      <c r="M519" s="5"/>
      <c r="U519" s="5"/>
      <c r="W519"/>
    </row>
    <row r="520" spans="2:23" ht="18" customHeight="1" x14ac:dyDescent="0.25">
      <c r="B520" s="85"/>
      <c r="C520" s="120"/>
      <c r="D520" s="121"/>
      <c r="E520" s="121"/>
      <c r="F520" s="92"/>
      <c r="G520" s="92"/>
      <c r="H520" s="122"/>
      <c r="I520" s="68" t="str">
        <f>IFERROR(MID(作者统计[[#This Row],[作者]],FIND("[",作者统计[[#This Row],[作者]],1)+1,FIND("]",作者统计[[#This Row],[作者]],1)-FIND("[",作者统计[[#This Row],[作者]],1)-1),"")</f>
        <v/>
      </c>
      <c r="J520" s="68" t="str">
        <f>IFERROR(MID(作者统计[[#This Row],[作者]],FIND("(",作者统计[[#This Row],[作者]],1)+1,FIND(")",作者统计[[#This Row],[作者]],1)-FIND("(",作者统计[[#This Row],[作者]],1)-1),"")</f>
        <v/>
      </c>
      <c r="L520" s="6"/>
      <c r="M520" s="5"/>
      <c r="U520" s="5"/>
      <c r="W520"/>
    </row>
    <row r="521" spans="2:23" ht="18" customHeight="1" x14ac:dyDescent="0.25">
      <c r="B521" s="309"/>
      <c r="C521" s="120"/>
      <c r="D521" s="121"/>
      <c r="E521" s="121"/>
      <c r="F521" s="92"/>
      <c r="G521" s="92"/>
      <c r="H521" s="122"/>
      <c r="I521" s="68" t="str">
        <f>IFERROR(MID(作者统计[[#This Row],[作者]],FIND("[",作者统计[[#This Row],[作者]],1)+1,FIND("]",作者统计[[#This Row],[作者]],1)-FIND("[",作者统计[[#This Row],[作者]],1)-1),"")</f>
        <v/>
      </c>
      <c r="J521" s="68" t="str">
        <f>IFERROR(MID(作者统计[[#This Row],[作者]],FIND("(",作者统计[[#This Row],[作者]],1)+1,FIND(")",作者统计[[#This Row],[作者]],1)-FIND("(",作者统计[[#This Row],[作者]],1)-1),"")</f>
        <v/>
      </c>
      <c r="L521" s="6"/>
      <c r="M521" s="5"/>
      <c r="U521" s="5"/>
      <c r="W521"/>
    </row>
    <row r="522" spans="2:23" ht="18" customHeight="1" x14ac:dyDescent="0.25">
      <c r="B522" s="256"/>
      <c r="C522" s="257"/>
      <c r="D522" s="258"/>
      <c r="E522" s="258"/>
      <c r="F522" s="259"/>
      <c r="G522" s="259"/>
      <c r="H522" s="260"/>
      <c r="I522" s="261" t="str">
        <f>IFERROR(MID(作者统计[[#This Row],[作者]],FIND("[",作者统计[[#This Row],[作者]],1)+1,FIND("]",作者统计[[#This Row],[作者]],1)-FIND("[",作者统计[[#This Row],[作者]],1)-1),"")</f>
        <v/>
      </c>
      <c r="J522" s="261" t="str">
        <f>IFERROR(MID(作者统计[[#This Row],[作者]],FIND("(",作者统计[[#This Row],[作者]],1)+1,FIND(")",作者统计[[#This Row],[作者]],1)-FIND("(",作者统计[[#This Row],[作者]],1)-1),"")</f>
        <v/>
      </c>
      <c r="L522" s="6"/>
      <c r="M522" s="5"/>
      <c r="U522" s="5"/>
      <c r="W522"/>
    </row>
    <row r="523" spans="2:23" ht="18" customHeight="1" x14ac:dyDescent="0.25">
      <c r="B523" s="85"/>
      <c r="C523" s="120"/>
      <c r="D523" s="121"/>
      <c r="E523" s="121"/>
      <c r="F523" s="92"/>
      <c r="G523" s="92"/>
      <c r="H523" s="122"/>
      <c r="I523" s="68" t="str">
        <f>IFERROR(MID(作者统计[[#This Row],[作者]],FIND("[",作者统计[[#This Row],[作者]],1)+1,FIND("]",作者统计[[#This Row],[作者]],1)-FIND("[",作者统计[[#This Row],[作者]],1)-1),"")</f>
        <v/>
      </c>
      <c r="J523" s="68" t="str">
        <f>IFERROR(MID(作者统计[[#This Row],[作者]],FIND("(",作者统计[[#This Row],[作者]],1)+1,FIND(")",作者统计[[#This Row],[作者]],1)-FIND("(",作者统计[[#This Row],[作者]],1)-1),"")</f>
        <v/>
      </c>
      <c r="L523" s="6"/>
      <c r="M523" s="5"/>
      <c r="U523" s="5"/>
      <c r="W523"/>
    </row>
    <row r="524" spans="2:23" ht="18" customHeight="1" x14ac:dyDescent="0.25">
      <c r="B524" s="256"/>
      <c r="C524" s="257"/>
      <c r="D524" s="258"/>
      <c r="E524" s="258"/>
      <c r="F524" s="259"/>
      <c r="G524" s="259"/>
      <c r="H524" s="260"/>
      <c r="I524" s="261" t="str">
        <f>IFERROR(MID(作者统计[[#This Row],[作者]],FIND("[",作者统计[[#This Row],[作者]],1)+1,FIND("]",作者统计[[#This Row],[作者]],1)-FIND("[",作者统计[[#This Row],[作者]],1)-1),"")</f>
        <v/>
      </c>
      <c r="J524" s="261" t="str">
        <f>IFERROR(MID(作者统计[[#This Row],[作者]],FIND("(",作者统计[[#This Row],[作者]],1)+1,FIND(")",作者统计[[#This Row],[作者]],1)-FIND("(",作者统计[[#This Row],[作者]],1)-1),"")</f>
        <v/>
      </c>
      <c r="L524" s="6"/>
      <c r="M524" s="5"/>
      <c r="U524" s="5"/>
      <c r="W524"/>
    </row>
    <row r="525" spans="2:23" ht="18" customHeight="1" x14ac:dyDescent="0.25">
      <c r="B525" s="256"/>
      <c r="C525" s="257"/>
      <c r="D525" s="258"/>
      <c r="E525" s="258"/>
      <c r="F525" s="259"/>
      <c r="G525" s="259"/>
      <c r="H525" s="260"/>
      <c r="I525" s="261" t="str">
        <f>IFERROR(MID(作者统计[[#This Row],[作者]],FIND("[",作者统计[[#This Row],[作者]],1)+1,FIND("]",作者统计[[#This Row],[作者]],1)-FIND("[",作者统计[[#This Row],[作者]],1)-1),"")</f>
        <v/>
      </c>
      <c r="J525" s="261" t="str">
        <f>IFERROR(MID(作者统计[[#This Row],[作者]],FIND("(",作者统计[[#This Row],[作者]],1)+1,FIND(")",作者统计[[#This Row],[作者]],1)-FIND("(",作者统计[[#This Row],[作者]],1)-1),"")</f>
        <v/>
      </c>
      <c r="L525" s="6"/>
      <c r="M525" s="5"/>
      <c r="U525" s="5"/>
      <c r="W525"/>
    </row>
    <row r="526" spans="2:23" ht="18" customHeight="1" x14ac:dyDescent="0.25">
      <c r="B526" s="85"/>
      <c r="C526" s="120"/>
      <c r="D526" s="121"/>
      <c r="E526" s="121"/>
      <c r="F526" s="92"/>
      <c r="G526" s="92"/>
      <c r="H526" s="122"/>
      <c r="I526" s="68" t="str">
        <f>IFERROR(MID(作者统计[[#This Row],[作者]],FIND("[",作者统计[[#This Row],[作者]],1)+1,FIND("]",作者统计[[#This Row],[作者]],1)-FIND("[",作者统计[[#This Row],[作者]],1)-1),"")</f>
        <v/>
      </c>
      <c r="J526" s="68" t="str">
        <f>IFERROR(MID(作者统计[[#This Row],[作者]],FIND("(",作者统计[[#This Row],[作者]],1)+1,FIND(")",作者统计[[#This Row],[作者]],1)-FIND("(",作者统计[[#This Row],[作者]],1)-1),"")</f>
        <v/>
      </c>
      <c r="L526" s="6"/>
      <c r="M526" s="5"/>
      <c r="U526" s="5"/>
      <c r="W526"/>
    </row>
    <row r="527" spans="2:23" ht="18" customHeight="1" x14ac:dyDescent="0.25">
      <c r="B527" s="85"/>
      <c r="C527" s="120"/>
      <c r="D527" s="121"/>
      <c r="E527" s="121"/>
      <c r="F527" s="92"/>
      <c r="G527" s="92"/>
      <c r="H527" s="122"/>
      <c r="I527" s="68" t="str">
        <f>IFERROR(MID(作者统计[[#This Row],[作者]],FIND("[",作者统计[[#This Row],[作者]],1)+1,FIND("]",作者统计[[#This Row],[作者]],1)-FIND("[",作者统计[[#This Row],[作者]],1)-1),"")</f>
        <v/>
      </c>
      <c r="J527" s="68" t="str">
        <f>IFERROR(MID(作者统计[[#This Row],[作者]],FIND("(",作者统计[[#This Row],[作者]],1)+1,FIND(")",作者统计[[#This Row],[作者]],1)-FIND("(",作者统计[[#This Row],[作者]],1)-1),"")</f>
        <v/>
      </c>
      <c r="L527" s="6"/>
      <c r="M527" s="5"/>
      <c r="U527" s="5"/>
      <c r="W527"/>
    </row>
    <row r="528" spans="2:23" ht="18" customHeight="1" x14ac:dyDescent="0.25">
      <c r="B528" s="85"/>
      <c r="C528" s="120"/>
      <c r="D528" s="121"/>
      <c r="E528" s="121"/>
      <c r="F528" s="92"/>
      <c r="G528" s="92"/>
      <c r="H528" s="123"/>
      <c r="I528" s="68" t="str">
        <f>IFERROR(MID(作者统计[[#This Row],[作者]],FIND("[",作者统计[[#This Row],[作者]],1)+1,FIND("]",作者统计[[#This Row],[作者]],1)-FIND("[",作者统计[[#This Row],[作者]],1)-1),"")</f>
        <v/>
      </c>
      <c r="J528" s="68" t="str">
        <f>IFERROR(MID(作者统计[[#This Row],[作者]],FIND("(",作者统计[[#This Row],[作者]],1)+1,FIND(")",作者统计[[#This Row],[作者]],1)-FIND("(",作者统计[[#This Row],[作者]],1)-1),"")</f>
        <v/>
      </c>
      <c r="L528" s="6"/>
      <c r="M528" s="5"/>
      <c r="U528" s="5"/>
      <c r="W528"/>
    </row>
    <row r="529" spans="2:23" ht="18" customHeight="1" x14ac:dyDescent="0.25">
      <c r="B529" s="256"/>
      <c r="C529" s="257"/>
      <c r="D529" s="258"/>
      <c r="E529" s="258"/>
      <c r="F529" s="259"/>
      <c r="G529" s="259"/>
      <c r="H529" s="260"/>
      <c r="I529" s="261" t="str">
        <f>IFERROR(MID(作者统计[[#This Row],[作者]],FIND("[",作者统计[[#This Row],[作者]],1)+1,FIND("]",作者统计[[#This Row],[作者]],1)-FIND("[",作者统计[[#This Row],[作者]],1)-1),"")</f>
        <v/>
      </c>
      <c r="J529" s="261" t="str">
        <f>IFERROR(MID(作者统计[[#This Row],[作者]],FIND("(",作者统计[[#This Row],[作者]],1)+1,FIND(")",作者统计[[#This Row],[作者]],1)-FIND("(",作者统计[[#This Row],[作者]],1)-1),"")</f>
        <v/>
      </c>
      <c r="L529" s="6"/>
      <c r="M529" s="5"/>
      <c r="U529" s="5"/>
      <c r="W529"/>
    </row>
    <row r="530" spans="2:23" ht="18" customHeight="1" x14ac:dyDescent="0.25">
      <c r="B530" s="256"/>
      <c r="C530" s="257"/>
      <c r="D530" s="258"/>
      <c r="E530" s="258"/>
      <c r="F530" s="259"/>
      <c r="G530" s="259"/>
      <c r="H530" s="260"/>
      <c r="I530" s="261" t="str">
        <f>IFERROR(MID(作者统计[[#This Row],[作者]],FIND("[",作者统计[[#This Row],[作者]],1)+1,FIND("]",作者统计[[#This Row],[作者]],1)-FIND("[",作者统计[[#This Row],[作者]],1)-1),"")</f>
        <v/>
      </c>
      <c r="J530" s="261" t="str">
        <f>IFERROR(MID(作者统计[[#This Row],[作者]],FIND("(",作者统计[[#This Row],[作者]],1)+1,FIND(")",作者统计[[#This Row],[作者]],1)-FIND("(",作者统计[[#This Row],[作者]],1)-1),"")</f>
        <v/>
      </c>
      <c r="L530" s="6"/>
      <c r="M530" s="5"/>
      <c r="U530" s="5"/>
      <c r="W530"/>
    </row>
    <row r="531" spans="2:23" ht="18" customHeight="1" x14ac:dyDescent="0.25">
      <c r="B531" s="309"/>
      <c r="C531" s="120"/>
      <c r="D531" s="121"/>
      <c r="E531" s="121"/>
      <c r="F531" s="92"/>
      <c r="G531" s="92"/>
      <c r="H531" s="122"/>
      <c r="I531" s="68" t="str">
        <f>IFERROR(MID(作者统计[[#This Row],[作者]],FIND("[",作者统计[[#This Row],[作者]],1)+1,FIND("]",作者统计[[#This Row],[作者]],1)-FIND("[",作者统计[[#This Row],[作者]],1)-1),"")</f>
        <v/>
      </c>
      <c r="J531" s="68" t="str">
        <f>IFERROR(MID(作者统计[[#This Row],[作者]],FIND("(",作者统计[[#This Row],[作者]],1)+1,FIND(")",作者统计[[#This Row],[作者]],1)-FIND("(",作者统计[[#This Row],[作者]],1)-1),"")</f>
        <v/>
      </c>
      <c r="L531" s="6"/>
      <c r="M531" s="5"/>
      <c r="U531" s="5"/>
      <c r="W531"/>
    </row>
    <row r="532" spans="2:23" ht="18" customHeight="1" x14ac:dyDescent="0.25">
      <c r="B532" s="85"/>
      <c r="C532" s="120"/>
      <c r="D532" s="121"/>
      <c r="E532" s="121"/>
      <c r="F532" s="92"/>
      <c r="G532" s="92"/>
      <c r="H532" s="122"/>
      <c r="I532" s="68" t="str">
        <f>IFERROR(MID(作者统计[[#This Row],[作者]],FIND("[",作者统计[[#This Row],[作者]],1)+1,FIND("]",作者统计[[#This Row],[作者]],1)-FIND("[",作者统计[[#This Row],[作者]],1)-1),"")</f>
        <v/>
      </c>
      <c r="J532" s="68" t="str">
        <f>IFERROR(MID(作者统计[[#This Row],[作者]],FIND("(",作者统计[[#This Row],[作者]],1)+1,FIND(")",作者统计[[#This Row],[作者]],1)-FIND("(",作者统计[[#This Row],[作者]],1)-1),"")</f>
        <v/>
      </c>
      <c r="L532" s="6"/>
      <c r="M532" s="5"/>
      <c r="U532" s="5"/>
      <c r="W532"/>
    </row>
    <row r="533" spans="2:23" ht="18" customHeight="1" x14ac:dyDescent="0.25">
      <c r="B533" s="85"/>
      <c r="C533" s="120"/>
      <c r="D533" s="121"/>
      <c r="E533" s="121"/>
      <c r="F533" s="92"/>
      <c r="G533" s="92"/>
      <c r="H533" s="122"/>
      <c r="I533" s="68" t="str">
        <f>IFERROR(MID(作者统计[[#This Row],[作者]],FIND("[",作者统计[[#This Row],[作者]],1)+1,FIND("]",作者统计[[#This Row],[作者]],1)-FIND("[",作者统计[[#This Row],[作者]],1)-1),"")</f>
        <v/>
      </c>
      <c r="J533" s="68" t="str">
        <f>IFERROR(MID(作者统计[[#This Row],[作者]],FIND("(",作者统计[[#This Row],[作者]],1)+1,FIND(")",作者统计[[#This Row],[作者]],1)-FIND("(",作者统计[[#This Row],[作者]],1)-1),"")</f>
        <v/>
      </c>
      <c r="L533" s="6"/>
      <c r="M533" s="5"/>
      <c r="U533" s="5"/>
      <c r="W533"/>
    </row>
    <row r="534" spans="2:23" ht="18" customHeight="1" x14ac:dyDescent="0.25">
      <c r="B534" s="85"/>
      <c r="C534" s="120"/>
      <c r="D534" s="121"/>
      <c r="E534" s="121"/>
      <c r="F534" s="92"/>
      <c r="G534" s="92"/>
      <c r="H534" s="122"/>
      <c r="I534" s="68" t="str">
        <f>IFERROR(MID(作者统计[[#This Row],[作者]],FIND("[",作者统计[[#This Row],[作者]],1)+1,FIND("]",作者统计[[#This Row],[作者]],1)-FIND("[",作者统计[[#This Row],[作者]],1)-1),"")</f>
        <v/>
      </c>
      <c r="J534" s="68" t="str">
        <f>IFERROR(MID(作者统计[[#This Row],[作者]],FIND("(",作者统计[[#This Row],[作者]],1)+1,FIND(")",作者统计[[#This Row],[作者]],1)-FIND("(",作者统计[[#This Row],[作者]],1)-1),"")</f>
        <v/>
      </c>
      <c r="L534" s="6"/>
      <c r="M534" s="5"/>
      <c r="U534" s="5"/>
      <c r="W534"/>
    </row>
    <row r="535" spans="2:23" ht="18" customHeight="1" x14ac:dyDescent="0.25">
      <c r="B535" s="85"/>
      <c r="C535" s="120"/>
      <c r="D535" s="121"/>
      <c r="E535" s="121"/>
      <c r="F535" s="92"/>
      <c r="G535" s="92"/>
      <c r="H535" s="122"/>
      <c r="I535" s="68" t="str">
        <f>IFERROR(MID(作者统计[[#This Row],[作者]],FIND("[",作者统计[[#This Row],[作者]],1)+1,FIND("]",作者统计[[#This Row],[作者]],1)-FIND("[",作者统计[[#This Row],[作者]],1)-1),"")</f>
        <v/>
      </c>
      <c r="J535" s="68" t="str">
        <f>IFERROR(MID(作者统计[[#This Row],[作者]],FIND("(",作者统计[[#This Row],[作者]],1)+1,FIND(")",作者统计[[#This Row],[作者]],1)-FIND("(",作者统计[[#This Row],[作者]],1)-1),"")</f>
        <v/>
      </c>
      <c r="L535" s="6"/>
      <c r="M535" s="5"/>
      <c r="U535" s="5"/>
      <c r="W535"/>
    </row>
    <row r="536" spans="2:23" ht="18" customHeight="1" x14ac:dyDescent="0.25">
      <c r="B536" s="85"/>
      <c r="C536" s="120"/>
      <c r="D536" s="121"/>
      <c r="E536" s="121"/>
      <c r="F536" s="92"/>
      <c r="G536" s="92"/>
      <c r="H536" s="122"/>
      <c r="I536" s="68" t="str">
        <f>IFERROR(MID(作者统计[[#This Row],[作者]],FIND("[",作者统计[[#This Row],[作者]],1)+1,FIND("]",作者统计[[#This Row],[作者]],1)-FIND("[",作者统计[[#This Row],[作者]],1)-1),"")</f>
        <v/>
      </c>
      <c r="J536" s="68" t="str">
        <f>IFERROR(MID(作者统计[[#This Row],[作者]],FIND("(",作者统计[[#This Row],[作者]],1)+1,FIND(")",作者统计[[#This Row],[作者]],1)-FIND("(",作者统计[[#This Row],[作者]],1)-1),"")</f>
        <v/>
      </c>
      <c r="L536" s="6"/>
      <c r="M536" s="5"/>
      <c r="U536" s="5"/>
      <c r="W536"/>
    </row>
    <row r="537" spans="2:23" ht="18" customHeight="1" x14ac:dyDescent="0.25">
      <c r="B537" s="309"/>
      <c r="C537" s="120"/>
      <c r="D537" s="121"/>
      <c r="E537" s="121"/>
      <c r="F537" s="92"/>
      <c r="G537" s="92"/>
      <c r="H537" s="122"/>
      <c r="I537" s="68" t="str">
        <f>IFERROR(MID(作者统计[[#This Row],[作者]],FIND("[",作者统计[[#This Row],[作者]],1)+1,FIND("]",作者统计[[#This Row],[作者]],1)-FIND("[",作者统计[[#This Row],[作者]],1)-1),"")</f>
        <v/>
      </c>
      <c r="J537" s="68" t="str">
        <f>IFERROR(MID(作者统计[[#This Row],[作者]],FIND("(",作者统计[[#This Row],[作者]],1)+1,FIND(")",作者统计[[#This Row],[作者]],1)-FIND("(",作者统计[[#This Row],[作者]],1)-1),"")</f>
        <v/>
      </c>
      <c r="L537" s="6"/>
      <c r="M537" s="5"/>
      <c r="U537" s="5"/>
      <c r="W537"/>
    </row>
    <row r="538" spans="2:23" ht="18" customHeight="1" x14ac:dyDescent="0.25">
      <c r="B538" s="85"/>
      <c r="C538" s="120"/>
      <c r="D538" s="121"/>
      <c r="E538" s="121"/>
      <c r="F538" s="92"/>
      <c r="G538" s="92"/>
      <c r="H538" s="122"/>
      <c r="I538" s="68" t="str">
        <f>IFERROR(MID(作者统计[[#This Row],[作者]],FIND("[",作者统计[[#This Row],[作者]],1)+1,FIND("]",作者统计[[#This Row],[作者]],1)-FIND("[",作者统计[[#This Row],[作者]],1)-1),"")</f>
        <v/>
      </c>
      <c r="J538" s="68" t="str">
        <f>IFERROR(MID(作者统计[[#This Row],[作者]],FIND("(",作者统计[[#This Row],[作者]],1)+1,FIND(")",作者统计[[#This Row],[作者]],1)-FIND("(",作者统计[[#This Row],[作者]],1)-1),"")</f>
        <v/>
      </c>
      <c r="L538" s="6"/>
      <c r="M538" s="5"/>
      <c r="U538" s="5"/>
      <c r="W538"/>
    </row>
    <row r="539" spans="2:23" ht="18" customHeight="1" x14ac:dyDescent="0.25">
      <c r="B539" s="256"/>
      <c r="C539" s="257"/>
      <c r="D539" s="258"/>
      <c r="E539" s="258"/>
      <c r="F539" s="259"/>
      <c r="G539" s="259"/>
      <c r="H539" s="260"/>
      <c r="I539" s="261" t="str">
        <f>IFERROR(MID(作者统计[[#This Row],[作者]],FIND("[",作者统计[[#This Row],[作者]],1)+1,FIND("]",作者统计[[#This Row],[作者]],1)-FIND("[",作者统计[[#This Row],[作者]],1)-1),"")</f>
        <v/>
      </c>
      <c r="J539" s="261" t="str">
        <f>IFERROR(MID(作者统计[[#This Row],[作者]],FIND("(",作者统计[[#This Row],[作者]],1)+1,FIND(")",作者统计[[#This Row],[作者]],1)-FIND("(",作者统计[[#This Row],[作者]],1)-1),"")</f>
        <v/>
      </c>
      <c r="L539" s="6"/>
      <c r="M539" s="5"/>
      <c r="U539" s="5"/>
      <c r="W539"/>
    </row>
    <row r="540" spans="2:23" ht="18" customHeight="1" x14ac:dyDescent="0.25">
      <c r="B540" s="256"/>
      <c r="C540" s="257"/>
      <c r="D540" s="258"/>
      <c r="E540" s="258"/>
      <c r="F540" s="259"/>
      <c r="G540" s="259"/>
      <c r="H540" s="260"/>
      <c r="I540" s="261" t="str">
        <f>IFERROR(MID(作者统计[[#This Row],[作者]],FIND("[",作者统计[[#This Row],[作者]],1)+1,FIND("]",作者统计[[#This Row],[作者]],1)-FIND("[",作者统计[[#This Row],[作者]],1)-1),"")</f>
        <v/>
      </c>
      <c r="J540" s="261" t="str">
        <f>IFERROR(MID(作者统计[[#This Row],[作者]],FIND("(",作者统计[[#This Row],[作者]],1)+1,FIND(")",作者统计[[#This Row],[作者]],1)-FIND("(",作者统计[[#This Row],[作者]],1)-1),"")</f>
        <v/>
      </c>
      <c r="L540" s="6"/>
      <c r="M540" s="5"/>
      <c r="U540" s="5"/>
      <c r="W540"/>
    </row>
    <row r="541" spans="2:23" ht="18" customHeight="1" x14ac:dyDescent="0.25">
      <c r="B541" s="85"/>
      <c r="C541" s="120"/>
      <c r="D541" s="121"/>
      <c r="E541" s="121"/>
      <c r="F541" s="92"/>
      <c r="G541" s="92"/>
      <c r="H541" s="122"/>
      <c r="I541" s="68" t="str">
        <f>IFERROR(MID(作者统计[[#This Row],[作者]],FIND("[",作者统计[[#This Row],[作者]],1)+1,FIND("]",作者统计[[#This Row],[作者]],1)-FIND("[",作者统计[[#This Row],[作者]],1)-1),"")</f>
        <v/>
      </c>
      <c r="J541" s="68" t="str">
        <f>IFERROR(MID(作者统计[[#This Row],[作者]],FIND("(",作者统计[[#This Row],[作者]],1)+1,FIND(")",作者统计[[#This Row],[作者]],1)-FIND("(",作者统计[[#This Row],[作者]],1)-1),"")</f>
        <v/>
      </c>
      <c r="L541" s="6"/>
      <c r="M541" s="5"/>
      <c r="U541" s="5"/>
      <c r="W541"/>
    </row>
    <row r="542" spans="2:23" ht="18" customHeight="1" x14ac:dyDescent="0.25">
      <c r="B542" s="309"/>
      <c r="C542" s="120"/>
      <c r="D542" s="121"/>
      <c r="E542" s="121"/>
      <c r="F542" s="92"/>
      <c r="G542" s="92"/>
      <c r="H542" s="122"/>
      <c r="I542" s="68" t="str">
        <f>IFERROR(MID(作者统计[[#This Row],[作者]],FIND("[",作者统计[[#This Row],[作者]],1)+1,FIND("]",作者统计[[#This Row],[作者]],1)-FIND("[",作者统计[[#This Row],[作者]],1)-1),"")</f>
        <v/>
      </c>
      <c r="J542" s="68" t="str">
        <f>IFERROR(MID(作者统计[[#This Row],[作者]],FIND("(",作者统计[[#This Row],[作者]],1)+1,FIND(")",作者统计[[#This Row],[作者]],1)-FIND("(",作者统计[[#This Row],[作者]],1)-1),"")</f>
        <v/>
      </c>
      <c r="L542" s="6"/>
      <c r="M542" s="5"/>
      <c r="U542" s="5"/>
      <c r="W542"/>
    </row>
    <row r="543" spans="2:23" ht="18" customHeight="1" x14ac:dyDescent="0.25">
      <c r="B543" s="85"/>
      <c r="C543" s="120"/>
      <c r="D543" s="121"/>
      <c r="E543" s="121"/>
      <c r="F543" s="92"/>
      <c r="G543" s="92"/>
      <c r="H543" s="122"/>
      <c r="I543" s="68" t="str">
        <f>IFERROR(MID(作者统计[[#This Row],[作者]],FIND("[",作者统计[[#This Row],[作者]],1)+1,FIND("]",作者统计[[#This Row],[作者]],1)-FIND("[",作者统计[[#This Row],[作者]],1)-1),"")</f>
        <v/>
      </c>
      <c r="J543" s="68" t="str">
        <f>IFERROR(MID(作者统计[[#This Row],[作者]],FIND("(",作者统计[[#This Row],[作者]],1)+1,FIND(")",作者统计[[#This Row],[作者]],1)-FIND("(",作者统计[[#This Row],[作者]],1)-1),"")</f>
        <v/>
      </c>
      <c r="L543" s="6"/>
      <c r="M543" s="5"/>
      <c r="U543" s="5"/>
      <c r="W543"/>
    </row>
    <row r="544" spans="2:23" ht="18" customHeight="1" x14ac:dyDescent="0.25">
      <c r="B544" s="85"/>
      <c r="C544" s="120"/>
      <c r="D544" s="121"/>
      <c r="E544" s="121"/>
      <c r="F544" s="92"/>
      <c r="G544" s="92"/>
      <c r="H544" s="122"/>
      <c r="I544" s="68" t="str">
        <f>IFERROR(MID(作者统计[[#This Row],[作者]],FIND("[",作者统计[[#This Row],[作者]],1)+1,FIND("]",作者统计[[#This Row],[作者]],1)-FIND("[",作者统计[[#This Row],[作者]],1)-1),"")</f>
        <v/>
      </c>
      <c r="J544" s="68" t="str">
        <f>IFERROR(MID(作者统计[[#This Row],[作者]],FIND("(",作者统计[[#This Row],[作者]],1)+1,FIND(")",作者统计[[#This Row],[作者]],1)-FIND("(",作者统计[[#This Row],[作者]],1)-1),"")</f>
        <v/>
      </c>
      <c r="L544" s="6"/>
      <c r="M544" s="5"/>
      <c r="U544" s="5"/>
      <c r="W544"/>
    </row>
    <row r="545" spans="2:23" ht="18" customHeight="1" x14ac:dyDescent="0.25">
      <c r="B545" s="85"/>
      <c r="C545" s="120"/>
      <c r="D545" s="121"/>
      <c r="E545" s="121"/>
      <c r="F545" s="92"/>
      <c r="G545" s="92"/>
      <c r="H545" s="122"/>
      <c r="I545" s="68" t="str">
        <f>IFERROR(MID(作者统计[[#This Row],[作者]],FIND("[",作者统计[[#This Row],[作者]],1)+1,FIND("]",作者统计[[#This Row],[作者]],1)-FIND("[",作者统计[[#This Row],[作者]],1)-1),"")</f>
        <v/>
      </c>
      <c r="J545" s="68" t="str">
        <f>IFERROR(MID(作者统计[[#This Row],[作者]],FIND("(",作者统计[[#This Row],[作者]],1)+1,FIND(")",作者统计[[#This Row],[作者]],1)-FIND("(",作者统计[[#This Row],[作者]],1)-1),"")</f>
        <v/>
      </c>
      <c r="L545" s="6"/>
      <c r="M545" s="5"/>
      <c r="U545" s="5"/>
      <c r="W545"/>
    </row>
    <row r="546" spans="2:23" ht="18" customHeight="1" x14ac:dyDescent="0.25">
      <c r="B546" s="256"/>
      <c r="C546" s="257"/>
      <c r="D546" s="258"/>
      <c r="E546" s="258"/>
      <c r="F546" s="259"/>
      <c r="G546" s="259"/>
      <c r="H546" s="260"/>
      <c r="I546" s="261" t="str">
        <f>IFERROR(MID(作者统计[[#This Row],[作者]],FIND("[",作者统计[[#This Row],[作者]],1)+1,FIND("]",作者统计[[#This Row],[作者]],1)-FIND("[",作者统计[[#This Row],[作者]],1)-1),"")</f>
        <v/>
      </c>
      <c r="J546" s="261" t="str">
        <f>IFERROR(MID(作者统计[[#This Row],[作者]],FIND("(",作者统计[[#This Row],[作者]],1)+1,FIND(")",作者统计[[#This Row],[作者]],1)-FIND("(",作者统计[[#This Row],[作者]],1)-1),"")</f>
        <v/>
      </c>
      <c r="L546" s="6"/>
      <c r="M546" s="5"/>
      <c r="U546" s="5"/>
      <c r="W546"/>
    </row>
    <row r="547" spans="2:23" ht="18" customHeight="1" x14ac:dyDescent="0.25">
      <c r="B547" s="85"/>
      <c r="C547" s="120"/>
      <c r="D547" s="121"/>
      <c r="E547" s="121"/>
      <c r="F547" s="92"/>
      <c r="G547" s="92"/>
      <c r="H547" s="122"/>
      <c r="I547" s="68" t="str">
        <f>IFERROR(MID(作者统计[[#This Row],[作者]],FIND("[",作者统计[[#This Row],[作者]],1)+1,FIND("]",作者统计[[#This Row],[作者]],1)-FIND("[",作者统计[[#This Row],[作者]],1)-1),"")</f>
        <v/>
      </c>
      <c r="J547" s="68" t="str">
        <f>IFERROR(MID(作者统计[[#This Row],[作者]],FIND("(",作者统计[[#This Row],[作者]],1)+1,FIND(")",作者统计[[#This Row],[作者]],1)-FIND("(",作者统计[[#This Row],[作者]],1)-1),"")</f>
        <v/>
      </c>
      <c r="L547" s="6"/>
      <c r="M547" s="5"/>
      <c r="U547" s="5"/>
      <c r="W547"/>
    </row>
    <row r="548" spans="2:23" ht="18" customHeight="1" x14ac:dyDescent="0.25">
      <c r="B548" s="309"/>
      <c r="C548" s="120"/>
      <c r="D548" s="121"/>
      <c r="E548" s="121"/>
      <c r="F548" s="92"/>
      <c r="G548" s="92"/>
      <c r="H548" s="122"/>
      <c r="I548" s="68" t="str">
        <f>IFERROR(MID(作者统计[[#This Row],[作者]],FIND("[",作者统计[[#This Row],[作者]],1)+1,FIND("]",作者统计[[#This Row],[作者]],1)-FIND("[",作者统计[[#This Row],[作者]],1)-1),"")</f>
        <v/>
      </c>
      <c r="J548" s="68" t="str">
        <f>IFERROR(MID(作者统计[[#This Row],[作者]],FIND("(",作者统计[[#This Row],[作者]],1)+1,FIND(")",作者统计[[#This Row],[作者]],1)-FIND("(",作者统计[[#This Row],[作者]],1)-1),"")</f>
        <v/>
      </c>
      <c r="L548" s="6"/>
      <c r="M548" s="5"/>
      <c r="U548" s="5"/>
      <c r="W548"/>
    </row>
    <row r="549" spans="2:23" ht="18" customHeight="1" x14ac:dyDescent="0.25">
      <c r="B549" s="256"/>
      <c r="C549" s="257"/>
      <c r="D549" s="258"/>
      <c r="E549" s="258"/>
      <c r="F549" s="259"/>
      <c r="G549" s="259"/>
      <c r="H549" s="260"/>
      <c r="I549" s="261" t="str">
        <f>IFERROR(MID(作者统计[[#This Row],[作者]],FIND("[",作者统计[[#This Row],[作者]],1)+1,FIND("]",作者统计[[#This Row],[作者]],1)-FIND("[",作者统计[[#This Row],[作者]],1)-1),"")</f>
        <v/>
      </c>
      <c r="J549" s="261" t="str">
        <f>IFERROR(MID(作者统计[[#This Row],[作者]],FIND("(",作者统计[[#This Row],[作者]],1)+1,FIND(")",作者统计[[#This Row],[作者]],1)-FIND("(",作者统计[[#This Row],[作者]],1)-1),"")</f>
        <v/>
      </c>
      <c r="L549" s="6"/>
      <c r="M549" s="5"/>
      <c r="U549" s="5"/>
      <c r="W549"/>
    </row>
    <row r="550" spans="2:23" ht="18" customHeight="1" x14ac:dyDescent="0.25">
      <c r="B550" s="309"/>
      <c r="C550" s="120"/>
      <c r="D550" s="121"/>
      <c r="E550" s="121"/>
      <c r="F550" s="92"/>
      <c r="G550" s="92"/>
      <c r="H550" s="122"/>
      <c r="I550" s="68" t="str">
        <f>IFERROR(MID(作者统计[[#This Row],[作者]],FIND("[",作者统计[[#This Row],[作者]],1)+1,FIND("]",作者统计[[#This Row],[作者]],1)-FIND("[",作者统计[[#This Row],[作者]],1)-1),"")</f>
        <v/>
      </c>
      <c r="J550" s="68" t="str">
        <f>IFERROR(MID(作者统计[[#This Row],[作者]],FIND("(",作者统计[[#This Row],[作者]],1)+1,FIND(")",作者统计[[#This Row],[作者]],1)-FIND("(",作者统计[[#This Row],[作者]],1)-1),"")</f>
        <v/>
      </c>
      <c r="L550" s="6"/>
      <c r="M550" s="5"/>
      <c r="U550" s="5"/>
      <c r="W550"/>
    </row>
    <row r="551" spans="2:23" ht="18" customHeight="1" x14ac:dyDescent="0.25">
      <c r="B551" s="309"/>
      <c r="C551" s="120"/>
      <c r="D551" s="121"/>
      <c r="E551" s="121"/>
      <c r="F551" s="92"/>
      <c r="G551" s="92"/>
      <c r="H551" s="122"/>
      <c r="I551" s="68" t="str">
        <f>IFERROR(MID(作者统计[[#This Row],[作者]],FIND("[",作者统计[[#This Row],[作者]],1)+1,FIND("]",作者统计[[#This Row],[作者]],1)-FIND("[",作者统计[[#This Row],[作者]],1)-1),"")</f>
        <v/>
      </c>
      <c r="J551" s="68" t="str">
        <f>IFERROR(MID(作者统计[[#This Row],[作者]],FIND("(",作者统计[[#This Row],[作者]],1)+1,FIND(")",作者统计[[#This Row],[作者]],1)-FIND("(",作者统计[[#This Row],[作者]],1)-1),"")</f>
        <v/>
      </c>
      <c r="L551" s="6"/>
      <c r="M551" s="5"/>
      <c r="U551" s="5"/>
      <c r="W551"/>
    </row>
    <row r="552" spans="2:23" ht="18" customHeight="1" x14ac:dyDescent="0.25">
      <c r="B552" s="256"/>
      <c r="C552" s="257"/>
      <c r="D552" s="258"/>
      <c r="E552" s="258"/>
      <c r="F552" s="259"/>
      <c r="G552" s="259"/>
      <c r="H552" s="260"/>
      <c r="I552" s="261" t="str">
        <f>IFERROR(MID(作者统计[[#This Row],[作者]],FIND("[",作者统计[[#This Row],[作者]],1)+1,FIND("]",作者统计[[#This Row],[作者]],1)-FIND("[",作者统计[[#This Row],[作者]],1)-1),"")</f>
        <v/>
      </c>
      <c r="J552" s="261" t="str">
        <f>IFERROR(MID(作者统计[[#This Row],[作者]],FIND("(",作者统计[[#This Row],[作者]],1)+1,FIND(")",作者统计[[#This Row],[作者]],1)-FIND("(",作者统计[[#This Row],[作者]],1)-1),"")</f>
        <v/>
      </c>
      <c r="L552" s="6"/>
      <c r="M552" s="5"/>
      <c r="U552" s="5"/>
      <c r="W552"/>
    </row>
    <row r="553" spans="2:23" ht="18" customHeight="1" x14ac:dyDescent="0.25">
      <c r="B553" s="309"/>
      <c r="C553" s="120"/>
      <c r="D553" s="121"/>
      <c r="E553" s="121"/>
      <c r="F553" s="92"/>
      <c r="G553" s="92"/>
      <c r="H553" s="122"/>
      <c r="I553" s="68" t="str">
        <f>IFERROR(MID(作者统计[[#This Row],[作者]],FIND("[",作者统计[[#This Row],[作者]],1)+1,FIND("]",作者统计[[#This Row],[作者]],1)-FIND("[",作者统计[[#This Row],[作者]],1)-1),"")</f>
        <v/>
      </c>
      <c r="J553" s="68" t="str">
        <f>IFERROR(MID(作者统计[[#This Row],[作者]],FIND("(",作者统计[[#This Row],[作者]],1)+1,FIND(")",作者统计[[#This Row],[作者]],1)-FIND("(",作者统计[[#This Row],[作者]],1)-1),"")</f>
        <v/>
      </c>
      <c r="L553" s="6"/>
      <c r="M553" s="5"/>
      <c r="U553" s="5"/>
      <c r="W553"/>
    </row>
    <row r="554" spans="2:23" ht="18" customHeight="1" x14ac:dyDescent="0.25">
      <c r="B554" s="309"/>
      <c r="C554" s="120"/>
      <c r="D554" s="121"/>
      <c r="E554" s="121"/>
      <c r="F554" s="92"/>
      <c r="G554" s="92"/>
      <c r="H554" s="122"/>
      <c r="I554" s="68" t="str">
        <f>IFERROR(MID(作者统计[[#This Row],[作者]],FIND("[",作者统计[[#This Row],[作者]],1)+1,FIND("]",作者统计[[#This Row],[作者]],1)-FIND("[",作者统计[[#This Row],[作者]],1)-1),"")</f>
        <v/>
      </c>
      <c r="J554" s="68" t="str">
        <f>IFERROR(MID(作者统计[[#This Row],[作者]],FIND("(",作者统计[[#This Row],[作者]],1)+1,FIND(")",作者统计[[#This Row],[作者]],1)-FIND("(",作者统计[[#This Row],[作者]],1)-1),"")</f>
        <v/>
      </c>
      <c r="L554" s="6"/>
      <c r="M554" s="5"/>
      <c r="U554" s="5"/>
      <c r="W554"/>
    </row>
    <row r="555" spans="2:23" ht="18" customHeight="1" x14ac:dyDescent="0.25">
      <c r="B555" s="309"/>
      <c r="C555" s="120"/>
      <c r="D555" s="121"/>
      <c r="E555" s="121"/>
      <c r="F555" s="92"/>
      <c r="G555" s="92"/>
      <c r="H555" s="122"/>
      <c r="I555" s="68" t="str">
        <f>IFERROR(MID(作者统计[[#This Row],[作者]],FIND("[",作者统计[[#This Row],[作者]],1)+1,FIND("]",作者统计[[#This Row],[作者]],1)-FIND("[",作者统计[[#This Row],[作者]],1)-1),"")</f>
        <v/>
      </c>
      <c r="J555" s="68" t="str">
        <f>IFERROR(MID(作者统计[[#This Row],[作者]],FIND("(",作者统计[[#This Row],[作者]],1)+1,FIND(")",作者统计[[#This Row],[作者]],1)-FIND("(",作者统计[[#This Row],[作者]],1)-1),"")</f>
        <v/>
      </c>
      <c r="L555" s="6"/>
      <c r="M555" s="5"/>
      <c r="U555" s="5"/>
      <c r="W555"/>
    </row>
    <row r="556" spans="2:23" ht="18" customHeight="1" x14ac:dyDescent="0.25">
      <c r="B556" s="256"/>
      <c r="C556" s="257"/>
      <c r="D556" s="258"/>
      <c r="E556" s="258"/>
      <c r="F556" s="259"/>
      <c r="G556" s="259"/>
      <c r="H556" s="260"/>
      <c r="I556" s="261" t="str">
        <f>IFERROR(MID(作者统计[[#This Row],[作者]],FIND("[",作者统计[[#This Row],[作者]],1)+1,FIND("]",作者统计[[#This Row],[作者]],1)-FIND("[",作者统计[[#This Row],[作者]],1)-1),"")</f>
        <v/>
      </c>
      <c r="J556" s="261" t="str">
        <f>IFERROR(MID(作者统计[[#This Row],[作者]],FIND("(",作者统计[[#This Row],[作者]],1)+1,FIND(")",作者统计[[#This Row],[作者]],1)-FIND("(",作者统计[[#This Row],[作者]],1)-1),"")</f>
        <v/>
      </c>
      <c r="L556" s="6"/>
      <c r="M556" s="5"/>
      <c r="U556" s="5"/>
      <c r="W556"/>
    </row>
    <row r="557" spans="2:23" ht="18" customHeight="1" x14ac:dyDescent="0.25">
      <c r="B557" s="256"/>
      <c r="C557" s="257"/>
      <c r="D557" s="258"/>
      <c r="E557" s="258"/>
      <c r="F557" s="259"/>
      <c r="G557" s="259"/>
      <c r="H557" s="260"/>
      <c r="I557" s="261" t="str">
        <f>IFERROR(MID(作者统计[[#This Row],[作者]],FIND("[",作者统计[[#This Row],[作者]],1)+1,FIND("]",作者统计[[#This Row],[作者]],1)-FIND("[",作者统计[[#This Row],[作者]],1)-1),"")</f>
        <v/>
      </c>
      <c r="J557" s="261" t="str">
        <f>IFERROR(MID(作者统计[[#This Row],[作者]],FIND("(",作者统计[[#This Row],[作者]],1)+1,FIND(")",作者统计[[#This Row],[作者]],1)-FIND("(",作者统计[[#This Row],[作者]],1)-1),"")</f>
        <v/>
      </c>
      <c r="L557" s="6"/>
      <c r="M557" s="5"/>
      <c r="U557" s="5"/>
      <c r="W557"/>
    </row>
    <row r="558" spans="2:23" ht="18" customHeight="1" x14ac:dyDescent="0.25">
      <c r="B558" s="309"/>
      <c r="C558" s="120"/>
      <c r="D558" s="121"/>
      <c r="E558" s="121"/>
      <c r="F558" s="92"/>
      <c r="G558" s="92"/>
      <c r="H558" s="122"/>
      <c r="I558" s="68" t="str">
        <f>IFERROR(MID(作者统计[[#This Row],[作者]],FIND("[",作者统计[[#This Row],[作者]],1)+1,FIND("]",作者统计[[#This Row],[作者]],1)-FIND("[",作者统计[[#This Row],[作者]],1)-1),"")</f>
        <v/>
      </c>
      <c r="J558" s="68" t="str">
        <f>IFERROR(MID(作者统计[[#This Row],[作者]],FIND("(",作者统计[[#This Row],[作者]],1)+1,FIND(")",作者统计[[#This Row],[作者]],1)-FIND("(",作者统计[[#This Row],[作者]],1)-1),"")</f>
        <v/>
      </c>
      <c r="L558" s="6"/>
      <c r="M558" s="5"/>
      <c r="U558" s="5"/>
      <c r="W558"/>
    </row>
    <row r="559" spans="2:23" ht="18" customHeight="1" x14ac:dyDescent="0.25">
      <c r="B559" s="309"/>
      <c r="C559" s="120"/>
      <c r="D559" s="121"/>
      <c r="E559" s="121"/>
      <c r="F559" s="92"/>
      <c r="G559" s="92"/>
      <c r="H559" s="122"/>
      <c r="I559" s="68" t="str">
        <f>IFERROR(MID(作者统计[[#This Row],[作者]],FIND("[",作者统计[[#This Row],[作者]],1)+1,FIND("]",作者统计[[#This Row],[作者]],1)-FIND("[",作者统计[[#This Row],[作者]],1)-1),"")</f>
        <v/>
      </c>
      <c r="J559" s="68" t="str">
        <f>IFERROR(MID(作者统计[[#This Row],[作者]],FIND("(",作者统计[[#This Row],[作者]],1)+1,FIND(")",作者统计[[#This Row],[作者]],1)-FIND("(",作者统计[[#This Row],[作者]],1)-1),"")</f>
        <v/>
      </c>
      <c r="L559" s="6"/>
      <c r="M559" s="5"/>
      <c r="U559" s="5"/>
      <c r="W559"/>
    </row>
    <row r="560" spans="2:23" ht="18" customHeight="1" x14ac:dyDescent="0.25">
      <c r="B560" s="85"/>
      <c r="C560" s="120"/>
      <c r="D560" s="121"/>
      <c r="E560" s="121"/>
      <c r="F560" s="92"/>
      <c r="G560" s="92"/>
      <c r="H560" s="122"/>
      <c r="I560" s="68" t="str">
        <f>IFERROR(MID(作者统计[[#This Row],[作者]],FIND("[",作者统计[[#This Row],[作者]],1)+1,FIND("]",作者统计[[#This Row],[作者]],1)-FIND("[",作者统计[[#This Row],[作者]],1)-1),"")</f>
        <v/>
      </c>
      <c r="J560" s="68" t="str">
        <f>IFERROR(MID(作者统计[[#This Row],[作者]],FIND("(",作者统计[[#This Row],[作者]],1)+1,FIND(")",作者统计[[#This Row],[作者]],1)-FIND("(",作者统计[[#This Row],[作者]],1)-1),"")</f>
        <v/>
      </c>
      <c r="L560" s="6"/>
      <c r="M560" s="5"/>
      <c r="U560" s="5"/>
      <c r="W560"/>
    </row>
    <row r="561" spans="2:23" ht="18" customHeight="1" x14ac:dyDescent="0.25">
      <c r="B561" s="85"/>
      <c r="C561" s="120"/>
      <c r="D561" s="121"/>
      <c r="E561" s="121"/>
      <c r="F561" s="92"/>
      <c r="G561" s="92"/>
      <c r="H561" s="122"/>
      <c r="I561" s="68" t="str">
        <f>IFERROR(MID(作者统计[[#This Row],[作者]],FIND("[",作者统计[[#This Row],[作者]],1)+1,FIND("]",作者统计[[#This Row],[作者]],1)-FIND("[",作者统计[[#This Row],[作者]],1)-1),"")</f>
        <v/>
      </c>
      <c r="J561" s="68" t="str">
        <f>IFERROR(MID(作者统计[[#This Row],[作者]],FIND("(",作者统计[[#This Row],[作者]],1)+1,FIND(")",作者统计[[#This Row],[作者]],1)-FIND("(",作者统计[[#This Row],[作者]],1)-1),"")</f>
        <v/>
      </c>
      <c r="L561" s="6"/>
      <c r="M561" s="5"/>
      <c r="U561" s="5"/>
      <c r="W561"/>
    </row>
    <row r="562" spans="2:23" ht="18" customHeight="1" x14ac:dyDescent="0.25">
      <c r="B562" s="256"/>
      <c r="C562" s="257"/>
      <c r="D562" s="258"/>
      <c r="E562" s="258"/>
      <c r="F562" s="259"/>
      <c r="G562" s="259"/>
      <c r="H562" s="260"/>
      <c r="I562" s="261" t="str">
        <f>IFERROR(MID(作者统计[[#This Row],[作者]],FIND("[",作者统计[[#This Row],[作者]],1)+1,FIND("]",作者统计[[#This Row],[作者]],1)-FIND("[",作者统计[[#This Row],[作者]],1)-1),"")</f>
        <v/>
      </c>
      <c r="J562" s="261" t="str">
        <f>IFERROR(MID(作者统计[[#This Row],[作者]],FIND("(",作者统计[[#This Row],[作者]],1)+1,FIND(")",作者统计[[#This Row],[作者]],1)-FIND("(",作者统计[[#This Row],[作者]],1)-1),"")</f>
        <v/>
      </c>
      <c r="L562" s="6"/>
      <c r="M562" s="5"/>
      <c r="U562" s="5"/>
      <c r="W562"/>
    </row>
    <row r="563" spans="2:23" ht="18" customHeight="1" x14ac:dyDescent="0.25">
      <c r="B563" s="309"/>
      <c r="C563" s="120"/>
      <c r="D563" s="121"/>
      <c r="E563" s="121"/>
      <c r="F563" s="92"/>
      <c r="G563" s="92"/>
      <c r="H563" s="122"/>
      <c r="I563" s="68" t="str">
        <f>IFERROR(MID(作者统计[[#This Row],[作者]],FIND("[",作者统计[[#This Row],[作者]],1)+1,FIND("]",作者统计[[#This Row],[作者]],1)-FIND("[",作者统计[[#This Row],[作者]],1)-1),"")</f>
        <v/>
      </c>
      <c r="J563" s="68" t="str">
        <f>IFERROR(MID(作者统计[[#This Row],[作者]],FIND("(",作者统计[[#This Row],[作者]],1)+1,FIND(")",作者统计[[#This Row],[作者]],1)-FIND("(",作者统计[[#This Row],[作者]],1)-1),"")</f>
        <v/>
      </c>
      <c r="L563" s="6"/>
      <c r="M563" s="5"/>
      <c r="U563" s="5"/>
      <c r="W563"/>
    </row>
    <row r="564" spans="2:23" ht="18" customHeight="1" x14ac:dyDescent="0.25">
      <c r="B564" s="309"/>
      <c r="C564" s="120"/>
      <c r="D564" s="121"/>
      <c r="E564" s="121"/>
      <c r="F564" s="92"/>
      <c r="G564" s="92"/>
      <c r="H564" s="123"/>
      <c r="I564" s="68" t="str">
        <f>IFERROR(MID(作者统计[[#This Row],[作者]],FIND("[",作者统计[[#This Row],[作者]],1)+1,FIND("]",作者统计[[#This Row],[作者]],1)-FIND("[",作者统计[[#This Row],[作者]],1)-1),"")</f>
        <v/>
      </c>
      <c r="J564" s="68" t="str">
        <f>IFERROR(MID(作者统计[[#This Row],[作者]],FIND("(",作者统计[[#This Row],[作者]],1)+1,FIND(")",作者统计[[#This Row],[作者]],1)-FIND("(",作者统计[[#This Row],[作者]],1)-1),"")</f>
        <v/>
      </c>
      <c r="L564" s="6"/>
      <c r="M564" s="5"/>
      <c r="U564" s="5"/>
      <c r="W564"/>
    </row>
    <row r="565" spans="2:23" ht="18" customHeight="1" x14ac:dyDescent="0.25">
      <c r="B565" s="85"/>
      <c r="C565" s="120"/>
      <c r="D565" s="121"/>
      <c r="E565" s="121"/>
      <c r="F565" s="92"/>
      <c r="G565" s="92"/>
      <c r="H565" s="122"/>
      <c r="I565" s="68" t="str">
        <f>IFERROR(MID(作者统计[[#This Row],[作者]],FIND("[",作者统计[[#This Row],[作者]],1)+1,FIND("]",作者统计[[#This Row],[作者]],1)-FIND("[",作者统计[[#This Row],[作者]],1)-1),"")</f>
        <v/>
      </c>
      <c r="J565" s="68" t="str">
        <f>IFERROR(MID(作者统计[[#This Row],[作者]],FIND("(",作者统计[[#This Row],[作者]],1)+1,FIND(")",作者统计[[#This Row],[作者]],1)-FIND("(",作者统计[[#This Row],[作者]],1)-1),"")</f>
        <v/>
      </c>
      <c r="L565" s="6"/>
      <c r="M565" s="5"/>
      <c r="U565" s="5"/>
      <c r="W565"/>
    </row>
    <row r="566" spans="2:23" ht="18" customHeight="1" x14ac:dyDescent="0.25">
      <c r="B566" s="85"/>
      <c r="C566" s="120"/>
      <c r="D566" s="121"/>
      <c r="E566" s="121"/>
      <c r="F566" s="92"/>
      <c r="G566" s="92"/>
      <c r="H566" s="122"/>
      <c r="I566" s="68" t="str">
        <f>IFERROR(MID(作者统计[[#This Row],[作者]],FIND("[",作者统计[[#This Row],[作者]],1)+1,FIND("]",作者统计[[#This Row],[作者]],1)-FIND("[",作者统计[[#This Row],[作者]],1)-1),"")</f>
        <v/>
      </c>
      <c r="J566" s="68" t="str">
        <f>IFERROR(MID(作者统计[[#This Row],[作者]],FIND("(",作者统计[[#This Row],[作者]],1)+1,FIND(")",作者统计[[#This Row],[作者]],1)-FIND("(",作者统计[[#This Row],[作者]],1)-1),"")</f>
        <v/>
      </c>
      <c r="L566" s="6"/>
      <c r="M566" s="5"/>
      <c r="U566" s="5"/>
      <c r="W566"/>
    </row>
    <row r="567" spans="2:23" ht="18" customHeight="1" x14ac:dyDescent="0.25">
      <c r="B567" s="256"/>
      <c r="C567" s="257"/>
      <c r="D567" s="258"/>
      <c r="E567" s="258"/>
      <c r="F567" s="259"/>
      <c r="G567" s="259"/>
      <c r="H567" s="260"/>
      <c r="I567" s="261" t="str">
        <f>IFERROR(MID(作者统计[[#This Row],[作者]],FIND("[",作者统计[[#This Row],[作者]],1)+1,FIND("]",作者统计[[#This Row],[作者]],1)-FIND("[",作者统计[[#This Row],[作者]],1)-1),"")</f>
        <v/>
      </c>
      <c r="J567" s="261" t="str">
        <f>IFERROR(MID(作者统计[[#This Row],[作者]],FIND("(",作者统计[[#This Row],[作者]],1)+1,FIND(")",作者统计[[#This Row],[作者]],1)-FIND("(",作者统计[[#This Row],[作者]],1)-1),"")</f>
        <v/>
      </c>
      <c r="L567" s="6"/>
      <c r="M567" s="5"/>
      <c r="U567" s="5"/>
      <c r="W567"/>
    </row>
    <row r="568" spans="2:23" ht="18" customHeight="1" x14ac:dyDescent="0.25">
      <c r="B568" s="256"/>
      <c r="C568" s="257"/>
      <c r="D568" s="258"/>
      <c r="E568" s="258"/>
      <c r="F568" s="259"/>
      <c r="G568" s="259"/>
      <c r="H568" s="260"/>
      <c r="I568" s="261" t="str">
        <f>IFERROR(MID(作者统计[[#This Row],[作者]],FIND("[",作者统计[[#This Row],[作者]],1)+1,FIND("]",作者统计[[#This Row],[作者]],1)-FIND("[",作者统计[[#This Row],[作者]],1)-1),"")</f>
        <v/>
      </c>
      <c r="J568" s="261" t="str">
        <f>IFERROR(MID(作者统计[[#This Row],[作者]],FIND("(",作者统计[[#This Row],[作者]],1)+1,FIND(")",作者统计[[#This Row],[作者]],1)-FIND("(",作者统计[[#This Row],[作者]],1)-1),"")</f>
        <v/>
      </c>
      <c r="L568" s="6"/>
      <c r="M568" s="5"/>
      <c r="U568" s="5"/>
      <c r="W568"/>
    </row>
    <row r="569" spans="2:23" ht="18" customHeight="1" x14ac:dyDescent="0.25">
      <c r="B569" s="85"/>
      <c r="C569" s="120"/>
      <c r="D569" s="121"/>
      <c r="E569" s="121"/>
      <c r="F569" s="92"/>
      <c r="G569" s="92"/>
      <c r="H569" s="122"/>
      <c r="I569" s="68" t="str">
        <f>IFERROR(MID(作者统计[[#This Row],[作者]],FIND("[",作者统计[[#This Row],[作者]],1)+1,FIND("]",作者统计[[#This Row],[作者]],1)-FIND("[",作者统计[[#This Row],[作者]],1)-1),"")</f>
        <v/>
      </c>
      <c r="J569" s="68" t="str">
        <f>IFERROR(MID(作者统计[[#This Row],[作者]],FIND("(",作者统计[[#This Row],[作者]],1)+1,FIND(")",作者统计[[#This Row],[作者]],1)-FIND("(",作者统计[[#This Row],[作者]],1)-1),"")</f>
        <v/>
      </c>
      <c r="L569" s="6"/>
      <c r="M569" s="5"/>
      <c r="U569" s="5"/>
      <c r="W569"/>
    </row>
    <row r="570" spans="2:23" ht="18" customHeight="1" x14ac:dyDescent="0.25">
      <c r="B570" s="256"/>
      <c r="C570" s="257"/>
      <c r="D570" s="258"/>
      <c r="E570" s="258"/>
      <c r="F570" s="259"/>
      <c r="G570" s="259"/>
      <c r="H570" s="260"/>
      <c r="I570" s="261" t="str">
        <f>IFERROR(MID(作者统计[[#This Row],[作者]],FIND("[",作者统计[[#This Row],[作者]],1)+1,FIND("]",作者统计[[#This Row],[作者]],1)-FIND("[",作者统计[[#This Row],[作者]],1)-1),"")</f>
        <v/>
      </c>
      <c r="J570" s="261" t="str">
        <f>IFERROR(MID(作者统计[[#This Row],[作者]],FIND("(",作者统计[[#This Row],[作者]],1)+1,FIND(")",作者统计[[#This Row],[作者]],1)-FIND("(",作者统计[[#This Row],[作者]],1)-1),"")</f>
        <v/>
      </c>
      <c r="L570" s="6"/>
      <c r="M570" s="5"/>
      <c r="U570" s="5"/>
      <c r="W570"/>
    </row>
    <row r="571" spans="2:23" ht="18" customHeight="1" x14ac:dyDescent="0.25">
      <c r="B571" s="309"/>
      <c r="C571" s="120"/>
      <c r="D571" s="121"/>
      <c r="E571" s="121"/>
      <c r="F571" s="92"/>
      <c r="G571" s="92"/>
      <c r="H571" s="122"/>
      <c r="I571" s="68" t="str">
        <f>IFERROR(MID(作者统计[[#This Row],[作者]],FIND("[",作者统计[[#This Row],[作者]],1)+1,FIND("]",作者统计[[#This Row],[作者]],1)-FIND("[",作者统计[[#This Row],[作者]],1)-1),"")</f>
        <v/>
      </c>
      <c r="J571" s="68" t="str">
        <f>IFERROR(MID(作者统计[[#This Row],[作者]],FIND("(",作者统计[[#This Row],[作者]],1)+1,FIND(")",作者统计[[#This Row],[作者]],1)-FIND("(",作者统计[[#This Row],[作者]],1)-1),"")</f>
        <v/>
      </c>
      <c r="L571" s="6"/>
      <c r="M571" s="5"/>
      <c r="U571" s="5"/>
      <c r="W571"/>
    </row>
    <row r="572" spans="2:23" ht="18" customHeight="1" x14ac:dyDescent="0.25">
      <c r="B572" s="309"/>
      <c r="C572" s="120"/>
      <c r="D572" s="121"/>
      <c r="E572" s="121"/>
      <c r="F572" s="92"/>
      <c r="G572" s="92"/>
      <c r="H572" s="122"/>
      <c r="I572" s="68" t="str">
        <f>IFERROR(MID(作者统计[[#This Row],[作者]],FIND("[",作者统计[[#This Row],[作者]],1)+1,FIND("]",作者统计[[#This Row],[作者]],1)-FIND("[",作者统计[[#This Row],[作者]],1)-1),"")</f>
        <v/>
      </c>
      <c r="J572" s="68" t="str">
        <f>IFERROR(MID(作者统计[[#This Row],[作者]],FIND("(",作者统计[[#This Row],[作者]],1)+1,FIND(")",作者统计[[#This Row],[作者]],1)-FIND("(",作者统计[[#This Row],[作者]],1)-1),"")</f>
        <v/>
      </c>
      <c r="L572" s="6"/>
      <c r="M572" s="5"/>
      <c r="U572" s="5"/>
      <c r="W572"/>
    </row>
    <row r="573" spans="2:23" ht="18" customHeight="1" x14ac:dyDescent="0.25">
      <c r="B573" s="85"/>
      <c r="C573" s="120"/>
      <c r="D573" s="121"/>
      <c r="E573" s="121"/>
      <c r="F573" s="92"/>
      <c r="G573" s="92"/>
      <c r="H573" s="122"/>
      <c r="I573" s="68" t="str">
        <f>IFERROR(MID(作者统计[[#This Row],[作者]],FIND("[",作者统计[[#This Row],[作者]],1)+1,FIND("]",作者统计[[#This Row],[作者]],1)-FIND("[",作者统计[[#This Row],[作者]],1)-1),"")</f>
        <v/>
      </c>
      <c r="J573" s="68" t="str">
        <f>IFERROR(MID(作者统计[[#This Row],[作者]],FIND("(",作者统计[[#This Row],[作者]],1)+1,FIND(")",作者统计[[#This Row],[作者]],1)-FIND("(",作者统计[[#This Row],[作者]],1)-1),"")</f>
        <v/>
      </c>
      <c r="L573" s="6"/>
      <c r="M573" s="5"/>
      <c r="U573" s="5"/>
      <c r="W573"/>
    </row>
    <row r="574" spans="2:23" ht="18" customHeight="1" x14ac:dyDescent="0.25">
      <c r="B574" s="309"/>
      <c r="C574" s="120"/>
      <c r="D574" s="121"/>
      <c r="E574" s="121"/>
      <c r="F574" s="92"/>
      <c r="G574" s="92"/>
      <c r="H574" s="122"/>
      <c r="I574" s="68" t="str">
        <f>IFERROR(MID(作者统计[[#This Row],[作者]],FIND("[",作者统计[[#This Row],[作者]],1)+1,FIND("]",作者统计[[#This Row],[作者]],1)-FIND("[",作者统计[[#This Row],[作者]],1)-1),"")</f>
        <v/>
      </c>
      <c r="J574" s="68" t="str">
        <f>IFERROR(MID(作者统计[[#This Row],[作者]],FIND("(",作者统计[[#This Row],[作者]],1)+1,FIND(")",作者统计[[#This Row],[作者]],1)-FIND("(",作者统计[[#This Row],[作者]],1)-1),"")</f>
        <v/>
      </c>
      <c r="L574" s="6"/>
      <c r="M574" s="5"/>
      <c r="U574" s="5"/>
      <c r="W574"/>
    </row>
    <row r="575" spans="2:23" ht="18" customHeight="1" x14ac:dyDescent="0.25">
      <c r="B575" s="256"/>
      <c r="C575" s="257"/>
      <c r="D575" s="258"/>
      <c r="E575" s="258"/>
      <c r="F575" s="259"/>
      <c r="G575" s="259"/>
      <c r="H575" s="260"/>
      <c r="I575" s="261" t="str">
        <f>IFERROR(MID(作者统计[[#This Row],[作者]],FIND("[",作者统计[[#This Row],[作者]],1)+1,FIND("]",作者统计[[#This Row],[作者]],1)-FIND("[",作者统计[[#This Row],[作者]],1)-1),"")</f>
        <v/>
      </c>
      <c r="J575" s="261" t="str">
        <f>IFERROR(MID(作者统计[[#This Row],[作者]],FIND("(",作者统计[[#This Row],[作者]],1)+1,FIND(")",作者统计[[#This Row],[作者]],1)-FIND("(",作者统计[[#This Row],[作者]],1)-1),"")</f>
        <v/>
      </c>
      <c r="L575" s="6"/>
      <c r="M575" s="5"/>
      <c r="U575" s="5"/>
      <c r="W575"/>
    </row>
    <row r="576" spans="2:23" ht="18" customHeight="1" x14ac:dyDescent="0.25">
      <c r="B576" s="85"/>
      <c r="C576" s="120"/>
      <c r="D576" s="121"/>
      <c r="E576" s="121"/>
      <c r="F576" s="92"/>
      <c r="G576" s="92"/>
      <c r="H576" s="122"/>
      <c r="I576" s="68" t="str">
        <f>IFERROR(MID(作者统计[[#This Row],[作者]],FIND("[",作者统计[[#This Row],[作者]],1)+1,FIND("]",作者统计[[#This Row],[作者]],1)-FIND("[",作者统计[[#This Row],[作者]],1)-1),"")</f>
        <v/>
      </c>
      <c r="J576" s="68" t="str">
        <f>IFERROR(MID(作者统计[[#This Row],[作者]],FIND("(",作者统计[[#This Row],[作者]],1)+1,FIND(")",作者统计[[#This Row],[作者]],1)-FIND("(",作者统计[[#This Row],[作者]],1)-1),"")</f>
        <v/>
      </c>
      <c r="L576" s="6"/>
      <c r="M576" s="5"/>
      <c r="U576" s="5"/>
      <c r="W576"/>
    </row>
    <row r="577" spans="2:23" ht="18" customHeight="1" x14ac:dyDescent="0.25">
      <c r="B577" s="85"/>
      <c r="C577" s="120"/>
      <c r="D577" s="121"/>
      <c r="E577" s="121"/>
      <c r="F577" s="92"/>
      <c r="G577" s="92"/>
      <c r="H577" s="122"/>
      <c r="I577" s="68" t="str">
        <f>IFERROR(MID(作者统计[[#This Row],[作者]],FIND("[",作者统计[[#This Row],[作者]],1)+1,FIND("]",作者统计[[#This Row],[作者]],1)-FIND("[",作者统计[[#This Row],[作者]],1)-1),"")</f>
        <v/>
      </c>
      <c r="J577" s="68" t="str">
        <f>IFERROR(MID(作者统计[[#This Row],[作者]],FIND("(",作者统计[[#This Row],[作者]],1)+1,FIND(")",作者统计[[#This Row],[作者]],1)-FIND("(",作者统计[[#This Row],[作者]],1)-1),"")</f>
        <v/>
      </c>
      <c r="L577" s="6"/>
      <c r="M577" s="5"/>
      <c r="U577" s="5"/>
      <c r="W577"/>
    </row>
    <row r="578" spans="2:23" ht="18" customHeight="1" x14ac:dyDescent="0.25">
      <c r="B578" s="309"/>
      <c r="C578" s="120"/>
      <c r="D578" s="121"/>
      <c r="E578" s="121"/>
      <c r="F578" s="92"/>
      <c r="G578" s="92"/>
      <c r="H578" s="122"/>
      <c r="I578" s="68" t="str">
        <f>IFERROR(MID(作者统计[[#This Row],[作者]],FIND("[",作者统计[[#This Row],[作者]],1)+1,FIND("]",作者统计[[#This Row],[作者]],1)-FIND("[",作者统计[[#This Row],[作者]],1)-1),"")</f>
        <v/>
      </c>
      <c r="J578" s="68" t="str">
        <f>IFERROR(MID(作者统计[[#This Row],[作者]],FIND("(",作者统计[[#This Row],[作者]],1)+1,FIND(")",作者统计[[#This Row],[作者]],1)-FIND("(",作者统计[[#This Row],[作者]],1)-1),"")</f>
        <v/>
      </c>
      <c r="L578" s="6"/>
      <c r="M578" s="5"/>
      <c r="U578" s="5"/>
      <c r="W578"/>
    </row>
    <row r="579" spans="2:23" ht="18" customHeight="1" x14ac:dyDescent="0.25">
      <c r="B579" s="85"/>
      <c r="C579" s="120"/>
      <c r="D579" s="121"/>
      <c r="E579" s="121"/>
      <c r="F579" s="92"/>
      <c r="G579" s="92"/>
      <c r="H579" s="123"/>
      <c r="I579" s="68" t="str">
        <f>IFERROR(MID(作者统计[[#This Row],[作者]],FIND("[",作者统计[[#This Row],[作者]],1)+1,FIND("]",作者统计[[#This Row],[作者]],1)-FIND("[",作者统计[[#This Row],[作者]],1)-1),"")</f>
        <v/>
      </c>
      <c r="J579" s="68" t="str">
        <f>IFERROR(MID(作者统计[[#This Row],[作者]],FIND("(",作者统计[[#This Row],[作者]],1)+1,FIND(")",作者统计[[#This Row],[作者]],1)-FIND("(",作者统计[[#This Row],[作者]],1)-1),"")</f>
        <v/>
      </c>
      <c r="L579" s="6"/>
      <c r="M579" s="5"/>
      <c r="U579" s="5"/>
      <c r="W579"/>
    </row>
    <row r="580" spans="2:23" ht="18" customHeight="1" x14ac:dyDescent="0.25">
      <c r="B580" s="85"/>
      <c r="C580" s="120"/>
      <c r="D580" s="121"/>
      <c r="E580" s="121"/>
      <c r="F580" s="92"/>
      <c r="G580" s="92"/>
      <c r="H580" s="122"/>
      <c r="I580" s="68" t="str">
        <f>IFERROR(MID(作者统计[[#This Row],[作者]],FIND("[",作者统计[[#This Row],[作者]],1)+1,FIND("]",作者统计[[#This Row],[作者]],1)-FIND("[",作者统计[[#This Row],[作者]],1)-1),"")</f>
        <v/>
      </c>
      <c r="J580" s="68" t="str">
        <f>IFERROR(MID(作者统计[[#This Row],[作者]],FIND("(",作者统计[[#This Row],[作者]],1)+1,FIND(")",作者统计[[#This Row],[作者]],1)-FIND("(",作者统计[[#This Row],[作者]],1)-1),"")</f>
        <v/>
      </c>
      <c r="L580" s="6"/>
      <c r="M580" s="5"/>
      <c r="U580" s="5"/>
      <c r="W580"/>
    </row>
    <row r="581" spans="2:23" ht="18" customHeight="1" x14ac:dyDescent="0.25">
      <c r="B581" s="309"/>
      <c r="C581" s="120"/>
      <c r="D581" s="121"/>
      <c r="E581" s="121"/>
      <c r="F581" s="92"/>
      <c r="G581" s="92"/>
      <c r="H581" s="122"/>
      <c r="I581" s="68" t="str">
        <f>IFERROR(MID(作者统计[[#This Row],[作者]],FIND("[",作者统计[[#This Row],[作者]],1)+1,FIND("]",作者统计[[#This Row],[作者]],1)-FIND("[",作者统计[[#This Row],[作者]],1)-1),"")</f>
        <v/>
      </c>
      <c r="J581" s="68" t="str">
        <f>IFERROR(MID(作者统计[[#This Row],[作者]],FIND("(",作者统计[[#This Row],[作者]],1)+1,FIND(")",作者统计[[#This Row],[作者]],1)-FIND("(",作者统计[[#This Row],[作者]],1)-1),"")</f>
        <v/>
      </c>
      <c r="L581" s="6"/>
      <c r="M581" s="5"/>
      <c r="U581" s="5"/>
      <c r="W581"/>
    </row>
    <row r="582" spans="2:23" ht="18" customHeight="1" x14ac:dyDescent="0.25">
      <c r="B582" s="85"/>
      <c r="C582" s="120"/>
      <c r="D582" s="121"/>
      <c r="E582" s="121"/>
      <c r="F582" s="92"/>
      <c r="G582" s="92"/>
      <c r="H582" s="122"/>
      <c r="I582" s="68" t="str">
        <f>IFERROR(MID(作者统计[[#This Row],[作者]],FIND("[",作者统计[[#This Row],[作者]],1)+1,FIND("]",作者统计[[#This Row],[作者]],1)-FIND("[",作者统计[[#This Row],[作者]],1)-1),"")</f>
        <v/>
      </c>
      <c r="J582" s="68" t="str">
        <f>IFERROR(MID(作者统计[[#This Row],[作者]],FIND("(",作者统计[[#This Row],[作者]],1)+1,FIND(")",作者统计[[#This Row],[作者]],1)-FIND("(",作者统计[[#This Row],[作者]],1)-1),"")</f>
        <v/>
      </c>
      <c r="L582" s="6"/>
      <c r="M582" s="5"/>
      <c r="U582" s="5"/>
      <c r="W582"/>
    </row>
    <row r="583" spans="2:23" ht="18" customHeight="1" x14ac:dyDescent="0.25">
      <c r="B583" s="85"/>
      <c r="C583" s="120"/>
      <c r="D583" s="121"/>
      <c r="E583" s="121"/>
      <c r="F583" s="92"/>
      <c r="G583" s="92"/>
      <c r="H583" s="122"/>
      <c r="I583" s="68" t="str">
        <f>IFERROR(MID(作者统计[[#This Row],[作者]],FIND("[",作者统计[[#This Row],[作者]],1)+1,FIND("]",作者统计[[#This Row],[作者]],1)-FIND("[",作者统计[[#This Row],[作者]],1)-1),"")</f>
        <v/>
      </c>
      <c r="J583" s="68" t="str">
        <f>IFERROR(MID(作者统计[[#This Row],[作者]],FIND("(",作者统计[[#This Row],[作者]],1)+1,FIND(")",作者统计[[#This Row],[作者]],1)-FIND("(",作者统计[[#This Row],[作者]],1)-1),"")</f>
        <v/>
      </c>
      <c r="L583" s="6"/>
      <c r="M583" s="5"/>
      <c r="U583" s="5"/>
      <c r="W583"/>
    </row>
    <row r="584" spans="2:23" ht="18" customHeight="1" x14ac:dyDescent="0.25">
      <c r="B584" s="85"/>
      <c r="C584" s="120"/>
      <c r="D584" s="121"/>
      <c r="E584" s="121"/>
      <c r="F584" s="92"/>
      <c r="G584" s="92"/>
      <c r="H584" s="122"/>
      <c r="I584" s="68" t="str">
        <f>IFERROR(MID(作者统计[[#This Row],[作者]],FIND("[",作者统计[[#This Row],[作者]],1)+1,FIND("]",作者统计[[#This Row],[作者]],1)-FIND("[",作者统计[[#This Row],[作者]],1)-1),"")</f>
        <v/>
      </c>
      <c r="J584" s="68" t="str">
        <f>IFERROR(MID(作者统计[[#This Row],[作者]],FIND("(",作者统计[[#This Row],[作者]],1)+1,FIND(")",作者统计[[#This Row],[作者]],1)-FIND("(",作者统计[[#This Row],[作者]],1)-1),"")</f>
        <v/>
      </c>
      <c r="L584" s="6"/>
      <c r="M584" s="5"/>
      <c r="U584" s="5"/>
      <c r="W584"/>
    </row>
    <row r="585" spans="2:23" ht="18" customHeight="1" x14ac:dyDescent="0.25">
      <c r="B585" s="85"/>
      <c r="C585" s="120"/>
      <c r="D585" s="121"/>
      <c r="E585" s="121"/>
      <c r="F585" s="92"/>
      <c r="G585" s="92"/>
      <c r="H585" s="122"/>
      <c r="I585" s="68" t="str">
        <f>IFERROR(MID(作者统计[[#This Row],[作者]],FIND("[",作者统计[[#This Row],[作者]],1)+1,FIND("]",作者统计[[#This Row],[作者]],1)-FIND("[",作者统计[[#This Row],[作者]],1)-1),"")</f>
        <v/>
      </c>
      <c r="J585" s="68" t="str">
        <f>IFERROR(MID(作者统计[[#This Row],[作者]],FIND("(",作者统计[[#This Row],[作者]],1)+1,FIND(")",作者统计[[#This Row],[作者]],1)-FIND("(",作者统计[[#This Row],[作者]],1)-1),"")</f>
        <v/>
      </c>
      <c r="L585" s="6"/>
      <c r="M585" s="5"/>
      <c r="U585" s="5"/>
      <c r="W585"/>
    </row>
    <row r="586" spans="2:23" ht="18" customHeight="1" x14ac:dyDescent="0.25">
      <c r="B586" s="256"/>
      <c r="C586" s="257"/>
      <c r="D586" s="258"/>
      <c r="E586" s="258"/>
      <c r="F586" s="259"/>
      <c r="G586" s="259"/>
      <c r="H586" s="260"/>
      <c r="I586" s="261" t="str">
        <f>IFERROR(MID(作者统计[[#This Row],[作者]],FIND("[",作者统计[[#This Row],[作者]],1)+1,FIND("]",作者统计[[#This Row],[作者]],1)-FIND("[",作者统计[[#This Row],[作者]],1)-1),"")</f>
        <v/>
      </c>
      <c r="J586" s="261" t="str">
        <f>IFERROR(MID(作者统计[[#This Row],[作者]],FIND("(",作者统计[[#This Row],[作者]],1)+1,FIND(")",作者统计[[#This Row],[作者]],1)-FIND("(",作者统计[[#This Row],[作者]],1)-1),"")</f>
        <v/>
      </c>
      <c r="L586" s="6"/>
      <c r="M586" s="5"/>
      <c r="U586" s="5"/>
      <c r="W586"/>
    </row>
    <row r="587" spans="2:23" ht="18" customHeight="1" x14ac:dyDescent="0.25">
      <c r="B587" s="309"/>
      <c r="C587" s="120"/>
      <c r="D587" s="121"/>
      <c r="E587" s="121"/>
      <c r="F587" s="92"/>
      <c r="G587" s="92"/>
      <c r="H587" s="122"/>
      <c r="I587" s="68" t="str">
        <f>IFERROR(MID(作者统计[[#This Row],[作者]],FIND("[",作者统计[[#This Row],[作者]],1)+1,FIND("]",作者统计[[#This Row],[作者]],1)-FIND("[",作者统计[[#This Row],[作者]],1)-1),"")</f>
        <v/>
      </c>
      <c r="J587" s="68" t="str">
        <f>IFERROR(MID(作者统计[[#This Row],[作者]],FIND("(",作者统计[[#This Row],[作者]],1)+1,FIND(")",作者统计[[#This Row],[作者]],1)-FIND("(",作者统计[[#This Row],[作者]],1)-1),"")</f>
        <v/>
      </c>
      <c r="L587" s="6"/>
      <c r="M587" s="5"/>
      <c r="U587" s="5"/>
      <c r="W587"/>
    </row>
    <row r="588" spans="2:23" ht="18" customHeight="1" x14ac:dyDescent="0.25">
      <c r="B588" s="309"/>
      <c r="C588" s="120"/>
      <c r="D588" s="121"/>
      <c r="E588" s="121"/>
      <c r="F588" s="92"/>
      <c r="G588" s="92"/>
      <c r="H588" s="122"/>
      <c r="I588" s="68" t="str">
        <f>IFERROR(MID(作者统计[[#This Row],[作者]],FIND("[",作者统计[[#This Row],[作者]],1)+1,FIND("]",作者统计[[#This Row],[作者]],1)-FIND("[",作者统计[[#This Row],[作者]],1)-1),"")</f>
        <v/>
      </c>
      <c r="J588" s="68" t="str">
        <f>IFERROR(MID(作者统计[[#This Row],[作者]],FIND("(",作者统计[[#This Row],[作者]],1)+1,FIND(")",作者统计[[#This Row],[作者]],1)-FIND("(",作者统计[[#This Row],[作者]],1)-1),"")</f>
        <v/>
      </c>
      <c r="L588" s="6"/>
      <c r="M588" s="5"/>
      <c r="U588" s="5"/>
      <c r="W588"/>
    </row>
    <row r="589" spans="2:23" ht="18" customHeight="1" x14ac:dyDescent="0.25">
      <c r="B589" s="256"/>
      <c r="C589" s="257"/>
      <c r="D589" s="258"/>
      <c r="E589" s="258"/>
      <c r="F589" s="259"/>
      <c r="G589" s="259"/>
      <c r="H589" s="260"/>
      <c r="I589" s="261" t="str">
        <f>IFERROR(MID(作者统计[[#This Row],[作者]],FIND("[",作者统计[[#This Row],[作者]],1)+1,FIND("]",作者统计[[#This Row],[作者]],1)-FIND("[",作者统计[[#This Row],[作者]],1)-1),"")</f>
        <v/>
      </c>
      <c r="J589" s="261" t="str">
        <f>IFERROR(MID(作者统计[[#This Row],[作者]],FIND("(",作者统计[[#This Row],[作者]],1)+1,FIND(")",作者统计[[#This Row],[作者]],1)-FIND("(",作者统计[[#This Row],[作者]],1)-1),"")</f>
        <v/>
      </c>
      <c r="L589" s="6"/>
      <c r="M589" s="5"/>
      <c r="U589" s="5"/>
      <c r="W589"/>
    </row>
    <row r="590" spans="2:23" ht="18" customHeight="1" x14ac:dyDescent="0.25">
      <c r="B590" s="256"/>
      <c r="C590" s="257"/>
      <c r="D590" s="258"/>
      <c r="E590" s="258"/>
      <c r="F590" s="259"/>
      <c r="G590" s="259"/>
      <c r="H590" s="260"/>
      <c r="I590" s="261" t="str">
        <f>IFERROR(MID(作者统计[[#This Row],[作者]],FIND("[",作者统计[[#This Row],[作者]],1)+1,FIND("]",作者统计[[#This Row],[作者]],1)-FIND("[",作者统计[[#This Row],[作者]],1)-1),"")</f>
        <v/>
      </c>
      <c r="J590" s="261" t="str">
        <f>IFERROR(MID(作者统计[[#This Row],[作者]],FIND("(",作者统计[[#This Row],[作者]],1)+1,FIND(")",作者统计[[#This Row],[作者]],1)-FIND("(",作者统计[[#This Row],[作者]],1)-1),"")</f>
        <v/>
      </c>
      <c r="L590" s="6"/>
      <c r="M590" s="5"/>
      <c r="U590" s="5"/>
      <c r="W590"/>
    </row>
    <row r="591" spans="2:23" ht="18" customHeight="1" x14ac:dyDescent="0.25">
      <c r="B591" s="309"/>
      <c r="C591" s="120"/>
      <c r="D591" s="121"/>
      <c r="E591" s="121"/>
      <c r="F591" s="92"/>
      <c r="G591" s="92"/>
      <c r="H591" s="122"/>
      <c r="I591" s="68" t="str">
        <f>IFERROR(MID(作者统计[[#This Row],[作者]],FIND("[",作者统计[[#This Row],[作者]],1)+1,FIND("]",作者统计[[#This Row],[作者]],1)-FIND("[",作者统计[[#This Row],[作者]],1)-1),"")</f>
        <v/>
      </c>
      <c r="J591" s="68" t="str">
        <f>IFERROR(MID(作者统计[[#This Row],[作者]],FIND("(",作者统计[[#This Row],[作者]],1)+1,FIND(")",作者统计[[#This Row],[作者]],1)-FIND("(",作者统计[[#This Row],[作者]],1)-1),"")</f>
        <v/>
      </c>
      <c r="L591" s="6"/>
      <c r="M591" s="5"/>
      <c r="U591" s="5"/>
      <c r="W591"/>
    </row>
    <row r="592" spans="2:23" ht="18" customHeight="1" x14ac:dyDescent="0.25">
      <c r="B592" s="309"/>
      <c r="C592" s="120"/>
      <c r="D592" s="121"/>
      <c r="E592" s="121"/>
      <c r="F592" s="92"/>
      <c r="G592" s="92"/>
      <c r="H592" s="122"/>
      <c r="I592" s="68" t="str">
        <f>IFERROR(MID(作者统计[[#This Row],[作者]],FIND("[",作者统计[[#This Row],[作者]],1)+1,FIND("]",作者统计[[#This Row],[作者]],1)-FIND("[",作者统计[[#This Row],[作者]],1)-1),"")</f>
        <v/>
      </c>
      <c r="J592" s="68" t="str">
        <f>IFERROR(MID(作者统计[[#This Row],[作者]],FIND("(",作者统计[[#This Row],[作者]],1)+1,FIND(")",作者统计[[#This Row],[作者]],1)-FIND("(",作者统计[[#This Row],[作者]],1)-1),"")</f>
        <v/>
      </c>
      <c r="L592" s="6"/>
      <c r="M592" s="5"/>
      <c r="U592" s="5"/>
      <c r="W592"/>
    </row>
    <row r="593" spans="2:23" ht="18" customHeight="1" x14ac:dyDescent="0.25">
      <c r="B593" s="309"/>
      <c r="C593" s="120"/>
      <c r="D593" s="121"/>
      <c r="E593" s="121"/>
      <c r="F593" s="92"/>
      <c r="G593" s="92"/>
      <c r="H593" s="122"/>
      <c r="I593" s="68" t="str">
        <f>IFERROR(MID(作者统计[[#This Row],[作者]],FIND("[",作者统计[[#This Row],[作者]],1)+1,FIND("]",作者统计[[#This Row],[作者]],1)-FIND("[",作者统计[[#This Row],[作者]],1)-1),"")</f>
        <v/>
      </c>
      <c r="J593" s="68" t="str">
        <f>IFERROR(MID(作者统计[[#This Row],[作者]],FIND("(",作者统计[[#This Row],[作者]],1)+1,FIND(")",作者统计[[#This Row],[作者]],1)-FIND("(",作者统计[[#This Row],[作者]],1)-1),"")</f>
        <v/>
      </c>
      <c r="L593" s="6"/>
      <c r="M593" s="5"/>
      <c r="U593" s="5"/>
      <c r="W593"/>
    </row>
    <row r="594" spans="2:23" ht="18" customHeight="1" x14ac:dyDescent="0.25">
      <c r="B594" s="85"/>
      <c r="C594" s="120"/>
      <c r="D594" s="121"/>
      <c r="E594" s="121"/>
      <c r="F594" s="92"/>
      <c r="G594" s="92"/>
      <c r="H594" s="122"/>
      <c r="I594" s="68" t="str">
        <f>IFERROR(MID(作者统计[[#This Row],[作者]],FIND("[",作者统计[[#This Row],[作者]],1)+1,FIND("]",作者统计[[#This Row],[作者]],1)-FIND("[",作者统计[[#This Row],[作者]],1)-1),"")</f>
        <v/>
      </c>
      <c r="J594" s="68" t="str">
        <f>IFERROR(MID(作者统计[[#This Row],[作者]],FIND("(",作者统计[[#This Row],[作者]],1)+1,FIND(")",作者统计[[#This Row],[作者]],1)-FIND("(",作者统计[[#This Row],[作者]],1)-1),"")</f>
        <v/>
      </c>
      <c r="L594" s="6"/>
      <c r="M594" s="5"/>
      <c r="U594" s="5"/>
      <c r="W594"/>
    </row>
    <row r="595" spans="2:23" ht="18" customHeight="1" x14ac:dyDescent="0.25">
      <c r="B595" s="309"/>
      <c r="C595" s="120"/>
      <c r="D595" s="121"/>
      <c r="E595" s="121"/>
      <c r="F595" s="92"/>
      <c r="G595" s="92"/>
      <c r="H595" s="122"/>
      <c r="I595" s="68" t="str">
        <f>IFERROR(MID(作者统计[[#This Row],[作者]],FIND("[",作者统计[[#This Row],[作者]],1)+1,FIND("]",作者统计[[#This Row],[作者]],1)-FIND("[",作者统计[[#This Row],[作者]],1)-1),"")</f>
        <v/>
      </c>
      <c r="J595" s="68" t="str">
        <f>IFERROR(MID(作者统计[[#This Row],[作者]],FIND("(",作者统计[[#This Row],[作者]],1)+1,FIND(")",作者统计[[#This Row],[作者]],1)-FIND("(",作者统计[[#This Row],[作者]],1)-1),"")</f>
        <v/>
      </c>
      <c r="L595" s="6"/>
      <c r="M595" s="5"/>
      <c r="U595" s="5"/>
      <c r="W595"/>
    </row>
    <row r="596" spans="2:23" ht="18" customHeight="1" x14ac:dyDescent="0.25">
      <c r="B596" s="309"/>
      <c r="C596" s="120"/>
      <c r="D596" s="121"/>
      <c r="E596" s="121"/>
      <c r="F596" s="92"/>
      <c r="G596" s="92"/>
      <c r="H596" s="122"/>
      <c r="I596" s="68" t="str">
        <f>IFERROR(MID(作者统计[[#This Row],[作者]],FIND("[",作者统计[[#This Row],[作者]],1)+1,FIND("]",作者统计[[#This Row],[作者]],1)-FIND("[",作者统计[[#This Row],[作者]],1)-1),"")</f>
        <v/>
      </c>
      <c r="J596" s="68" t="str">
        <f>IFERROR(MID(作者统计[[#This Row],[作者]],FIND("(",作者统计[[#This Row],[作者]],1)+1,FIND(")",作者统计[[#This Row],[作者]],1)-FIND("(",作者统计[[#This Row],[作者]],1)-1),"")</f>
        <v/>
      </c>
      <c r="L596" s="6"/>
      <c r="M596" s="5"/>
      <c r="U596" s="5"/>
      <c r="W596"/>
    </row>
    <row r="597" spans="2:23" ht="18" customHeight="1" x14ac:dyDescent="0.25">
      <c r="B597" s="85"/>
      <c r="C597" s="120"/>
      <c r="D597" s="121"/>
      <c r="E597" s="121"/>
      <c r="F597" s="92"/>
      <c r="G597" s="92"/>
      <c r="H597" s="122"/>
      <c r="I597" s="68" t="str">
        <f>IFERROR(MID(作者统计[[#This Row],[作者]],FIND("[",作者统计[[#This Row],[作者]],1)+1,FIND("]",作者统计[[#This Row],[作者]],1)-FIND("[",作者统计[[#This Row],[作者]],1)-1),"")</f>
        <v/>
      </c>
      <c r="J597" s="68" t="str">
        <f>IFERROR(MID(作者统计[[#This Row],[作者]],FIND("(",作者统计[[#This Row],[作者]],1)+1,FIND(")",作者统计[[#This Row],[作者]],1)-FIND("(",作者统计[[#This Row],[作者]],1)-1),"")</f>
        <v/>
      </c>
      <c r="L597" s="6"/>
      <c r="M597" s="5"/>
      <c r="U597" s="5"/>
      <c r="W597"/>
    </row>
    <row r="598" spans="2:23" ht="18" customHeight="1" x14ac:dyDescent="0.25">
      <c r="B598" s="85"/>
      <c r="C598" s="120"/>
      <c r="D598" s="121"/>
      <c r="E598" s="121"/>
      <c r="F598" s="92"/>
      <c r="G598" s="92"/>
      <c r="H598" s="122"/>
      <c r="I598" s="68" t="str">
        <f>IFERROR(MID(作者统计[[#This Row],[作者]],FIND("[",作者统计[[#This Row],[作者]],1)+1,FIND("]",作者统计[[#This Row],[作者]],1)-FIND("[",作者统计[[#This Row],[作者]],1)-1),"")</f>
        <v/>
      </c>
      <c r="J598" s="68" t="str">
        <f>IFERROR(MID(作者统计[[#This Row],[作者]],FIND("(",作者统计[[#This Row],[作者]],1)+1,FIND(")",作者统计[[#This Row],[作者]],1)-FIND("(",作者统计[[#This Row],[作者]],1)-1),"")</f>
        <v/>
      </c>
      <c r="L598" s="6"/>
      <c r="M598" s="5"/>
      <c r="U598" s="5"/>
      <c r="W598"/>
    </row>
    <row r="599" spans="2:23" ht="18" customHeight="1" x14ac:dyDescent="0.25">
      <c r="B599" s="309"/>
      <c r="C599" s="120"/>
      <c r="D599" s="121"/>
      <c r="E599" s="121"/>
      <c r="F599" s="92"/>
      <c r="G599" s="92"/>
      <c r="H599" s="122"/>
      <c r="I599" s="68" t="str">
        <f>IFERROR(MID(作者统计[[#This Row],[作者]],FIND("[",作者统计[[#This Row],[作者]],1)+1,FIND("]",作者统计[[#This Row],[作者]],1)-FIND("[",作者统计[[#This Row],[作者]],1)-1),"")</f>
        <v/>
      </c>
      <c r="J599" s="68" t="str">
        <f>IFERROR(MID(作者统计[[#This Row],[作者]],FIND("(",作者统计[[#This Row],[作者]],1)+1,FIND(")",作者统计[[#This Row],[作者]],1)-FIND("(",作者统计[[#This Row],[作者]],1)-1),"")</f>
        <v/>
      </c>
      <c r="L599" s="6"/>
      <c r="M599" s="5"/>
      <c r="U599" s="5"/>
      <c r="W599"/>
    </row>
    <row r="600" spans="2:23" ht="18" customHeight="1" x14ac:dyDescent="0.25">
      <c r="B600" s="85"/>
      <c r="C600" s="120"/>
      <c r="D600" s="121"/>
      <c r="E600" s="121"/>
      <c r="F600" s="92"/>
      <c r="G600" s="92"/>
      <c r="H600" s="122"/>
      <c r="I600" s="68" t="str">
        <f>IFERROR(MID(作者统计[[#This Row],[作者]],FIND("[",作者统计[[#This Row],[作者]],1)+1,FIND("]",作者统计[[#This Row],[作者]],1)-FIND("[",作者统计[[#This Row],[作者]],1)-1),"")</f>
        <v/>
      </c>
      <c r="J600" s="68" t="str">
        <f>IFERROR(MID(作者统计[[#This Row],[作者]],FIND("(",作者统计[[#This Row],[作者]],1)+1,FIND(")",作者统计[[#This Row],[作者]],1)-FIND("(",作者统计[[#This Row],[作者]],1)-1),"")</f>
        <v/>
      </c>
      <c r="L600" s="6"/>
      <c r="M600" s="5"/>
      <c r="U600" s="5"/>
      <c r="W600"/>
    </row>
    <row r="601" spans="2:23" ht="18" customHeight="1" x14ac:dyDescent="0.25">
      <c r="B601" s="309"/>
      <c r="C601" s="120"/>
      <c r="D601" s="121"/>
      <c r="E601" s="121"/>
      <c r="F601" s="92"/>
      <c r="G601" s="92"/>
      <c r="H601" s="122"/>
      <c r="I601" s="68" t="str">
        <f>IFERROR(MID(作者统计[[#This Row],[作者]],FIND("[",作者统计[[#This Row],[作者]],1)+1,FIND("]",作者统计[[#This Row],[作者]],1)-FIND("[",作者统计[[#This Row],[作者]],1)-1),"")</f>
        <v/>
      </c>
      <c r="J601" s="68" t="str">
        <f>IFERROR(MID(作者统计[[#This Row],[作者]],FIND("(",作者统计[[#This Row],[作者]],1)+1,FIND(")",作者统计[[#This Row],[作者]],1)-FIND("(",作者统计[[#This Row],[作者]],1)-1),"")</f>
        <v/>
      </c>
      <c r="L601" s="6"/>
      <c r="M601" s="5"/>
      <c r="U601" s="5"/>
      <c r="W601"/>
    </row>
    <row r="602" spans="2:23" ht="18" customHeight="1" x14ac:dyDescent="0.25">
      <c r="B602" s="309"/>
      <c r="C602" s="120"/>
      <c r="D602" s="121"/>
      <c r="E602" s="121"/>
      <c r="F602" s="92"/>
      <c r="G602" s="92"/>
      <c r="H602" s="122"/>
      <c r="I602" s="68" t="str">
        <f>IFERROR(MID(作者统计[[#This Row],[作者]],FIND("[",作者统计[[#This Row],[作者]],1)+1,FIND("]",作者统计[[#This Row],[作者]],1)-FIND("[",作者统计[[#This Row],[作者]],1)-1),"")</f>
        <v/>
      </c>
      <c r="J602" s="68" t="str">
        <f>IFERROR(MID(作者统计[[#This Row],[作者]],FIND("(",作者统计[[#This Row],[作者]],1)+1,FIND(")",作者统计[[#This Row],[作者]],1)-FIND("(",作者统计[[#This Row],[作者]],1)-1),"")</f>
        <v/>
      </c>
      <c r="L602" s="6"/>
      <c r="M602" s="5"/>
      <c r="U602" s="5"/>
      <c r="W602"/>
    </row>
    <row r="603" spans="2:23" ht="18" customHeight="1" x14ac:dyDescent="0.25">
      <c r="B603" s="85"/>
      <c r="C603" s="120"/>
      <c r="D603" s="121"/>
      <c r="E603" s="121"/>
      <c r="F603" s="92"/>
      <c r="G603" s="92"/>
      <c r="H603" s="122"/>
      <c r="I603" s="68" t="str">
        <f>IFERROR(MID(作者统计[[#This Row],[作者]],FIND("[",作者统计[[#This Row],[作者]],1)+1,FIND("]",作者统计[[#This Row],[作者]],1)-FIND("[",作者统计[[#This Row],[作者]],1)-1),"")</f>
        <v/>
      </c>
      <c r="J603" s="68" t="str">
        <f>IFERROR(MID(作者统计[[#This Row],[作者]],FIND("(",作者统计[[#This Row],[作者]],1)+1,FIND(")",作者统计[[#This Row],[作者]],1)-FIND("(",作者统计[[#This Row],[作者]],1)-1),"")</f>
        <v/>
      </c>
      <c r="L603" s="6"/>
      <c r="M603" s="5"/>
      <c r="U603" s="5"/>
      <c r="W603"/>
    </row>
    <row r="604" spans="2:23" ht="18" customHeight="1" x14ac:dyDescent="0.25">
      <c r="B604" s="85"/>
      <c r="C604" s="120"/>
      <c r="D604" s="121"/>
      <c r="E604" s="121"/>
      <c r="F604" s="92"/>
      <c r="G604" s="92"/>
      <c r="H604" s="122"/>
      <c r="I604" s="68" t="str">
        <f>IFERROR(MID(作者统计[[#This Row],[作者]],FIND("[",作者统计[[#This Row],[作者]],1)+1,FIND("]",作者统计[[#This Row],[作者]],1)-FIND("[",作者统计[[#This Row],[作者]],1)-1),"")</f>
        <v/>
      </c>
      <c r="J604" s="68" t="str">
        <f>IFERROR(MID(作者统计[[#This Row],[作者]],FIND("(",作者统计[[#This Row],[作者]],1)+1,FIND(")",作者统计[[#This Row],[作者]],1)-FIND("(",作者统计[[#This Row],[作者]],1)-1),"")</f>
        <v/>
      </c>
      <c r="L604" s="6"/>
      <c r="M604" s="5"/>
      <c r="U604" s="5"/>
      <c r="W604"/>
    </row>
    <row r="605" spans="2:23" ht="18" customHeight="1" x14ac:dyDescent="0.25">
      <c r="B605" s="85"/>
      <c r="C605" s="120"/>
      <c r="D605" s="121"/>
      <c r="E605" s="121"/>
      <c r="F605" s="92"/>
      <c r="G605" s="92"/>
      <c r="H605" s="122"/>
      <c r="I605" s="68" t="str">
        <f>IFERROR(MID(作者统计[[#This Row],[作者]],FIND("[",作者统计[[#This Row],[作者]],1)+1,FIND("]",作者统计[[#This Row],[作者]],1)-FIND("[",作者统计[[#This Row],[作者]],1)-1),"")</f>
        <v/>
      </c>
      <c r="J605" s="68" t="str">
        <f>IFERROR(MID(作者统计[[#This Row],[作者]],FIND("(",作者统计[[#This Row],[作者]],1)+1,FIND(")",作者统计[[#This Row],[作者]],1)-FIND("(",作者统计[[#This Row],[作者]],1)-1),"")</f>
        <v/>
      </c>
      <c r="L605" s="6"/>
      <c r="M605" s="5"/>
      <c r="U605" s="5"/>
      <c r="W605"/>
    </row>
    <row r="606" spans="2:23" ht="18" customHeight="1" x14ac:dyDescent="0.25">
      <c r="B606" s="309"/>
      <c r="C606" s="120"/>
      <c r="D606" s="121"/>
      <c r="E606" s="121"/>
      <c r="F606" s="92"/>
      <c r="G606" s="92"/>
      <c r="H606" s="122"/>
      <c r="I606" s="68" t="str">
        <f>IFERROR(MID(作者统计[[#This Row],[作者]],FIND("[",作者统计[[#This Row],[作者]],1)+1,FIND("]",作者统计[[#This Row],[作者]],1)-FIND("[",作者统计[[#This Row],[作者]],1)-1),"")</f>
        <v/>
      </c>
      <c r="J606" s="68" t="str">
        <f>IFERROR(MID(作者统计[[#This Row],[作者]],FIND("(",作者统计[[#This Row],[作者]],1)+1,FIND(")",作者统计[[#This Row],[作者]],1)-FIND("(",作者统计[[#This Row],[作者]],1)-1),"")</f>
        <v/>
      </c>
      <c r="L606" s="6"/>
      <c r="M606" s="5"/>
      <c r="U606" s="5"/>
      <c r="W606"/>
    </row>
    <row r="607" spans="2:23" ht="18" customHeight="1" x14ac:dyDescent="0.25">
      <c r="B607" s="309"/>
      <c r="C607" s="120"/>
      <c r="D607" s="121"/>
      <c r="E607" s="121"/>
      <c r="F607" s="92"/>
      <c r="G607" s="92"/>
      <c r="H607" s="122"/>
      <c r="I607" s="68" t="str">
        <f>IFERROR(MID(作者统计[[#This Row],[作者]],FIND("[",作者统计[[#This Row],[作者]],1)+1,FIND("]",作者统计[[#This Row],[作者]],1)-FIND("[",作者统计[[#This Row],[作者]],1)-1),"")</f>
        <v/>
      </c>
      <c r="J607" s="68" t="str">
        <f>IFERROR(MID(作者统计[[#This Row],[作者]],FIND("(",作者统计[[#This Row],[作者]],1)+1,FIND(")",作者统计[[#This Row],[作者]],1)-FIND("(",作者统计[[#This Row],[作者]],1)-1),"")</f>
        <v/>
      </c>
      <c r="L607" s="6"/>
      <c r="M607" s="5"/>
      <c r="U607" s="5"/>
      <c r="W607"/>
    </row>
    <row r="608" spans="2:23" ht="18" customHeight="1" x14ac:dyDescent="0.25">
      <c r="B608" s="85"/>
      <c r="C608" s="120"/>
      <c r="D608" s="121"/>
      <c r="E608" s="121"/>
      <c r="F608" s="92"/>
      <c r="G608" s="92"/>
      <c r="H608" s="122"/>
      <c r="I608" s="68" t="str">
        <f>IFERROR(MID(作者统计[[#This Row],[作者]],FIND("[",作者统计[[#This Row],[作者]],1)+1,FIND("]",作者统计[[#This Row],[作者]],1)-FIND("[",作者统计[[#This Row],[作者]],1)-1),"")</f>
        <v/>
      </c>
      <c r="J608" s="68" t="str">
        <f>IFERROR(MID(作者统计[[#This Row],[作者]],FIND("(",作者统计[[#This Row],[作者]],1)+1,FIND(")",作者统计[[#This Row],[作者]],1)-FIND("(",作者统计[[#This Row],[作者]],1)-1),"")</f>
        <v/>
      </c>
      <c r="L608" s="6"/>
      <c r="M608" s="5"/>
      <c r="U608" s="5"/>
      <c r="W608"/>
    </row>
    <row r="609" spans="2:23" ht="18" customHeight="1" x14ac:dyDescent="0.25">
      <c r="B609" s="85"/>
      <c r="C609" s="120"/>
      <c r="D609" s="121"/>
      <c r="E609" s="121"/>
      <c r="F609" s="92"/>
      <c r="G609" s="92"/>
      <c r="H609" s="122"/>
      <c r="I609" s="68" t="str">
        <f>IFERROR(MID(作者统计[[#This Row],[作者]],FIND("[",作者统计[[#This Row],[作者]],1)+1,FIND("]",作者统计[[#This Row],[作者]],1)-FIND("[",作者统计[[#This Row],[作者]],1)-1),"")</f>
        <v/>
      </c>
      <c r="J609" s="68" t="str">
        <f>IFERROR(MID(作者统计[[#This Row],[作者]],FIND("(",作者统计[[#This Row],[作者]],1)+1,FIND(")",作者统计[[#This Row],[作者]],1)-FIND("(",作者统计[[#This Row],[作者]],1)-1),"")</f>
        <v/>
      </c>
      <c r="L609" s="6"/>
      <c r="M609" s="5"/>
      <c r="U609" s="5"/>
      <c r="W609"/>
    </row>
    <row r="610" spans="2:23" ht="18" customHeight="1" x14ac:dyDescent="0.25">
      <c r="B610" s="256"/>
      <c r="C610" s="257"/>
      <c r="D610" s="258"/>
      <c r="E610" s="258"/>
      <c r="F610" s="259"/>
      <c r="G610" s="259"/>
      <c r="H610" s="260"/>
      <c r="I610" s="261" t="str">
        <f>IFERROR(MID(作者统计[[#This Row],[作者]],FIND("[",作者统计[[#This Row],[作者]],1)+1,FIND("]",作者统计[[#This Row],[作者]],1)-FIND("[",作者统计[[#This Row],[作者]],1)-1),"")</f>
        <v/>
      </c>
      <c r="J610" s="261" t="str">
        <f>IFERROR(MID(作者统计[[#This Row],[作者]],FIND("(",作者统计[[#This Row],[作者]],1)+1,FIND(")",作者统计[[#This Row],[作者]],1)-FIND("(",作者统计[[#This Row],[作者]],1)-1),"")</f>
        <v/>
      </c>
      <c r="L610" s="6"/>
      <c r="M610" s="5"/>
      <c r="U610" s="5"/>
      <c r="W610"/>
    </row>
    <row r="611" spans="2:23" ht="18" customHeight="1" x14ac:dyDescent="0.25">
      <c r="B611" s="85"/>
      <c r="C611" s="120"/>
      <c r="D611" s="121"/>
      <c r="E611" s="121"/>
      <c r="F611" s="92"/>
      <c r="G611" s="92"/>
      <c r="H611" s="122"/>
      <c r="I611" s="68" t="str">
        <f>IFERROR(MID(作者统计[[#This Row],[作者]],FIND("[",作者统计[[#This Row],[作者]],1)+1,FIND("]",作者统计[[#This Row],[作者]],1)-FIND("[",作者统计[[#This Row],[作者]],1)-1),"")</f>
        <v/>
      </c>
      <c r="J611" s="68" t="str">
        <f>IFERROR(MID(作者统计[[#This Row],[作者]],FIND("(",作者统计[[#This Row],[作者]],1)+1,FIND(")",作者统计[[#This Row],[作者]],1)-FIND("(",作者统计[[#This Row],[作者]],1)-1),"")</f>
        <v/>
      </c>
      <c r="L611" s="6"/>
      <c r="M611" s="5"/>
      <c r="U611" s="5"/>
      <c r="W611"/>
    </row>
    <row r="612" spans="2:23" ht="18" customHeight="1" x14ac:dyDescent="0.25">
      <c r="B612" s="309"/>
      <c r="C612" s="120"/>
      <c r="D612" s="121"/>
      <c r="E612" s="121"/>
      <c r="F612" s="92"/>
      <c r="G612" s="92"/>
      <c r="H612" s="122"/>
      <c r="I612" s="68" t="str">
        <f>IFERROR(MID(作者统计[[#This Row],[作者]],FIND("[",作者统计[[#This Row],[作者]],1)+1,FIND("]",作者统计[[#This Row],[作者]],1)-FIND("[",作者统计[[#This Row],[作者]],1)-1),"")</f>
        <v/>
      </c>
      <c r="J612" s="68" t="str">
        <f>IFERROR(MID(作者统计[[#This Row],[作者]],FIND("(",作者统计[[#This Row],[作者]],1)+1,FIND(")",作者统计[[#This Row],[作者]],1)-FIND("(",作者统计[[#This Row],[作者]],1)-1),"")</f>
        <v/>
      </c>
      <c r="L612" s="6"/>
      <c r="M612" s="5"/>
      <c r="U612" s="5"/>
      <c r="W612"/>
    </row>
    <row r="613" spans="2:23" ht="18" customHeight="1" x14ac:dyDescent="0.25">
      <c r="B613" s="309"/>
      <c r="C613" s="120"/>
      <c r="D613" s="121"/>
      <c r="E613" s="121"/>
      <c r="F613" s="92"/>
      <c r="G613" s="92"/>
      <c r="H613" s="122"/>
      <c r="I613" s="68" t="str">
        <f>IFERROR(MID(作者统计[[#This Row],[作者]],FIND("[",作者统计[[#This Row],[作者]],1)+1,FIND("]",作者统计[[#This Row],[作者]],1)-FIND("[",作者统计[[#This Row],[作者]],1)-1),"")</f>
        <v/>
      </c>
      <c r="J613" s="68" t="str">
        <f>IFERROR(MID(作者统计[[#This Row],[作者]],FIND("(",作者统计[[#This Row],[作者]],1)+1,FIND(")",作者统计[[#This Row],[作者]],1)-FIND("(",作者统计[[#This Row],[作者]],1)-1),"")</f>
        <v/>
      </c>
      <c r="L613" s="6"/>
      <c r="M613" s="5"/>
      <c r="U613" s="5"/>
      <c r="W613"/>
    </row>
    <row r="614" spans="2:23" ht="18" customHeight="1" x14ac:dyDescent="0.25">
      <c r="B614" s="85"/>
      <c r="C614" s="120"/>
      <c r="D614" s="121"/>
      <c r="E614" s="121"/>
      <c r="F614" s="92"/>
      <c r="G614" s="92"/>
      <c r="H614" s="122"/>
      <c r="I614" s="68" t="str">
        <f>IFERROR(MID(作者统计[[#This Row],[作者]],FIND("[",作者统计[[#This Row],[作者]],1)+1,FIND("]",作者统计[[#This Row],[作者]],1)-FIND("[",作者统计[[#This Row],[作者]],1)-1),"")</f>
        <v/>
      </c>
      <c r="J614" s="68" t="str">
        <f>IFERROR(MID(作者统计[[#This Row],[作者]],FIND("(",作者统计[[#This Row],[作者]],1)+1,FIND(")",作者统计[[#This Row],[作者]],1)-FIND("(",作者统计[[#This Row],[作者]],1)-1),"")</f>
        <v/>
      </c>
      <c r="L614" s="6"/>
      <c r="M614" s="5"/>
      <c r="U614" s="5"/>
      <c r="W614"/>
    </row>
    <row r="615" spans="2:23" ht="18" customHeight="1" x14ac:dyDescent="0.25">
      <c r="B615" s="85"/>
      <c r="C615" s="120"/>
      <c r="D615" s="121"/>
      <c r="E615" s="121"/>
      <c r="F615" s="92"/>
      <c r="G615" s="92"/>
      <c r="H615" s="122"/>
      <c r="I615" s="68" t="str">
        <f>IFERROR(MID(作者统计[[#This Row],[作者]],FIND("[",作者统计[[#This Row],[作者]],1)+1,FIND("]",作者统计[[#This Row],[作者]],1)-FIND("[",作者统计[[#This Row],[作者]],1)-1),"")</f>
        <v/>
      </c>
      <c r="J615" s="68" t="str">
        <f>IFERROR(MID(作者统计[[#This Row],[作者]],FIND("(",作者统计[[#This Row],[作者]],1)+1,FIND(")",作者统计[[#This Row],[作者]],1)-FIND("(",作者统计[[#This Row],[作者]],1)-1),"")</f>
        <v/>
      </c>
      <c r="L615" s="6"/>
      <c r="M615" s="5"/>
      <c r="U615" s="5"/>
      <c r="W615"/>
    </row>
    <row r="616" spans="2:23" ht="18" customHeight="1" x14ac:dyDescent="0.25">
      <c r="B616" s="85"/>
      <c r="C616" s="120"/>
      <c r="D616" s="121"/>
      <c r="E616" s="121"/>
      <c r="F616" s="92"/>
      <c r="G616" s="92"/>
      <c r="H616" s="122"/>
      <c r="I616" s="68" t="str">
        <f>IFERROR(MID(作者统计[[#This Row],[作者]],FIND("[",作者统计[[#This Row],[作者]],1)+1,FIND("]",作者统计[[#This Row],[作者]],1)-FIND("[",作者统计[[#This Row],[作者]],1)-1),"")</f>
        <v/>
      </c>
      <c r="J616" s="68" t="str">
        <f>IFERROR(MID(作者统计[[#This Row],[作者]],FIND("(",作者统计[[#This Row],[作者]],1)+1,FIND(")",作者统计[[#This Row],[作者]],1)-FIND("(",作者统计[[#This Row],[作者]],1)-1),"")</f>
        <v/>
      </c>
      <c r="L616" s="6"/>
      <c r="M616" s="5"/>
      <c r="U616" s="5"/>
      <c r="W616"/>
    </row>
    <row r="617" spans="2:23" ht="18" customHeight="1" x14ac:dyDescent="0.25">
      <c r="B617" s="85"/>
      <c r="C617" s="120"/>
      <c r="D617" s="121"/>
      <c r="E617" s="121"/>
      <c r="F617" s="92"/>
      <c r="G617" s="92"/>
      <c r="H617" s="122"/>
      <c r="I617" s="68" t="str">
        <f>IFERROR(MID(作者统计[[#This Row],[作者]],FIND("[",作者统计[[#This Row],[作者]],1)+1,FIND("]",作者统计[[#This Row],[作者]],1)-FIND("[",作者统计[[#This Row],[作者]],1)-1),"")</f>
        <v/>
      </c>
      <c r="J617" s="68" t="str">
        <f>IFERROR(MID(作者统计[[#This Row],[作者]],FIND("(",作者统计[[#This Row],[作者]],1)+1,FIND(")",作者统计[[#This Row],[作者]],1)-FIND("(",作者统计[[#This Row],[作者]],1)-1),"")</f>
        <v/>
      </c>
      <c r="L617" s="6"/>
      <c r="M617" s="5"/>
      <c r="U617" s="5"/>
      <c r="W617"/>
    </row>
    <row r="618" spans="2:23" ht="18" customHeight="1" x14ac:dyDescent="0.25">
      <c r="B618" s="309"/>
      <c r="C618" s="120"/>
      <c r="D618" s="121"/>
      <c r="E618" s="121"/>
      <c r="F618" s="92"/>
      <c r="G618" s="92"/>
      <c r="H618" s="122"/>
      <c r="I618" s="68" t="str">
        <f>IFERROR(MID(作者统计[[#This Row],[作者]],FIND("[",作者统计[[#This Row],[作者]],1)+1,FIND("]",作者统计[[#This Row],[作者]],1)-FIND("[",作者统计[[#This Row],[作者]],1)-1),"")</f>
        <v/>
      </c>
      <c r="J618" s="68" t="str">
        <f>IFERROR(MID(作者统计[[#This Row],[作者]],FIND("(",作者统计[[#This Row],[作者]],1)+1,FIND(")",作者统计[[#This Row],[作者]],1)-FIND("(",作者统计[[#This Row],[作者]],1)-1),"")</f>
        <v/>
      </c>
      <c r="L618" s="6"/>
      <c r="M618" s="5"/>
      <c r="U618" s="5"/>
      <c r="W618"/>
    </row>
    <row r="619" spans="2:23" ht="18" customHeight="1" x14ac:dyDescent="0.25">
      <c r="B619" s="256"/>
      <c r="C619" s="257"/>
      <c r="D619" s="258"/>
      <c r="E619" s="258"/>
      <c r="F619" s="259"/>
      <c r="G619" s="259"/>
      <c r="H619" s="260"/>
      <c r="I619" s="261" t="str">
        <f>IFERROR(MID(作者统计[[#This Row],[作者]],FIND("[",作者统计[[#This Row],[作者]],1)+1,FIND("]",作者统计[[#This Row],[作者]],1)-FIND("[",作者统计[[#This Row],[作者]],1)-1),"")</f>
        <v/>
      </c>
      <c r="J619" s="261" t="str">
        <f>IFERROR(MID(作者统计[[#This Row],[作者]],FIND("(",作者统计[[#This Row],[作者]],1)+1,FIND(")",作者统计[[#This Row],[作者]],1)-FIND("(",作者统计[[#This Row],[作者]],1)-1),"")</f>
        <v/>
      </c>
      <c r="L619" s="6"/>
      <c r="M619" s="5"/>
      <c r="U619" s="5"/>
      <c r="W619"/>
    </row>
    <row r="620" spans="2:23" ht="18" customHeight="1" x14ac:dyDescent="0.25">
      <c r="B620" s="309"/>
      <c r="C620" s="120"/>
      <c r="D620" s="121"/>
      <c r="E620" s="121"/>
      <c r="F620" s="92"/>
      <c r="G620" s="92"/>
      <c r="H620" s="122"/>
      <c r="I620" s="68" t="str">
        <f>IFERROR(MID(作者统计[[#This Row],[作者]],FIND("[",作者统计[[#This Row],[作者]],1)+1,FIND("]",作者统计[[#This Row],[作者]],1)-FIND("[",作者统计[[#This Row],[作者]],1)-1),"")</f>
        <v/>
      </c>
      <c r="J620" s="68" t="str">
        <f>IFERROR(MID(作者统计[[#This Row],[作者]],FIND("(",作者统计[[#This Row],[作者]],1)+1,FIND(")",作者统计[[#This Row],[作者]],1)-FIND("(",作者统计[[#This Row],[作者]],1)-1),"")</f>
        <v/>
      </c>
      <c r="L620" s="6"/>
      <c r="M620" s="5"/>
      <c r="U620" s="5"/>
      <c r="W620"/>
    </row>
    <row r="621" spans="2:23" ht="18" customHeight="1" x14ac:dyDescent="0.25">
      <c r="B621" s="309"/>
      <c r="C621" s="120"/>
      <c r="D621" s="121"/>
      <c r="E621" s="121"/>
      <c r="F621" s="92"/>
      <c r="G621" s="92"/>
      <c r="H621" s="122"/>
      <c r="I621" s="68" t="str">
        <f>IFERROR(MID(作者统计[[#This Row],[作者]],FIND("[",作者统计[[#This Row],[作者]],1)+1,FIND("]",作者统计[[#This Row],[作者]],1)-FIND("[",作者统计[[#This Row],[作者]],1)-1),"")</f>
        <v/>
      </c>
      <c r="J621" s="68" t="str">
        <f>IFERROR(MID(作者统计[[#This Row],[作者]],FIND("(",作者统计[[#This Row],[作者]],1)+1,FIND(")",作者统计[[#This Row],[作者]],1)-FIND("(",作者统计[[#This Row],[作者]],1)-1),"")</f>
        <v/>
      </c>
      <c r="L621" s="6"/>
      <c r="M621" s="5"/>
      <c r="U621" s="5"/>
      <c r="W621"/>
    </row>
    <row r="622" spans="2:23" ht="18" customHeight="1" x14ac:dyDescent="0.25">
      <c r="B622" s="256"/>
      <c r="C622" s="257"/>
      <c r="D622" s="258"/>
      <c r="E622" s="258"/>
      <c r="F622" s="259"/>
      <c r="G622" s="259"/>
      <c r="H622" s="260"/>
      <c r="I622" s="261" t="str">
        <f>IFERROR(MID(作者统计[[#This Row],[作者]],FIND("[",作者统计[[#This Row],[作者]],1)+1,FIND("]",作者统计[[#This Row],[作者]],1)-FIND("[",作者统计[[#This Row],[作者]],1)-1),"")</f>
        <v/>
      </c>
      <c r="J622" s="261" t="str">
        <f>IFERROR(MID(作者统计[[#This Row],[作者]],FIND("(",作者统计[[#This Row],[作者]],1)+1,FIND(")",作者统计[[#This Row],[作者]],1)-FIND("(",作者统计[[#This Row],[作者]],1)-1),"")</f>
        <v/>
      </c>
      <c r="L622" s="6"/>
      <c r="M622" s="5"/>
      <c r="U622" s="5"/>
      <c r="W622"/>
    </row>
    <row r="623" spans="2:23" ht="18" customHeight="1" x14ac:dyDescent="0.25">
      <c r="B623" s="85"/>
      <c r="C623" s="120"/>
      <c r="D623" s="121"/>
      <c r="E623" s="121"/>
      <c r="F623" s="92"/>
      <c r="G623" s="92"/>
      <c r="H623" s="122"/>
      <c r="I623" s="68" t="str">
        <f>IFERROR(MID(作者统计[[#This Row],[作者]],FIND("[",作者统计[[#This Row],[作者]],1)+1,FIND("]",作者统计[[#This Row],[作者]],1)-FIND("[",作者统计[[#This Row],[作者]],1)-1),"")</f>
        <v/>
      </c>
      <c r="J623" s="68" t="str">
        <f>IFERROR(MID(作者统计[[#This Row],[作者]],FIND("(",作者统计[[#This Row],[作者]],1)+1,FIND(")",作者统计[[#This Row],[作者]],1)-FIND("(",作者统计[[#This Row],[作者]],1)-1),"")</f>
        <v/>
      </c>
      <c r="L623" s="6"/>
      <c r="M623" s="5"/>
      <c r="U623" s="5"/>
      <c r="W623"/>
    </row>
    <row r="624" spans="2:23" ht="18" customHeight="1" x14ac:dyDescent="0.25">
      <c r="B624" s="309"/>
      <c r="C624" s="120"/>
      <c r="D624" s="121"/>
      <c r="E624" s="121"/>
      <c r="F624" s="92"/>
      <c r="G624" s="92"/>
      <c r="H624" s="122"/>
      <c r="I624" s="68" t="str">
        <f>IFERROR(MID(作者统计[[#This Row],[作者]],FIND("[",作者统计[[#This Row],[作者]],1)+1,FIND("]",作者统计[[#This Row],[作者]],1)-FIND("[",作者统计[[#This Row],[作者]],1)-1),"")</f>
        <v/>
      </c>
      <c r="J624" s="68" t="str">
        <f>IFERROR(MID(作者统计[[#This Row],[作者]],FIND("(",作者统计[[#This Row],[作者]],1)+1,FIND(")",作者统计[[#This Row],[作者]],1)-FIND("(",作者统计[[#This Row],[作者]],1)-1),"")</f>
        <v/>
      </c>
      <c r="L624" s="6"/>
      <c r="M624" s="5"/>
      <c r="U624" s="5"/>
      <c r="W624"/>
    </row>
    <row r="625" spans="2:23" ht="18" customHeight="1" x14ac:dyDescent="0.25">
      <c r="B625" s="256"/>
      <c r="C625" s="257"/>
      <c r="D625" s="258"/>
      <c r="E625" s="258"/>
      <c r="F625" s="259"/>
      <c r="G625" s="259"/>
      <c r="H625" s="260"/>
      <c r="I625" s="261" t="str">
        <f>IFERROR(MID(作者统计[[#This Row],[作者]],FIND("[",作者统计[[#This Row],[作者]],1)+1,FIND("]",作者统计[[#This Row],[作者]],1)-FIND("[",作者统计[[#This Row],[作者]],1)-1),"")</f>
        <v/>
      </c>
      <c r="J625" s="261" t="str">
        <f>IFERROR(MID(作者统计[[#This Row],[作者]],FIND("(",作者统计[[#This Row],[作者]],1)+1,FIND(")",作者统计[[#This Row],[作者]],1)-FIND("(",作者统计[[#This Row],[作者]],1)-1),"")</f>
        <v/>
      </c>
      <c r="L625" s="6"/>
      <c r="M625" s="5"/>
      <c r="U625" s="5"/>
      <c r="W625"/>
    </row>
    <row r="626" spans="2:23" ht="18" customHeight="1" x14ac:dyDescent="0.25">
      <c r="B626" s="309"/>
      <c r="C626" s="120"/>
      <c r="D626" s="121"/>
      <c r="E626" s="121"/>
      <c r="F626" s="92"/>
      <c r="G626" s="92"/>
      <c r="H626" s="122"/>
      <c r="I626" s="68" t="str">
        <f>IFERROR(MID(作者统计[[#This Row],[作者]],FIND("[",作者统计[[#This Row],[作者]],1)+1,FIND("]",作者统计[[#This Row],[作者]],1)-FIND("[",作者统计[[#This Row],[作者]],1)-1),"")</f>
        <v/>
      </c>
      <c r="J626" s="68" t="str">
        <f>IFERROR(MID(作者统计[[#This Row],[作者]],FIND("(",作者统计[[#This Row],[作者]],1)+1,FIND(")",作者统计[[#This Row],[作者]],1)-FIND("(",作者统计[[#This Row],[作者]],1)-1),"")</f>
        <v/>
      </c>
      <c r="L626" s="6"/>
      <c r="M626" s="5"/>
      <c r="U626" s="5"/>
      <c r="W626"/>
    </row>
    <row r="627" spans="2:23" ht="18" customHeight="1" x14ac:dyDescent="0.25">
      <c r="B627" s="85"/>
      <c r="C627" s="120"/>
      <c r="D627" s="121"/>
      <c r="E627" s="121"/>
      <c r="F627" s="92"/>
      <c r="G627" s="92"/>
      <c r="H627" s="122"/>
      <c r="I627" s="68" t="str">
        <f>IFERROR(MID(作者统计[[#This Row],[作者]],FIND("[",作者统计[[#This Row],[作者]],1)+1,FIND("]",作者统计[[#This Row],[作者]],1)-FIND("[",作者统计[[#This Row],[作者]],1)-1),"")</f>
        <v/>
      </c>
      <c r="J627" s="68" t="str">
        <f>IFERROR(MID(作者统计[[#This Row],[作者]],FIND("(",作者统计[[#This Row],[作者]],1)+1,FIND(")",作者统计[[#This Row],[作者]],1)-FIND("(",作者统计[[#This Row],[作者]],1)-1),"")</f>
        <v/>
      </c>
      <c r="L627" s="6"/>
      <c r="M627" s="5"/>
      <c r="U627" s="5"/>
      <c r="W627"/>
    </row>
    <row r="628" spans="2:23" ht="18" customHeight="1" x14ac:dyDescent="0.25">
      <c r="B628" s="309"/>
      <c r="C628" s="120"/>
      <c r="D628" s="121"/>
      <c r="E628" s="121"/>
      <c r="F628" s="92"/>
      <c r="G628" s="92"/>
      <c r="H628" s="122"/>
      <c r="I628" s="68" t="str">
        <f>IFERROR(MID(作者统计[[#This Row],[作者]],FIND("[",作者统计[[#This Row],[作者]],1)+1,FIND("]",作者统计[[#This Row],[作者]],1)-FIND("[",作者统计[[#This Row],[作者]],1)-1),"")</f>
        <v/>
      </c>
      <c r="J628" s="68" t="str">
        <f>IFERROR(MID(作者统计[[#This Row],[作者]],FIND("(",作者统计[[#This Row],[作者]],1)+1,FIND(")",作者统计[[#This Row],[作者]],1)-FIND("(",作者统计[[#This Row],[作者]],1)-1),"")</f>
        <v/>
      </c>
      <c r="L628" s="6"/>
      <c r="M628" s="5"/>
      <c r="U628" s="5"/>
      <c r="W628"/>
    </row>
    <row r="629" spans="2:23" ht="18" customHeight="1" x14ac:dyDescent="0.25">
      <c r="B629" s="309"/>
      <c r="C629" s="120"/>
      <c r="D629" s="121"/>
      <c r="E629" s="121"/>
      <c r="F629" s="92"/>
      <c r="G629" s="92"/>
      <c r="H629" s="122"/>
      <c r="I629" s="68" t="str">
        <f>IFERROR(MID(作者统计[[#This Row],[作者]],FIND("[",作者统计[[#This Row],[作者]],1)+1,FIND("]",作者统计[[#This Row],[作者]],1)-FIND("[",作者统计[[#This Row],[作者]],1)-1),"")</f>
        <v/>
      </c>
      <c r="J629" s="68" t="str">
        <f>IFERROR(MID(作者统计[[#This Row],[作者]],FIND("(",作者统计[[#This Row],[作者]],1)+1,FIND(")",作者统计[[#This Row],[作者]],1)-FIND("(",作者统计[[#This Row],[作者]],1)-1),"")</f>
        <v/>
      </c>
      <c r="L629" s="6"/>
      <c r="M629" s="5"/>
      <c r="U629" s="5"/>
      <c r="W629"/>
    </row>
    <row r="630" spans="2:23" ht="18" customHeight="1" x14ac:dyDescent="0.25">
      <c r="B630" s="85"/>
      <c r="C630" s="120"/>
      <c r="D630" s="121"/>
      <c r="E630" s="121"/>
      <c r="F630" s="92"/>
      <c r="G630" s="92"/>
      <c r="H630" s="122"/>
      <c r="I630" s="68" t="str">
        <f>IFERROR(MID(作者统计[[#This Row],[作者]],FIND("[",作者统计[[#This Row],[作者]],1)+1,FIND("]",作者统计[[#This Row],[作者]],1)-FIND("[",作者统计[[#This Row],[作者]],1)-1),"")</f>
        <v/>
      </c>
      <c r="J630" s="68" t="str">
        <f>IFERROR(MID(作者统计[[#This Row],[作者]],FIND("(",作者统计[[#This Row],[作者]],1)+1,FIND(")",作者统计[[#This Row],[作者]],1)-FIND("(",作者统计[[#This Row],[作者]],1)-1),"")</f>
        <v/>
      </c>
      <c r="L630" s="6"/>
      <c r="M630" s="5"/>
      <c r="U630" s="5"/>
      <c r="W630"/>
    </row>
    <row r="631" spans="2:23" ht="18" customHeight="1" x14ac:dyDescent="0.25">
      <c r="B631" s="309"/>
      <c r="C631" s="120"/>
      <c r="D631" s="121"/>
      <c r="E631" s="121"/>
      <c r="F631" s="92"/>
      <c r="G631" s="92"/>
      <c r="H631" s="122"/>
      <c r="I631" s="68" t="str">
        <f>IFERROR(MID(作者统计[[#This Row],[作者]],FIND("[",作者统计[[#This Row],[作者]],1)+1,FIND("]",作者统计[[#This Row],[作者]],1)-FIND("[",作者统计[[#This Row],[作者]],1)-1),"")</f>
        <v/>
      </c>
      <c r="J631" s="68" t="str">
        <f>IFERROR(MID(作者统计[[#This Row],[作者]],FIND("(",作者统计[[#This Row],[作者]],1)+1,FIND(")",作者统计[[#This Row],[作者]],1)-FIND("(",作者统计[[#This Row],[作者]],1)-1),"")</f>
        <v/>
      </c>
      <c r="L631" s="6"/>
      <c r="M631" s="5"/>
      <c r="U631" s="5"/>
      <c r="W631"/>
    </row>
    <row r="632" spans="2:23" ht="18" customHeight="1" x14ac:dyDescent="0.25">
      <c r="B632" s="309"/>
      <c r="C632" s="120"/>
      <c r="D632" s="121"/>
      <c r="E632" s="121"/>
      <c r="F632" s="92"/>
      <c r="G632" s="92"/>
      <c r="H632" s="122"/>
      <c r="I632" s="68" t="str">
        <f>IFERROR(MID(作者统计[[#This Row],[作者]],FIND("[",作者统计[[#This Row],[作者]],1)+1,FIND("]",作者统计[[#This Row],[作者]],1)-FIND("[",作者统计[[#This Row],[作者]],1)-1),"")</f>
        <v/>
      </c>
      <c r="J632" s="68" t="str">
        <f>IFERROR(MID(作者统计[[#This Row],[作者]],FIND("(",作者统计[[#This Row],[作者]],1)+1,FIND(")",作者统计[[#This Row],[作者]],1)-FIND("(",作者统计[[#This Row],[作者]],1)-1),"")</f>
        <v/>
      </c>
      <c r="L632" s="6"/>
      <c r="M632" s="5"/>
      <c r="U632" s="5"/>
      <c r="W632"/>
    </row>
    <row r="633" spans="2:23" ht="18" customHeight="1" x14ac:dyDescent="0.25">
      <c r="B633" s="309"/>
      <c r="C633" s="120"/>
      <c r="D633" s="121"/>
      <c r="E633" s="121"/>
      <c r="F633" s="92"/>
      <c r="G633" s="92"/>
      <c r="H633" s="122"/>
      <c r="I633" s="68" t="str">
        <f>IFERROR(MID(作者统计[[#This Row],[作者]],FIND("[",作者统计[[#This Row],[作者]],1)+1,FIND("]",作者统计[[#This Row],[作者]],1)-FIND("[",作者统计[[#This Row],[作者]],1)-1),"")</f>
        <v/>
      </c>
      <c r="J633" s="68" t="str">
        <f>IFERROR(MID(作者统计[[#This Row],[作者]],FIND("(",作者统计[[#This Row],[作者]],1)+1,FIND(")",作者统计[[#This Row],[作者]],1)-FIND("(",作者统计[[#This Row],[作者]],1)-1),"")</f>
        <v/>
      </c>
      <c r="L633" s="6"/>
      <c r="M633" s="5"/>
      <c r="U633" s="5"/>
      <c r="W633"/>
    </row>
    <row r="634" spans="2:23" ht="18" customHeight="1" x14ac:dyDescent="0.25">
      <c r="B634" s="309"/>
      <c r="C634" s="120"/>
      <c r="D634" s="121"/>
      <c r="E634" s="121"/>
      <c r="F634" s="92"/>
      <c r="G634" s="92"/>
      <c r="H634" s="122"/>
      <c r="I634" s="68" t="str">
        <f>IFERROR(MID(作者统计[[#This Row],[作者]],FIND("[",作者统计[[#This Row],[作者]],1)+1,FIND("]",作者统计[[#This Row],[作者]],1)-FIND("[",作者统计[[#This Row],[作者]],1)-1),"")</f>
        <v/>
      </c>
      <c r="J634" s="68" t="str">
        <f>IFERROR(MID(作者统计[[#This Row],[作者]],FIND("(",作者统计[[#This Row],[作者]],1)+1,FIND(")",作者统计[[#This Row],[作者]],1)-FIND("(",作者统计[[#This Row],[作者]],1)-1),"")</f>
        <v/>
      </c>
      <c r="L634" s="6"/>
      <c r="M634" s="5"/>
      <c r="U634" s="5"/>
      <c r="W634"/>
    </row>
    <row r="635" spans="2:23" ht="18" customHeight="1" x14ac:dyDescent="0.25">
      <c r="B635" s="309"/>
      <c r="C635" s="120"/>
      <c r="D635" s="121"/>
      <c r="E635" s="121"/>
      <c r="F635" s="92"/>
      <c r="G635" s="92"/>
      <c r="H635" s="122"/>
      <c r="I635" s="68" t="str">
        <f>IFERROR(MID(作者统计[[#This Row],[作者]],FIND("[",作者统计[[#This Row],[作者]],1)+1,FIND("]",作者统计[[#This Row],[作者]],1)-FIND("[",作者统计[[#This Row],[作者]],1)-1),"")</f>
        <v/>
      </c>
      <c r="J635" s="68" t="str">
        <f>IFERROR(MID(作者统计[[#This Row],[作者]],FIND("(",作者统计[[#This Row],[作者]],1)+1,FIND(")",作者统计[[#This Row],[作者]],1)-FIND("(",作者统计[[#This Row],[作者]],1)-1),"")</f>
        <v/>
      </c>
      <c r="L635" s="6"/>
      <c r="M635" s="5"/>
      <c r="U635" s="5"/>
      <c r="W635"/>
    </row>
    <row r="636" spans="2:23" ht="18" customHeight="1" x14ac:dyDescent="0.25">
      <c r="B636" s="309"/>
      <c r="C636" s="120"/>
      <c r="D636" s="121"/>
      <c r="E636" s="121"/>
      <c r="F636" s="92"/>
      <c r="G636" s="92"/>
      <c r="H636" s="122"/>
      <c r="I636" s="68" t="str">
        <f>IFERROR(MID(作者统计[[#This Row],[作者]],FIND("[",作者统计[[#This Row],[作者]],1)+1,FIND("]",作者统计[[#This Row],[作者]],1)-FIND("[",作者统计[[#This Row],[作者]],1)-1),"")</f>
        <v/>
      </c>
      <c r="J636" s="68" t="str">
        <f>IFERROR(MID(作者统计[[#This Row],[作者]],FIND("(",作者统计[[#This Row],[作者]],1)+1,FIND(")",作者统计[[#This Row],[作者]],1)-FIND("(",作者统计[[#This Row],[作者]],1)-1),"")</f>
        <v/>
      </c>
      <c r="L636" s="6"/>
      <c r="M636" s="5"/>
      <c r="U636" s="5"/>
      <c r="W636"/>
    </row>
    <row r="637" spans="2:23" ht="18" customHeight="1" x14ac:dyDescent="0.25">
      <c r="B637" s="309"/>
      <c r="C637" s="120"/>
      <c r="D637" s="121"/>
      <c r="E637" s="121"/>
      <c r="F637" s="92"/>
      <c r="G637" s="92"/>
      <c r="H637" s="122"/>
      <c r="I637" s="68" t="str">
        <f>IFERROR(MID(作者统计[[#This Row],[作者]],FIND("[",作者统计[[#This Row],[作者]],1)+1,FIND("]",作者统计[[#This Row],[作者]],1)-FIND("[",作者统计[[#This Row],[作者]],1)-1),"")</f>
        <v/>
      </c>
      <c r="J637" s="68" t="str">
        <f>IFERROR(MID(作者统计[[#This Row],[作者]],FIND("(",作者统计[[#This Row],[作者]],1)+1,FIND(")",作者统计[[#This Row],[作者]],1)-FIND("(",作者统计[[#This Row],[作者]],1)-1),"")</f>
        <v/>
      </c>
      <c r="L637" s="6"/>
      <c r="M637" s="5"/>
      <c r="U637" s="5"/>
      <c r="W637"/>
    </row>
    <row r="638" spans="2:23" ht="18" customHeight="1" x14ac:dyDescent="0.25">
      <c r="B638" s="256"/>
      <c r="C638" s="257"/>
      <c r="D638" s="258"/>
      <c r="E638" s="258"/>
      <c r="F638" s="259"/>
      <c r="G638" s="259"/>
      <c r="H638" s="260"/>
      <c r="I638" s="261" t="str">
        <f>IFERROR(MID(作者统计[[#This Row],[作者]],FIND("[",作者统计[[#This Row],[作者]],1)+1,FIND("]",作者统计[[#This Row],[作者]],1)-FIND("[",作者统计[[#This Row],[作者]],1)-1),"")</f>
        <v/>
      </c>
      <c r="J638" s="261" t="str">
        <f>IFERROR(MID(作者统计[[#This Row],[作者]],FIND("(",作者统计[[#This Row],[作者]],1)+1,FIND(")",作者统计[[#This Row],[作者]],1)-FIND("(",作者统计[[#This Row],[作者]],1)-1),"")</f>
        <v/>
      </c>
      <c r="L638" s="6"/>
      <c r="M638" s="5"/>
      <c r="U638" s="5"/>
      <c r="W638"/>
    </row>
    <row r="639" spans="2:23" ht="18" customHeight="1" x14ac:dyDescent="0.25">
      <c r="B639" s="256"/>
      <c r="C639" s="257"/>
      <c r="D639" s="258"/>
      <c r="E639" s="258"/>
      <c r="F639" s="259"/>
      <c r="G639" s="259"/>
      <c r="H639" s="260"/>
      <c r="I639" s="261" t="str">
        <f>IFERROR(MID(作者统计[[#This Row],[作者]],FIND("[",作者统计[[#This Row],[作者]],1)+1,FIND("]",作者统计[[#This Row],[作者]],1)-FIND("[",作者统计[[#This Row],[作者]],1)-1),"")</f>
        <v/>
      </c>
      <c r="J639" s="261" t="str">
        <f>IFERROR(MID(作者统计[[#This Row],[作者]],FIND("(",作者统计[[#This Row],[作者]],1)+1,FIND(")",作者统计[[#This Row],[作者]],1)-FIND("(",作者统计[[#This Row],[作者]],1)-1),"")</f>
        <v/>
      </c>
      <c r="L639" s="6"/>
      <c r="M639" s="5"/>
      <c r="U639" s="5"/>
      <c r="W639"/>
    </row>
    <row r="640" spans="2:23" ht="18" customHeight="1" x14ac:dyDescent="0.25">
      <c r="B640" s="256"/>
      <c r="C640" s="257"/>
      <c r="D640" s="258"/>
      <c r="E640" s="258"/>
      <c r="F640" s="259"/>
      <c r="G640" s="259"/>
      <c r="H640" s="260"/>
      <c r="I640" s="261" t="str">
        <f>IFERROR(MID(作者统计[[#This Row],[作者]],FIND("[",作者统计[[#This Row],[作者]],1)+1,FIND("]",作者统计[[#This Row],[作者]],1)-FIND("[",作者统计[[#This Row],[作者]],1)-1),"")</f>
        <v/>
      </c>
      <c r="J640" s="261" t="str">
        <f>IFERROR(MID(作者统计[[#This Row],[作者]],FIND("(",作者统计[[#This Row],[作者]],1)+1,FIND(")",作者统计[[#This Row],[作者]],1)-FIND("(",作者统计[[#This Row],[作者]],1)-1),"")</f>
        <v/>
      </c>
      <c r="L640" s="6"/>
      <c r="M640" s="5"/>
      <c r="U640" s="5"/>
      <c r="W640"/>
    </row>
    <row r="641" spans="2:23" ht="18" customHeight="1" x14ac:dyDescent="0.25">
      <c r="B641" s="256"/>
      <c r="C641" s="257"/>
      <c r="D641" s="258"/>
      <c r="E641" s="258"/>
      <c r="F641" s="259"/>
      <c r="G641" s="259"/>
      <c r="H641" s="260"/>
      <c r="I641" s="261" t="str">
        <f>IFERROR(MID(作者统计[[#This Row],[作者]],FIND("[",作者统计[[#This Row],[作者]],1)+1,FIND("]",作者统计[[#This Row],[作者]],1)-FIND("[",作者统计[[#This Row],[作者]],1)-1),"")</f>
        <v/>
      </c>
      <c r="J641" s="261" t="str">
        <f>IFERROR(MID(作者统计[[#This Row],[作者]],FIND("(",作者统计[[#This Row],[作者]],1)+1,FIND(")",作者统计[[#This Row],[作者]],1)-FIND("(",作者统计[[#This Row],[作者]],1)-1),"")</f>
        <v/>
      </c>
      <c r="L641" s="6"/>
      <c r="M641" s="5"/>
      <c r="U641" s="5"/>
      <c r="W641"/>
    </row>
    <row r="642" spans="2:23" ht="18" customHeight="1" x14ac:dyDescent="0.25">
      <c r="B642" s="256"/>
      <c r="C642" s="257"/>
      <c r="D642" s="258"/>
      <c r="E642" s="258"/>
      <c r="F642" s="259"/>
      <c r="G642" s="259"/>
      <c r="H642" s="260"/>
      <c r="I642" s="261" t="str">
        <f>IFERROR(MID(作者统计[[#This Row],[作者]],FIND("[",作者统计[[#This Row],[作者]],1)+1,FIND("]",作者统计[[#This Row],[作者]],1)-FIND("[",作者统计[[#This Row],[作者]],1)-1),"")</f>
        <v/>
      </c>
      <c r="J642" s="261" t="str">
        <f>IFERROR(MID(作者统计[[#This Row],[作者]],FIND("(",作者统计[[#This Row],[作者]],1)+1,FIND(")",作者统计[[#This Row],[作者]],1)-FIND("(",作者统计[[#This Row],[作者]],1)-1),"")</f>
        <v/>
      </c>
      <c r="L642" s="6"/>
      <c r="M642" s="5"/>
      <c r="U642" s="5"/>
      <c r="W642"/>
    </row>
    <row r="643" spans="2:23" ht="18" customHeight="1" x14ac:dyDescent="0.25">
      <c r="B643" s="256"/>
      <c r="C643" s="257"/>
      <c r="D643" s="258"/>
      <c r="E643" s="258"/>
      <c r="F643" s="259"/>
      <c r="G643" s="259"/>
      <c r="H643" s="260"/>
      <c r="I643" s="261" t="str">
        <f>IFERROR(MID(作者统计[[#This Row],[作者]],FIND("[",作者统计[[#This Row],[作者]],1)+1,FIND("]",作者统计[[#This Row],[作者]],1)-FIND("[",作者统计[[#This Row],[作者]],1)-1),"")</f>
        <v/>
      </c>
      <c r="J643" s="261" t="str">
        <f>IFERROR(MID(作者统计[[#This Row],[作者]],FIND("(",作者统计[[#This Row],[作者]],1)+1,FIND(")",作者统计[[#This Row],[作者]],1)-FIND("(",作者统计[[#This Row],[作者]],1)-1),"")</f>
        <v/>
      </c>
      <c r="L643" s="6"/>
      <c r="M643" s="5"/>
      <c r="U643" s="5"/>
      <c r="W643"/>
    </row>
    <row r="644" spans="2:23" ht="18" customHeight="1" x14ac:dyDescent="0.25">
      <c r="B644" s="256"/>
      <c r="C644" s="257"/>
      <c r="D644" s="258"/>
      <c r="E644" s="258"/>
      <c r="F644" s="259"/>
      <c r="G644" s="259"/>
      <c r="H644" s="260"/>
      <c r="I644" s="261" t="str">
        <f>IFERROR(MID(作者统计[[#This Row],[作者]],FIND("[",作者统计[[#This Row],[作者]],1)+1,FIND("]",作者统计[[#This Row],[作者]],1)-FIND("[",作者统计[[#This Row],[作者]],1)-1),"")</f>
        <v/>
      </c>
      <c r="J644" s="261" t="str">
        <f>IFERROR(MID(作者统计[[#This Row],[作者]],FIND("(",作者统计[[#This Row],[作者]],1)+1,FIND(")",作者统计[[#This Row],[作者]],1)-FIND("(",作者统计[[#This Row],[作者]],1)-1),"")</f>
        <v/>
      </c>
      <c r="L644" s="6"/>
      <c r="M644" s="5"/>
      <c r="U644" s="5"/>
      <c r="W644"/>
    </row>
    <row r="645" spans="2:23" ht="18" customHeight="1" x14ac:dyDescent="0.25">
      <c r="B645" s="256"/>
      <c r="C645" s="257"/>
      <c r="D645" s="258"/>
      <c r="E645" s="258"/>
      <c r="F645" s="259"/>
      <c r="G645" s="259"/>
      <c r="H645" s="260"/>
      <c r="I645" s="261" t="str">
        <f>IFERROR(MID(作者统计[[#This Row],[作者]],FIND("[",作者统计[[#This Row],[作者]],1)+1,FIND("]",作者统计[[#This Row],[作者]],1)-FIND("[",作者统计[[#This Row],[作者]],1)-1),"")</f>
        <v/>
      </c>
      <c r="J645" s="261" t="str">
        <f>IFERROR(MID(作者统计[[#This Row],[作者]],FIND("(",作者统计[[#This Row],[作者]],1)+1,FIND(")",作者统计[[#This Row],[作者]],1)-FIND("(",作者统计[[#This Row],[作者]],1)-1),"")</f>
        <v/>
      </c>
      <c r="L645" s="6"/>
      <c r="M645" s="5"/>
      <c r="U645" s="5"/>
      <c r="W645"/>
    </row>
    <row r="646" spans="2:23" ht="18" customHeight="1" x14ac:dyDescent="0.25">
      <c r="B646" s="256"/>
      <c r="C646" s="257"/>
      <c r="D646" s="258"/>
      <c r="E646" s="258"/>
      <c r="F646" s="259"/>
      <c r="G646" s="259"/>
      <c r="H646" s="260"/>
      <c r="I646" s="261" t="str">
        <f>IFERROR(MID(作者统计[[#This Row],[作者]],FIND("[",作者统计[[#This Row],[作者]],1)+1,FIND("]",作者统计[[#This Row],[作者]],1)-FIND("[",作者统计[[#This Row],[作者]],1)-1),"")</f>
        <v/>
      </c>
      <c r="J646" s="261" t="str">
        <f>IFERROR(MID(作者统计[[#This Row],[作者]],FIND("(",作者统计[[#This Row],[作者]],1)+1,FIND(")",作者统计[[#This Row],[作者]],1)-FIND("(",作者统计[[#This Row],[作者]],1)-1),"")</f>
        <v/>
      </c>
      <c r="L646" s="6"/>
      <c r="M646" s="5"/>
      <c r="U646" s="5"/>
      <c r="W646"/>
    </row>
    <row r="647" spans="2:23" ht="18" customHeight="1" x14ac:dyDescent="0.25">
      <c r="B647" s="256"/>
      <c r="C647" s="257"/>
      <c r="D647" s="258"/>
      <c r="E647" s="258"/>
      <c r="F647" s="259"/>
      <c r="G647" s="259"/>
      <c r="H647" s="260"/>
      <c r="I647" s="261" t="str">
        <f>IFERROR(MID(作者统计[[#This Row],[作者]],FIND("[",作者统计[[#This Row],[作者]],1)+1,FIND("]",作者统计[[#This Row],[作者]],1)-FIND("[",作者统计[[#This Row],[作者]],1)-1),"")</f>
        <v/>
      </c>
      <c r="J647" s="261" t="str">
        <f>IFERROR(MID(作者统计[[#This Row],[作者]],FIND("(",作者统计[[#This Row],[作者]],1)+1,FIND(")",作者统计[[#This Row],[作者]],1)-FIND("(",作者统计[[#This Row],[作者]],1)-1),"")</f>
        <v/>
      </c>
      <c r="L647" s="6"/>
      <c r="M647" s="5"/>
      <c r="U647" s="5"/>
      <c r="W647"/>
    </row>
    <row r="648" spans="2:23" ht="18" customHeight="1" x14ac:dyDescent="0.25">
      <c r="B648" s="256"/>
      <c r="C648" s="257"/>
      <c r="D648" s="258"/>
      <c r="E648" s="258"/>
      <c r="F648" s="259"/>
      <c r="G648" s="259"/>
      <c r="H648" s="260"/>
      <c r="I648" s="261" t="str">
        <f>IFERROR(MID(作者统计[[#This Row],[作者]],FIND("[",作者统计[[#This Row],[作者]],1)+1,FIND("]",作者统计[[#This Row],[作者]],1)-FIND("[",作者统计[[#This Row],[作者]],1)-1),"")</f>
        <v/>
      </c>
      <c r="J648" s="261" t="str">
        <f>IFERROR(MID(作者统计[[#This Row],[作者]],FIND("(",作者统计[[#This Row],[作者]],1)+1,FIND(")",作者统计[[#This Row],[作者]],1)-FIND("(",作者统计[[#This Row],[作者]],1)-1),"")</f>
        <v/>
      </c>
      <c r="L648" s="6"/>
      <c r="M648" s="5"/>
      <c r="U648" s="5"/>
      <c r="W648"/>
    </row>
    <row r="649" spans="2:23" ht="18" customHeight="1" x14ac:dyDescent="0.25">
      <c r="B649" s="256"/>
      <c r="C649" s="257"/>
      <c r="D649" s="258"/>
      <c r="E649" s="258"/>
      <c r="F649" s="259"/>
      <c r="G649" s="259"/>
      <c r="H649" s="260"/>
      <c r="I649" s="261" t="str">
        <f>IFERROR(MID(作者统计[[#This Row],[作者]],FIND("[",作者统计[[#This Row],[作者]],1)+1,FIND("]",作者统计[[#This Row],[作者]],1)-FIND("[",作者统计[[#This Row],[作者]],1)-1),"")</f>
        <v/>
      </c>
      <c r="J649" s="261" t="str">
        <f>IFERROR(MID(作者统计[[#This Row],[作者]],FIND("(",作者统计[[#This Row],[作者]],1)+1,FIND(")",作者统计[[#This Row],[作者]],1)-FIND("(",作者统计[[#This Row],[作者]],1)-1),"")</f>
        <v/>
      </c>
      <c r="L649" s="6"/>
      <c r="M649" s="5"/>
      <c r="U649" s="5"/>
      <c r="W649"/>
    </row>
    <row r="650" spans="2:23" ht="18" customHeight="1" x14ac:dyDescent="0.25">
      <c r="B650" s="256"/>
      <c r="C650" s="257"/>
      <c r="D650" s="258"/>
      <c r="E650" s="258"/>
      <c r="F650" s="259"/>
      <c r="G650" s="259"/>
      <c r="H650" s="260"/>
      <c r="I650" s="261" t="str">
        <f>IFERROR(MID(作者统计[[#This Row],[作者]],FIND("[",作者统计[[#This Row],[作者]],1)+1,FIND("]",作者统计[[#This Row],[作者]],1)-FIND("[",作者统计[[#This Row],[作者]],1)-1),"")</f>
        <v/>
      </c>
      <c r="J650" s="261" t="str">
        <f>IFERROR(MID(作者统计[[#This Row],[作者]],FIND("(",作者统计[[#This Row],[作者]],1)+1,FIND(")",作者统计[[#This Row],[作者]],1)-FIND("(",作者统计[[#This Row],[作者]],1)-1),"")</f>
        <v/>
      </c>
      <c r="L650" s="6"/>
      <c r="M650" s="5"/>
      <c r="U650" s="5"/>
      <c r="W650"/>
    </row>
    <row r="651" spans="2:23" ht="18" customHeight="1" x14ac:dyDescent="0.25">
      <c r="B651" s="256"/>
      <c r="C651" s="257"/>
      <c r="D651" s="258"/>
      <c r="E651" s="258"/>
      <c r="F651" s="259"/>
      <c r="G651" s="259"/>
      <c r="H651" s="260"/>
      <c r="I651" s="261" t="str">
        <f>IFERROR(MID(作者统计[[#This Row],[作者]],FIND("[",作者统计[[#This Row],[作者]],1)+1,FIND("]",作者统计[[#This Row],[作者]],1)-FIND("[",作者统计[[#This Row],[作者]],1)-1),"")</f>
        <v/>
      </c>
      <c r="J651" s="261" t="str">
        <f>IFERROR(MID(作者统计[[#This Row],[作者]],FIND("(",作者统计[[#This Row],[作者]],1)+1,FIND(")",作者统计[[#This Row],[作者]],1)-FIND("(",作者统计[[#This Row],[作者]],1)-1),"")</f>
        <v/>
      </c>
      <c r="L651" s="6"/>
      <c r="M651" s="5"/>
      <c r="U651" s="5"/>
      <c r="W651"/>
    </row>
    <row r="652" spans="2:23" ht="18" customHeight="1" x14ac:dyDescent="0.25">
      <c r="B652" s="256"/>
      <c r="C652" s="257"/>
      <c r="D652" s="258"/>
      <c r="E652" s="258"/>
      <c r="F652" s="259"/>
      <c r="G652" s="259"/>
      <c r="H652" s="260"/>
      <c r="I652" s="261" t="str">
        <f>IFERROR(MID(作者统计[[#This Row],[作者]],FIND("[",作者统计[[#This Row],[作者]],1)+1,FIND("]",作者统计[[#This Row],[作者]],1)-FIND("[",作者统计[[#This Row],[作者]],1)-1),"")</f>
        <v/>
      </c>
      <c r="J652" s="261" t="str">
        <f>IFERROR(MID(作者统计[[#This Row],[作者]],FIND("(",作者统计[[#This Row],[作者]],1)+1,FIND(")",作者统计[[#This Row],[作者]],1)-FIND("(",作者统计[[#This Row],[作者]],1)-1),"")</f>
        <v/>
      </c>
      <c r="L652" s="6"/>
      <c r="M652" s="5"/>
      <c r="U652" s="5"/>
      <c r="W652"/>
    </row>
    <row r="653" spans="2:23" ht="18" customHeight="1" x14ac:dyDescent="0.25">
      <c r="B653" s="256"/>
      <c r="C653" s="257"/>
      <c r="D653" s="258"/>
      <c r="E653" s="258"/>
      <c r="F653" s="259"/>
      <c r="G653" s="259"/>
      <c r="H653" s="260"/>
      <c r="I653" s="261" t="str">
        <f>IFERROR(MID(作者统计[[#This Row],[作者]],FIND("[",作者统计[[#This Row],[作者]],1)+1,FIND("]",作者统计[[#This Row],[作者]],1)-FIND("[",作者统计[[#This Row],[作者]],1)-1),"")</f>
        <v/>
      </c>
      <c r="J653" s="261" t="str">
        <f>IFERROR(MID(作者统计[[#This Row],[作者]],FIND("(",作者统计[[#This Row],[作者]],1)+1,FIND(")",作者统计[[#This Row],[作者]],1)-FIND("(",作者统计[[#This Row],[作者]],1)-1),"")</f>
        <v/>
      </c>
      <c r="L653" s="6"/>
      <c r="M653" s="5"/>
      <c r="U653" s="5"/>
      <c r="W653"/>
    </row>
    <row r="654" spans="2:23" ht="18" customHeight="1" x14ac:dyDescent="0.25">
      <c r="B654" s="256"/>
      <c r="C654" s="257"/>
      <c r="D654" s="258"/>
      <c r="E654" s="258"/>
      <c r="F654" s="259"/>
      <c r="G654" s="259"/>
      <c r="H654" s="260"/>
      <c r="I654" s="261" t="str">
        <f>IFERROR(MID(作者统计[[#This Row],[作者]],FIND("[",作者统计[[#This Row],[作者]],1)+1,FIND("]",作者统计[[#This Row],[作者]],1)-FIND("[",作者统计[[#This Row],[作者]],1)-1),"")</f>
        <v/>
      </c>
      <c r="J654" s="261" t="str">
        <f>IFERROR(MID(作者统计[[#This Row],[作者]],FIND("(",作者统计[[#This Row],[作者]],1)+1,FIND(")",作者统计[[#This Row],[作者]],1)-FIND("(",作者统计[[#This Row],[作者]],1)-1),"")</f>
        <v/>
      </c>
      <c r="L654" s="6"/>
      <c r="M654" s="5"/>
      <c r="U654" s="5"/>
      <c r="W654"/>
    </row>
    <row r="655" spans="2:23" ht="18" customHeight="1" x14ac:dyDescent="0.25">
      <c r="B655" s="309"/>
      <c r="C655" s="120"/>
      <c r="D655" s="121"/>
      <c r="E655" s="121"/>
      <c r="F655" s="92"/>
      <c r="G655" s="92"/>
      <c r="H655" s="122"/>
      <c r="I655" s="68" t="str">
        <f>IFERROR(MID(作者统计[[#This Row],[作者]],FIND("[",作者统计[[#This Row],[作者]],1)+1,FIND("]",作者统计[[#This Row],[作者]],1)-FIND("[",作者统计[[#This Row],[作者]],1)-1),"")</f>
        <v/>
      </c>
      <c r="J655" s="68" t="str">
        <f>IFERROR(MID(作者统计[[#This Row],[作者]],FIND("(",作者统计[[#This Row],[作者]],1)+1,FIND(")",作者统计[[#This Row],[作者]],1)-FIND("(",作者统计[[#This Row],[作者]],1)-1),"")</f>
        <v/>
      </c>
      <c r="L655" s="6"/>
      <c r="M655" s="5"/>
      <c r="U655" s="5"/>
      <c r="W655"/>
    </row>
    <row r="656" spans="2:23" ht="18" customHeight="1" x14ac:dyDescent="0.25">
      <c r="B656" s="309"/>
      <c r="C656" s="120"/>
      <c r="D656" s="121"/>
      <c r="E656" s="121"/>
      <c r="F656" s="92"/>
      <c r="G656" s="92"/>
      <c r="H656" s="122"/>
      <c r="I656" s="68" t="str">
        <f>IFERROR(MID(作者统计[[#This Row],[作者]],FIND("[",作者统计[[#This Row],[作者]],1)+1,FIND("]",作者统计[[#This Row],[作者]],1)-FIND("[",作者统计[[#This Row],[作者]],1)-1),"")</f>
        <v/>
      </c>
      <c r="J656" s="68" t="str">
        <f>IFERROR(MID(作者统计[[#This Row],[作者]],FIND("(",作者统计[[#This Row],[作者]],1)+1,FIND(")",作者统计[[#This Row],[作者]],1)-FIND("(",作者统计[[#This Row],[作者]],1)-1),"")</f>
        <v/>
      </c>
      <c r="L656" s="6"/>
      <c r="M656" s="5"/>
      <c r="U656" s="5"/>
      <c r="W656"/>
    </row>
    <row r="657" spans="2:23" ht="18" customHeight="1" x14ac:dyDescent="0.25">
      <c r="B657" s="256"/>
      <c r="C657" s="257"/>
      <c r="D657" s="258"/>
      <c r="E657" s="258"/>
      <c r="F657" s="259"/>
      <c r="G657" s="259"/>
      <c r="H657" s="260"/>
      <c r="I657" s="261" t="str">
        <f>IFERROR(MID(作者统计[[#This Row],[作者]],FIND("[",作者统计[[#This Row],[作者]],1)+1,FIND("]",作者统计[[#This Row],[作者]],1)-FIND("[",作者统计[[#This Row],[作者]],1)-1),"")</f>
        <v/>
      </c>
      <c r="J657" s="261" t="str">
        <f>IFERROR(MID(作者统计[[#This Row],[作者]],FIND("(",作者统计[[#This Row],[作者]],1)+1,FIND(")",作者统计[[#This Row],[作者]],1)-FIND("(",作者统计[[#This Row],[作者]],1)-1),"")</f>
        <v/>
      </c>
      <c r="L657" s="6"/>
      <c r="M657" s="5"/>
      <c r="U657" s="5"/>
      <c r="W657"/>
    </row>
    <row r="658" spans="2:23" ht="18" customHeight="1" x14ac:dyDescent="0.25">
      <c r="B658" s="85"/>
      <c r="C658" s="120"/>
      <c r="D658" s="121"/>
      <c r="E658" s="121"/>
      <c r="F658" s="92"/>
      <c r="G658" s="92"/>
      <c r="H658" s="122"/>
      <c r="I658" s="68" t="str">
        <f>IFERROR(MID(作者统计[[#This Row],[作者]],FIND("[",作者统计[[#This Row],[作者]],1)+1,FIND("]",作者统计[[#This Row],[作者]],1)-FIND("[",作者统计[[#This Row],[作者]],1)-1),"")</f>
        <v/>
      </c>
      <c r="J658" s="68" t="str">
        <f>IFERROR(MID(作者统计[[#This Row],[作者]],FIND("(",作者统计[[#This Row],[作者]],1)+1,FIND(")",作者统计[[#This Row],[作者]],1)-FIND("(",作者统计[[#This Row],[作者]],1)-1),"")</f>
        <v/>
      </c>
      <c r="L658" s="6"/>
      <c r="M658" s="5"/>
      <c r="U658" s="5"/>
      <c r="W658"/>
    </row>
    <row r="659" spans="2:23" ht="18" customHeight="1" x14ac:dyDescent="0.25">
      <c r="B659" s="85"/>
      <c r="C659" s="120"/>
      <c r="D659" s="121"/>
      <c r="E659" s="121"/>
      <c r="F659" s="92"/>
      <c r="G659" s="92"/>
      <c r="H659" s="122"/>
      <c r="I659" s="68" t="str">
        <f>IFERROR(MID(作者统计[[#This Row],[作者]],FIND("[",作者统计[[#This Row],[作者]],1)+1,FIND("]",作者统计[[#This Row],[作者]],1)-FIND("[",作者统计[[#This Row],[作者]],1)-1),"")</f>
        <v/>
      </c>
      <c r="J659" s="68" t="str">
        <f>IFERROR(MID(作者统计[[#This Row],[作者]],FIND("(",作者统计[[#This Row],[作者]],1)+1,FIND(")",作者统计[[#This Row],[作者]],1)-FIND("(",作者统计[[#This Row],[作者]],1)-1),"")</f>
        <v/>
      </c>
      <c r="L659" s="6"/>
      <c r="M659" s="5"/>
      <c r="U659" s="5"/>
      <c r="W659"/>
    </row>
    <row r="660" spans="2:23" ht="18" customHeight="1" x14ac:dyDescent="0.25">
      <c r="B660" s="309"/>
      <c r="C660" s="120"/>
      <c r="D660" s="121"/>
      <c r="E660" s="121"/>
      <c r="F660" s="92"/>
      <c r="G660" s="92"/>
      <c r="H660" s="122"/>
      <c r="I660" s="68" t="str">
        <f>IFERROR(MID(作者统计[[#This Row],[作者]],FIND("[",作者统计[[#This Row],[作者]],1)+1,FIND("]",作者统计[[#This Row],[作者]],1)-FIND("[",作者统计[[#This Row],[作者]],1)-1),"")</f>
        <v/>
      </c>
      <c r="J660" s="68" t="str">
        <f>IFERROR(MID(作者统计[[#This Row],[作者]],FIND("(",作者统计[[#This Row],[作者]],1)+1,FIND(")",作者统计[[#This Row],[作者]],1)-FIND("(",作者统计[[#This Row],[作者]],1)-1),"")</f>
        <v/>
      </c>
      <c r="L660" s="6"/>
      <c r="M660" s="5"/>
      <c r="U660" s="5"/>
      <c r="W660"/>
    </row>
    <row r="661" spans="2:23" ht="18" customHeight="1" x14ac:dyDescent="0.25">
      <c r="B661" s="256"/>
      <c r="C661" s="257"/>
      <c r="D661" s="258"/>
      <c r="E661" s="258"/>
      <c r="F661" s="259"/>
      <c r="G661" s="259"/>
      <c r="H661" s="260"/>
      <c r="I661" s="261" t="str">
        <f>IFERROR(MID(作者统计[[#This Row],[作者]],FIND("[",作者统计[[#This Row],[作者]],1)+1,FIND("]",作者统计[[#This Row],[作者]],1)-FIND("[",作者统计[[#This Row],[作者]],1)-1),"")</f>
        <v/>
      </c>
      <c r="J661" s="261" t="str">
        <f>IFERROR(MID(作者统计[[#This Row],[作者]],FIND("(",作者统计[[#This Row],[作者]],1)+1,FIND(")",作者统计[[#This Row],[作者]],1)-FIND("(",作者统计[[#This Row],[作者]],1)-1),"")</f>
        <v/>
      </c>
      <c r="L661" s="6"/>
      <c r="M661" s="5"/>
      <c r="U661" s="5"/>
      <c r="W661"/>
    </row>
    <row r="662" spans="2:23" ht="18" customHeight="1" x14ac:dyDescent="0.25">
      <c r="B662" s="85"/>
      <c r="C662" s="120"/>
      <c r="D662" s="121"/>
      <c r="E662" s="121"/>
      <c r="F662" s="92"/>
      <c r="G662" s="92"/>
      <c r="H662" s="122"/>
      <c r="I662" s="68" t="str">
        <f>IFERROR(MID(作者统计[[#This Row],[作者]],FIND("[",作者统计[[#This Row],[作者]],1)+1,FIND("]",作者统计[[#This Row],[作者]],1)-FIND("[",作者统计[[#This Row],[作者]],1)-1),"")</f>
        <v/>
      </c>
      <c r="J662" s="68" t="str">
        <f>IFERROR(MID(作者统计[[#This Row],[作者]],FIND("(",作者统计[[#This Row],[作者]],1)+1,FIND(")",作者统计[[#This Row],[作者]],1)-FIND("(",作者统计[[#This Row],[作者]],1)-1),"")</f>
        <v/>
      </c>
      <c r="L662" s="6"/>
      <c r="M662" s="5"/>
      <c r="U662" s="5"/>
      <c r="W662"/>
    </row>
    <row r="663" spans="2:23" ht="18" customHeight="1" x14ac:dyDescent="0.25">
      <c r="B663" s="309"/>
      <c r="C663" s="120"/>
      <c r="D663" s="121"/>
      <c r="E663" s="121"/>
      <c r="F663" s="92"/>
      <c r="G663" s="92"/>
      <c r="H663" s="122"/>
      <c r="I663" s="68" t="str">
        <f>IFERROR(MID(作者统计[[#This Row],[作者]],FIND("[",作者统计[[#This Row],[作者]],1)+1,FIND("]",作者统计[[#This Row],[作者]],1)-FIND("[",作者统计[[#This Row],[作者]],1)-1),"")</f>
        <v/>
      </c>
      <c r="J663" s="68" t="str">
        <f>IFERROR(MID(作者统计[[#This Row],[作者]],FIND("(",作者统计[[#This Row],[作者]],1)+1,FIND(")",作者统计[[#This Row],[作者]],1)-FIND("(",作者统计[[#This Row],[作者]],1)-1),"")</f>
        <v/>
      </c>
      <c r="L663" s="6"/>
      <c r="M663" s="5"/>
      <c r="U663" s="5"/>
      <c r="W663"/>
    </row>
    <row r="664" spans="2:23" ht="18" customHeight="1" x14ac:dyDescent="0.25">
      <c r="B664" s="309"/>
      <c r="C664" s="120"/>
      <c r="D664" s="121"/>
      <c r="E664" s="121"/>
      <c r="F664" s="92"/>
      <c r="G664" s="92"/>
      <c r="H664" s="122"/>
      <c r="I664" s="68" t="str">
        <f>IFERROR(MID(作者统计[[#This Row],[作者]],FIND("[",作者统计[[#This Row],[作者]],1)+1,FIND("]",作者统计[[#This Row],[作者]],1)-FIND("[",作者统计[[#This Row],[作者]],1)-1),"")</f>
        <v/>
      </c>
      <c r="J664" s="68" t="str">
        <f>IFERROR(MID(作者统计[[#This Row],[作者]],FIND("(",作者统计[[#This Row],[作者]],1)+1,FIND(")",作者统计[[#This Row],[作者]],1)-FIND("(",作者统计[[#This Row],[作者]],1)-1),"")</f>
        <v/>
      </c>
      <c r="L664" s="6"/>
      <c r="M664" s="5"/>
      <c r="U664" s="5"/>
      <c r="W664"/>
    </row>
    <row r="665" spans="2:23" ht="18" customHeight="1" x14ac:dyDescent="0.25">
      <c r="B665" s="309"/>
      <c r="C665" s="120"/>
      <c r="D665" s="121"/>
      <c r="E665" s="121"/>
      <c r="F665" s="92"/>
      <c r="G665" s="92"/>
      <c r="H665" s="122"/>
      <c r="I665" s="68" t="str">
        <f>IFERROR(MID(作者统计[[#This Row],[作者]],FIND("[",作者统计[[#This Row],[作者]],1)+1,FIND("]",作者统计[[#This Row],[作者]],1)-FIND("[",作者统计[[#This Row],[作者]],1)-1),"")</f>
        <v/>
      </c>
      <c r="J665" s="68" t="str">
        <f>IFERROR(MID(作者统计[[#This Row],[作者]],FIND("(",作者统计[[#This Row],[作者]],1)+1,FIND(")",作者统计[[#This Row],[作者]],1)-FIND("(",作者统计[[#This Row],[作者]],1)-1),"")</f>
        <v/>
      </c>
      <c r="L665" s="6"/>
      <c r="M665" s="5"/>
      <c r="U665" s="5"/>
      <c r="W665"/>
    </row>
    <row r="666" spans="2:23" ht="18" customHeight="1" x14ac:dyDescent="0.25">
      <c r="B666" s="85"/>
      <c r="C666" s="120"/>
      <c r="D666" s="121"/>
      <c r="E666" s="121"/>
      <c r="F666" s="92"/>
      <c r="G666" s="92"/>
      <c r="H666" s="122"/>
      <c r="I666" s="68" t="str">
        <f>IFERROR(MID(作者统计[[#This Row],[作者]],FIND("[",作者统计[[#This Row],[作者]],1)+1,FIND("]",作者统计[[#This Row],[作者]],1)-FIND("[",作者统计[[#This Row],[作者]],1)-1),"")</f>
        <v/>
      </c>
      <c r="J666" s="68" t="str">
        <f>IFERROR(MID(作者统计[[#This Row],[作者]],FIND("(",作者统计[[#This Row],[作者]],1)+1,FIND(")",作者统计[[#This Row],[作者]],1)-FIND("(",作者统计[[#This Row],[作者]],1)-1),"")</f>
        <v/>
      </c>
      <c r="L666" s="6"/>
      <c r="M666" s="5"/>
      <c r="U666" s="5"/>
      <c r="W666"/>
    </row>
    <row r="667" spans="2:23" ht="18" customHeight="1" x14ac:dyDescent="0.25">
      <c r="B667" s="256"/>
      <c r="C667" s="257"/>
      <c r="D667" s="258"/>
      <c r="E667" s="258"/>
      <c r="F667" s="259"/>
      <c r="G667" s="259"/>
      <c r="H667" s="260"/>
      <c r="I667" s="261" t="str">
        <f>IFERROR(MID(作者统计[[#This Row],[作者]],FIND("[",作者统计[[#This Row],[作者]],1)+1,FIND("]",作者统计[[#This Row],[作者]],1)-FIND("[",作者统计[[#This Row],[作者]],1)-1),"")</f>
        <v/>
      </c>
      <c r="J667" s="261" t="str">
        <f>IFERROR(MID(作者统计[[#This Row],[作者]],FIND("(",作者统计[[#This Row],[作者]],1)+1,FIND(")",作者统计[[#This Row],[作者]],1)-FIND("(",作者统计[[#This Row],[作者]],1)-1),"")</f>
        <v/>
      </c>
      <c r="L667" s="6"/>
      <c r="M667" s="5"/>
      <c r="U667" s="5"/>
      <c r="W667"/>
    </row>
    <row r="668" spans="2:23" ht="18" customHeight="1" x14ac:dyDescent="0.25">
      <c r="B668" s="85"/>
      <c r="C668" s="120"/>
      <c r="D668" s="121"/>
      <c r="E668" s="121"/>
      <c r="F668" s="92"/>
      <c r="G668" s="92"/>
      <c r="H668" s="122"/>
      <c r="I668" s="68" t="str">
        <f>IFERROR(MID(作者统计[[#This Row],[作者]],FIND("[",作者统计[[#This Row],[作者]],1)+1,FIND("]",作者统计[[#This Row],[作者]],1)-FIND("[",作者统计[[#This Row],[作者]],1)-1),"")</f>
        <v/>
      </c>
      <c r="J668" s="68" t="str">
        <f>IFERROR(MID(作者统计[[#This Row],[作者]],FIND("(",作者统计[[#This Row],[作者]],1)+1,FIND(")",作者统计[[#This Row],[作者]],1)-FIND("(",作者统计[[#This Row],[作者]],1)-1),"")</f>
        <v/>
      </c>
      <c r="L668" s="6"/>
      <c r="M668" s="5"/>
      <c r="U668" s="5"/>
      <c r="W668"/>
    </row>
    <row r="669" spans="2:23" ht="18" customHeight="1" x14ac:dyDescent="0.25">
      <c r="B669" s="256"/>
      <c r="C669" s="257"/>
      <c r="D669" s="258"/>
      <c r="E669" s="258"/>
      <c r="F669" s="259"/>
      <c r="G669" s="259"/>
      <c r="H669" s="260"/>
      <c r="I669" s="261" t="str">
        <f>IFERROR(MID(作者统计[[#This Row],[作者]],FIND("[",作者统计[[#This Row],[作者]],1)+1,FIND("]",作者统计[[#This Row],[作者]],1)-FIND("[",作者统计[[#This Row],[作者]],1)-1),"")</f>
        <v/>
      </c>
      <c r="J669" s="261" t="str">
        <f>IFERROR(MID(作者统计[[#This Row],[作者]],FIND("(",作者统计[[#This Row],[作者]],1)+1,FIND(")",作者统计[[#This Row],[作者]],1)-FIND("(",作者统计[[#This Row],[作者]],1)-1),"")</f>
        <v/>
      </c>
      <c r="L669" s="6"/>
      <c r="M669" s="5"/>
      <c r="U669" s="5"/>
      <c r="W669"/>
    </row>
    <row r="670" spans="2:23" ht="18" customHeight="1" x14ac:dyDescent="0.25">
      <c r="B670" s="256"/>
      <c r="C670" s="257"/>
      <c r="D670" s="258"/>
      <c r="E670" s="258"/>
      <c r="F670" s="259"/>
      <c r="G670" s="259"/>
      <c r="H670" s="260"/>
      <c r="I670" s="261" t="str">
        <f>IFERROR(MID(作者统计[[#This Row],[作者]],FIND("[",作者统计[[#This Row],[作者]],1)+1,FIND("]",作者统计[[#This Row],[作者]],1)-FIND("[",作者统计[[#This Row],[作者]],1)-1),"")</f>
        <v/>
      </c>
      <c r="J670" s="261" t="str">
        <f>IFERROR(MID(作者统计[[#This Row],[作者]],FIND("(",作者统计[[#This Row],[作者]],1)+1,FIND(")",作者统计[[#This Row],[作者]],1)-FIND("(",作者统计[[#This Row],[作者]],1)-1),"")</f>
        <v/>
      </c>
      <c r="L670" s="6"/>
      <c r="M670" s="5"/>
      <c r="U670" s="5"/>
      <c r="W670"/>
    </row>
    <row r="671" spans="2:23" ht="18" customHeight="1" x14ac:dyDescent="0.25">
      <c r="B671" s="85"/>
      <c r="C671" s="120"/>
      <c r="D671" s="121"/>
      <c r="E671" s="121"/>
      <c r="F671" s="92"/>
      <c r="G671" s="92"/>
      <c r="H671" s="122"/>
      <c r="I671" s="68" t="str">
        <f>IFERROR(MID(作者统计[[#This Row],[作者]],FIND("[",作者统计[[#This Row],[作者]],1)+1,FIND("]",作者统计[[#This Row],[作者]],1)-FIND("[",作者统计[[#This Row],[作者]],1)-1),"")</f>
        <v/>
      </c>
      <c r="J671" s="68" t="str">
        <f>IFERROR(MID(作者统计[[#This Row],[作者]],FIND("(",作者统计[[#This Row],[作者]],1)+1,FIND(")",作者统计[[#This Row],[作者]],1)-FIND("(",作者统计[[#This Row],[作者]],1)-1),"")</f>
        <v/>
      </c>
      <c r="L671" s="6"/>
      <c r="M671" s="5"/>
      <c r="U671" s="5"/>
      <c r="W671"/>
    </row>
    <row r="672" spans="2:23" ht="18" customHeight="1" x14ac:dyDescent="0.25">
      <c r="B672" s="256"/>
      <c r="C672" s="257"/>
      <c r="D672" s="258"/>
      <c r="E672" s="258"/>
      <c r="F672" s="259"/>
      <c r="G672" s="259"/>
      <c r="H672" s="260"/>
      <c r="I672" s="261" t="str">
        <f>IFERROR(MID(作者统计[[#This Row],[作者]],FIND("[",作者统计[[#This Row],[作者]],1)+1,FIND("]",作者统计[[#This Row],[作者]],1)-FIND("[",作者统计[[#This Row],[作者]],1)-1),"")</f>
        <v/>
      </c>
      <c r="J672" s="261" t="str">
        <f>IFERROR(MID(作者统计[[#This Row],[作者]],FIND("(",作者统计[[#This Row],[作者]],1)+1,FIND(")",作者统计[[#This Row],[作者]],1)-FIND("(",作者统计[[#This Row],[作者]],1)-1),"")</f>
        <v/>
      </c>
      <c r="L672" s="6"/>
      <c r="M672" s="5"/>
      <c r="U672" s="5"/>
      <c r="W672"/>
    </row>
    <row r="673" spans="2:23" ht="18" customHeight="1" x14ac:dyDescent="0.25">
      <c r="B673" s="256"/>
      <c r="C673" s="257"/>
      <c r="D673" s="258"/>
      <c r="E673" s="258"/>
      <c r="F673" s="259"/>
      <c r="G673" s="259"/>
      <c r="H673" s="260"/>
      <c r="I673" s="261" t="str">
        <f>IFERROR(MID(作者统计[[#This Row],[作者]],FIND("[",作者统计[[#This Row],[作者]],1)+1,FIND("]",作者统计[[#This Row],[作者]],1)-FIND("[",作者统计[[#This Row],[作者]],1)-1),"")</f>
        <v/>
      </c>
      <c r="J673" s="261" t="str">
        <f>IFERROR(MID(作者统计[[#This Row],[作者]],FIND("(",作者统计[[#This Row],[作者]],1)+1,FIND(")",作者统计[[#This Row],[作者]],1)-FIND("(",作者统计[[#This Row],[作者]],1)-1),"")</f>
        <v/>
      </c>
      <c r="L673" s="6"/>
      <c r="M673" s="5"/>
      <c r="U673" s="5"/>
      <c r="W673"/>
    </row>
    <row r="674" spans="2:23" ht="18" customHeight="1" x14ac:dyDescent="0.25">
      <c r="B674" s="309"/>
      <c r="C674" s="120"/>
      <c r="D674" s="121"/>
      <c r="E674" s="121"/>
      <c r="F674" s="92"/>
      <c r="G674" s="92"/>
      <c r="H674" s="122"/>
      <c r="I674" s="68" t="str">
        <f>IFERROR(MID(作者统计[[#This Row],[作者]],FIND("[",作者统计[[#This Row],[作者]],1)+1,FIND("]",作者统计[[#This Row],[作者]],1)-FIND("[",作者统计[[#This Row],[作者]],1)-1),"")</f>
        <v/>
      </c>
      <c r="J674" s="68" t="str">
        <f>IFERROR(MID(作者统计[[#This Row],[作者]],FIND("(",作者统计[[#This Row],[作者]],1)+1,FIND(")",作者统计[[#This Row],[作者]],1)-FIND("(",作者统计[[#This Row],[作者]],1)-1),"")</f>
        <v/>
      </c>
      <c r="L674" s="6"/>
      <c r="M674" s="5"/>
      <c r="U674" s="5"/>
      <c r="W674"/>
    </row>
    <row r="675" spans="2:23" ht="18" customHeight="1" x14ac:dyDescent="0.25">
      <c r="B675" s="309"/>
      <c r="C675" s="120"/>
      <c r="D675" s="121"/>
      <c r="E675" s="121"/>
      <c r="F675" s="92"/>
      <c r="G675" s="92"/>
      <c r="H675" s="122"/>
      <c r="I675" s="68" t="str">
        <f>IFERROR(MID(作者统计[[#This Row],[作者]],FIND("[",作者统计[[#This Row],[作者]],1)+1,FIND("]",作者统计[[#This Row],[作者]],1)-FIND("[",作者统计[[#This Row],[作者]],1)-1),"")</f>
        <v/>
      </c>
      <c r="J675" s="68" t="str">
        <f>IFERROR(MID(作者统计[[#This Row],[作者]],FIND("(",作者统计[[#This Row],[作者]],1)+1,FIND(")",作者统计[[#This Row],[作者]],1)-FIND("(",作者统计[[#This Row],[作者]],1)-1),"")</f>
        <v/>
      </c>
      <c r="L675" s="6"/>
      <c r="M675" s="5"/>
      <c r="U675" s="5"/>
      <c r="W675"/>
    </row>
    <row r="676" spans="2:23" ht="18" customHeight="1" x14ac:dyDescent="0.25">
      <c r="B676" s="309"/>
      <c r="C676" s="120"/>
      <c r="D676" s="121"/>
      <c r="E676" s="121"/>
      <c r="F676" s="92"/>
      <c r="G676" s="92"/>
      <c r="H676" s="122"/>
      <c r="I676" s="68" t="str">
        <f>IFERROR(MID(作者统计[[#This Row],[作者]],FIND("[",作者统计[[#This Row],[作者]],1)+1,FIND("]",作者统计[[#This Row],[作者]],1)-FIND("[",作者统计[[#This Row],[作者]],1)-1),"")</f>
        <v/>
      </c>
      <c r="J676" s="68" t="str">
        <f>IFERROR(MID(作者统计[[#This Row],[作者]],FIND("(",作者统计[[#This Row],[作者]],1)+1,FIND(")",作者统计[[#This Row],[作者]],1)-FIND("(",作者统计[[#This Row],[作者]],1)-1),"")</f>
        <v/>
      </c>
      <c r="L676" s="6"/>
      <c r="M676" s="5"/>
      <c r="U676" s="5"/>
      <c r="W676"/>
    </row>
    <row r="677" spans="2:23" ht="18" customHeight="1" x14ac:dyDescent="0.25">
      <c r="B677" s="256"/>
      <c r="C677" s="257"/>
      <c r="D677" s="258"/>
      <c r="E677" s="258"/>
      <c r="F677" s="259"/>
      <c r="G677" s="259"/>
      <c r="H677" s="260"/>
      <c r="I677" s="261" t="str">
        <f>IFERROR(MID(作者统计[[#This Row],[作者]],FIND("[",作者统计[[#This Row],[作者]],1)+1,FIND("]",作者统计[[#This Row],[作者]],1)-FIND("[",作者统计[[#This Row],[作者]],1)-1),"")</f>
        <v/>
      </c>
      <c r="J677" s="261" t="str">
        <f>IFERROR(MID(作者统计[[#This Row],[作者]],FIND("(",作者统计[[#This Row],[作者]],1)+1,FIND(")",作者统计[[#This Row],[作者]],1)-FIND("(",作者统计[[#This Row],[作者]],1)-1),"")</f>
        <v/>
      </c>
      <c r="L677" s="6"/>
      <c r="M677" s="5"/>
      <c r="U677" s="5"/>
      <c r="W677"/>
    </row>
    <row r="678" spans="2:23" ht="18" customHeight="1" x14ac:dyDescent="0.25">
      <c r="B678" s="309"/>
      <c r="C678" s="120"/>
      <c r="D678" s="121"/>
      <c r="E678" s="121"/>
      <c r="F678" s="92"/>
      <c r="G678" s="92"/>
      <c r="H678" s="122"/>
      <c r="I678" s="68" t="str">
        <f>IFERROR(MID(作者统计[[#This Row],[作者]],FIND("[",作者统计[[#This Row],[作者]],1)+1,FIND("]",作者统计[[#This Row],[作者]],1)-FIND("[",作者统计[[#This Row],[作者]],1)-1),"")</f>
        <v/>
      </c>
      <c r="J678" s="68" t="str">
        <f>IFERROR(MID(作者统计[[#This Row],[作者]],FIND("(",作者统计[[#This Row],[作者]],1)+1,FIND(")",作者统计[[#This Row],[作者]],1)-FIND("(",作者统计[[#This Row],[作者]],1)-1),"")</f>
        <v/>
      </c>
      <c r="L678" s="6"/>
      <c r="M678" s="5"/>
      <c r="U678" s="5"/>
      <c r="W678"/>
    </row>
    <row r="679" spans="2:23" ht="18" customHeight="1" x14ac:dyDescent="0.25">
      <c r="B679" s="85"/>
      <c r="C679" s="120"/>
      <c r="D679" s="121"/>
      <c r="E679" s="121"/>
      <c r="F679" s="92"/>
      <c r="G679" s="92"/>
      <c r="H679" s="122"/>
      <c r="I679" s="68" t="str">
        <f>IFERROR(MID(作者统计[[#This Row],[作者]],FIND("[",作者统计[[#This Row],[作者]],1)+1,FIND("]",作者统计[[#This Row],[作者]],1)-FIND("[",作者统计[[#This Row],[作者]],1)-1),"")</f>
        <v/>
      </c>
      <c r="J679" s="68" t="str">
        <f>IFERROR(MID(作者统计[[#This Row],[作者]],FIND("(",作者统计[[#This Row],[作者]],1)+1,FIND(")",作者统计[[#This Row],[作者]],1)-FIND("(",作者统计[[#This Row],[作者]],1)-1),"")</f>
        <v/>
      </c>
      <c r="L679" s="6"/>
      <c r="M679" s="5"/>
      <c r="U679" s="5"/>
      <c r="W679"/>
    </row>
    <row r="680" spans="2:23" ht="18" customHeight="1" x14ac:dyDescent="0.25">
      <c r="B680" s="85"/>
      <c r="C680" s="120"/>
      <c r="D680" s="121"/>
      <c r="E680" s="121"/>
      <c r="F680" s="92"/>
      <c r="G680" s="92"/>
      <c r="H680" s="122"/>
      <c r="I680" s="68" t="str">
        <f>IFERROR(MID(作者统计[[#This Row],[作者]],FIND("[",作者统计[[#This Row],[作者]],1)+1,FIND("]",作者统计[[#This Row],[作者]],1)-FIND("[",作者统计[[#This Row],[作者]],1)-1),"")</f>
        <v/>
      </c>
      <c r="J680" s="68" t="str">
        <f>IFERROR(MID(作者统计[[#This Row],[作者]],FIND("(",作者统计[[#This Row],[作者]],1)+1,FIND(")",作者统计[[#This Row],[作者]],1)-FIND("(",作者统计[[#This Row],[作者]],1)-1),"")</f>
        <v/>
      </c>
      <c r="L680" s="6"/>
      <c r="M680" s="5"/>
      <c r="U680" s="5"/>
      <c r="W680"/>
    </row>
    <row r="681" spans="2:23" ht="18" customHeight="1" x14ac:dyDescent="0.25">
      <c r="B681" s="309"/>
      <c r="C681" s="120"/>
      <c r="D681" s="121"/>
      <c r="E681" s="121"/>
      <c r="F681" s="92"/>
      <c r="G681" s="92"/>
      <c r="H681" s="122"/>
      <c r="I681" s="68" t="str">
        <f>IFERROR(MID(作者统计[[#This Row],[作者]],FIND("[",作者统计[[#This Row],[作者]],1)+1,FIND("]",作者统计[[#This Row],[作者]],1)-FIND("[",作者统计[[#This Row],[作者]],1)-1),"")</f>
        <v/>
      </c>
      <c r="J681" s="68" t="str">
        <f>IFERROR(MID(作者统计[[#This Row],[作者]],FIND("(",作者统计[[#This Row],[作者]],1)+1,FIND(")",作者统计[[#This Row],[作者]],1)-FIND("(",作者统计[[#This Row],[作者]],1)-1),"")</f>
        <v/>
      </c>
      <c r="L681" s="6"/>
      <c r="M681" s="5"/>
      <c r="U681" s="5"/>
      <c r="W681"/>
    </row>
    <row r="682" spans="2:23" ht="18" customHeight="1" x14ac:dyDescent="0.25">
      <c r="B682" s="85"/>
      <c r="C682" s="120"/>
      <c r="D682" s="121"/>
      <c r="E682" s="121"/>
      <c r="F682" s="92"/>
      <c r="G682" s="92"/>
      <c r="H682" s="122"/>
      <c r="I682" s="68" t="str">
        <f>IFERROR(MID(作者统计[[#This Row],[作者]],FIND("[",作者统计[[#This Row],[作者]],1)+1,FIND("]",作者统计[[#This Row],[作者]],1)-FIND("[",作者统计[[#This Row],[作者]],1)-1),"")</f>
        <v/>
      </c>
      <c r="J682" s="68" t="str">
        <f>IFERROR(MID(作者统计[[#This Row],[作者]],FIND("(",作者统计[[#This Row],[作者]],1)+1,FIND(")",作者统计[[#This Row],[作者]],1)-FIND("(",作者统计[[#This Row],[作者]],1)-1),"")</f>
        <v/>
      </c>
      <c r="L682" s="6"/>
      <c r="M682" s="5"/>
      <c r="U682" s="5"/>
      <c r="W682"/>
    </row>
    <row r="683" spans="2:23" ht="18" customHeight="1" x14ac:dyDescent="0.25">
      <c r="B683" s="256"/>
      <c r="C683" s="257"/>
      <c r="D683" s="258"/>
      <c r="E683" s="258"/>
      <c r="F683" s="259"/>
      <c r="G683" s="259"/>
      <c r="H683" s="260"/>
      <c r="I683" s="261" t="str">
        <f>IFERROR(MID(作者统计[[#This Row],[作者]],FIND("[",作者统计[[#This Row],[作者]],1)+1,FIND("]",作者统计[[#This Row],[作者]],1)-FIND("[",作者统计[[#This Row],[作者]],1)-1),"")</f>
        <v/>
      </c>
      <c r="J683" s="261" t="str">
        <f>IFERROR(MID(作者统计[[#This Row],[作者]],FIND("(",作者统计[[#This Row],[作者]],1)+1,FIND(")",作者统计[[#This Row],[作者]],1)-FIND("(",作者统计[[#This Row],[作者]],1)-1),"")</f>
        <v/>
      </c>
      <c r="L683" s="6"/>
      <c r="M683" s="5"/>
      <c r="U683" s="5"/>
      <c r="W683"/>
    </row>
    <row r="684" spans="2:23" ht="18" customHeight="1" x14ac:dyDescent="0.25">
      <c r="B684" s="309"/>
      <c r="C684" s="120"/>
      <c r="D684" s="121"/>
      <c r="E684" s="121"/>
      <c r="F684" s="92"/>
      <c r="G684" s="92"/>
      <c r="H684" s="122"/>
      <c r="I684" s="68" t="str">
        <f>IFERROR(MID(作者统计[[#This Row],[作者]],FIND("[",作者统计[[#This Row],[作者]],1)+1,FIND("]",作者统计[[#This Row],[作者]],1)-FIND("[",作者统计[[#This Row],[作者]],1)-1),"")</f>
        <v/>
      </c>
      <c r="J684" s="68" t="str">
        <f>IFERROR(MID(作者统计[[#This Row],[作者]],FIND("(",作者统计[[#This Row],[作者]],1)+1,FIND(")",作者统计[[#This Row],[作者]],1)-FIND("(",作者统计[[#This Row],[作者]],1)-1),"")</f>
        <v/>
      </c>
      <c r="L684" s="6"/>
      <c r="M684" s="5"/>
      <c r="U684" s="5"/>
      <c r="W684"/>
    </row>
    <row r="685" spans="2:23" ht="18" customHeight="1" x14ac:dyDescent="0.25">
      <c r="B685" s="309"/>
      <c r="C685" s="120"/>
      <c r="D685" s="121"/>
      <c r="E685" s="121"/>
      <c r="F685" s="92"/>
      <c r="G685" s="92"/>
      <c r="H685" s="122"/>
      <c r="I685" s="68" t="str">
        <f>IFERROR(MID(作者统计[[#This Row],[作者]],FIND("[",作者统计[[#This Row],[作者]],1)+1,FIND("]",作者统计[[#This Row],[作者]],1)-FIND("[",作者统计[[#This Row],[作者]],1)-1),"")</f>
        <v/>
      </c>
      <c r="J685" s="68" t="str">
        <f>IFERROR(MID(作者统计[[#This Row],[作者]],FIND("(",作者统计[[#This Row],[作者]],1)+1,FIND(")",作者统计[[#This Row],[作者]],1)-FIND("(",作者统计[[#This Row],[作者]],1)-1),"")</f>
        <v/>
      </c>
      <c r="L685" s="6"/>
      <c r="M685" s="5"/>
      <c r="U685" s="5"/>
      <c r="W685"/>
    </row>
    <row r="686" spans="2:23" ht="18" customHeight="1" x14ac:dyDescent="0.25">
      <c r="B686" s="256"/>
      <c r="C686" s="257"/>
      <c r="D686" s="258"/>
      <c r="E686" s="258"/>
      <c r="F686" s="259"/>
      <c r="G686" s="259"/>
      <c r="H686" s="260"/>
      <c r="I686" s="261" t="str">
        <f>IFERROR(MID(作者统计[[#This Row],[作者]],FIND("[",作者统计[[#This Row],[作者]],1)+1,FIND("]",作者统计[[#This Row],[作者]],1)-FIND("[",作者统计[[#This Row],[作者]],1)-1),"")</f>
        <v/>
      </c>
      <c r="J686" s="261" t="str">
        <f>IFERROR(MID(作者统计[[#This Row],[作者]],FIND("(",作者统计[[#This Row],[作者]],1)+1,FIND(")",作者统计[[#This Row],[作者]],1)-FIND("(",作者统计[[#This Row],[作者]],1)-1),"")</f>
        <v/>
      </c>
      <c r="L686" s="6"/>
      <c r="M686" s="5"/>
      <c r="U686" s="5"/>
      <c r="W686"/>
    </row>
    <row r="687" spans="2:23" ht="18" customHeight="1" x14ac:dyDescent="0.25">
      <c r="B687" s="256"/>
      <c r="C687" s="257"/>
      <c r="D687" s="258"/>
      <c r="E687" s="258"/>
      <c r="F687" s="259"/>
      <c r="G687" s="259"/>
      <c r="H687" s="260"/>
      <c r="I687" s="261" t="str">
        <f>IFERROR(MID(作者统计[[#This Row],[作者]],FIND("[",作者统计[[#This Row],[作者]],1)+1,FIND("]",作者统计[[#This Row],[作者]],1)-FIND("[",作者统计[[#This Row],[作者]],1)-1),"")</f>
        <v/>
      </c>
      <c r="J687" s="261" t="str">
        <f>IFERROR(MID(作者统计[[#This Row],[作者]],FIND("(",作者统计[[#This Row],[作者]],1)+1,FIND(")",作者统计[[#This Row],[作者]],1)-FIND("(",作者统计[[#This Row],[作者]],1)-1),"")</f>
        <v/>
      </c>
      <c r="L687" s="6"/>
      <c r="M687" s="5"/>
      <c r="U687" s="5"/>
      <c r="W687"/>
    </row>
    <row r="688" spans="2:23" ht="18" customHeight="1" x14ac:dyDescent="0.25">
      <c r="B688" s="256"/>
      <c r="C688" s="257"/>
      <c r="D688" s="258"/>
      <c r="E688" s="258"/>
      <c r="F688" s="259"/>
      <c r="G688" s="259"/>
      <c r="H688" s="260"/>
      <c r="I688" s="261" t="str">
        <f>IFERROR(MID(作者统计[[#This Row],[作者]],FIND("[",作者统计[[#This Row],[作者]],1)+1,FIND("]",作者统计[[#This Row],[作者]],1)-FIND("[",作者统计[[#This Row],[作者]],1)-1),"")</f>
        <v/>
      </c>
      <c r="J688" s="261" t="str">
        <f>IFERROR(MID(作者统计[[#This Row],[作者]],FIND("(",作者统计[[#This Row],[作者]],1)+1,FIND(")",作者统计[[#This Row],[作者]],1)-FIND("(",作者统计[[#This Row],[作者]],1)-1),"")</f>
        <v/>
      </c>
      <c r="L688" s="6"/>
      <c r="M688" s="5"/>
      <c r="U688" s="5"/>
      <c r="W688"/>
    </row>
    <row r="689" spans="2:23" ht="18" customHeight="1" x14ac:dyDescent="0.25">
      <c r="B689" s="309"/>
      <c r="C689" s="120"/>
      <c r="D689" s="121"/>
      <c r="E689" s="121"/>
      <c r="F689" s="92"/>
      <c r="G689" s="92"/>
      <c r="H689" s="122"/>
      <c r="I689" s="68" t="str">
        <f>IFERROR(MID(作者统计[[#This Row],[作者]],FIND("[",作者统计[[#This Row],[作者]],1)+1,FIND("]",作者统计[[#This Row],[作者]],1)-FIND("[",作者统计[[#This Row],[作者]],1)-1),"")</f>
        <v/>
      </c>
      <c r="J689" s="68" t="str">
        <f>IFERROR(MID(作者统计[[#This Row],[作者]],FIND("(",作者统计[[#This Row],[作者]],1)+1,FIND(")",作者统计[[#This Row],[作者]],1)-FIND("(",作者统计[[#This Row],[作者]],1)-1),"")</f>
        <v/>
      </c>
      <c r="L689" s="6"/>
      <c r="M689" s="5"/>
      <c r="U689" s="5"/>
      <c r="W689"/>
    </row>
    <row r="690" spans="2:23" ht="18" customHeight="1" x14ac:dyDescent="0.25">
      <c r="B690" s="85"/>
      <c r="C690" s="120"/>
      <c r="D690" s="121"/>
      <c r="E690" s="121"/>
      <c r="F690" s="92"/>
      <c r="G690" s="92"/>
      <c r="H690" s="122"/>
      <c r="I690" s="68" t="str">
        <f>IFERROR(MID(作者统计[[#This Row],[作者]],FIND("[",作者统计[[#This Row],[作者]],1)+1,FIND("]",作者统计[[#This Row],[作者]],1)-FIND("[",作者统计[[#This Row],[作者]],1)-1),"")</f>
        <v/>
      </c>
      <c r="J690" s="68" t="str">
        <f>IFERROR(MID(作者统计[[#This Row],[作者]],FIND("(",作者统计[[#This Row],[作者]],1)+1,FIND(")",作者统计[[#This Row],[作者]],1)-FIND("(",作者统计[[#This Row],[作者]],1)-1),"")</f>
        <v/>
      </c>
      <c r="L690" s="6"/>
      <c r="M690" s="5"/>
      <c r="U690" s="5"/>
      <c r="W690"/>
    </row>
    <row r="691" spans="2:23" ht="18" customHeight="1" x14ac:dyDescent="0.25">
      <c r="B691" s="256"/>
      <c r="C691" s="257"/>
      <c r="D691" s="258"/>
      <c r="E691" s="258"/>
      <c r="F691" s="259"/>
      <c r="G691" s="259"/>
      <c r="H691" s="260"/>
      <c r="I691" s="261" t="str">
        <f>IFERROR(MID(作者统计[[#This Row],[作者]],FIND("[",作者统计[[#This Row],[作者]],1)+1,FIND("]",作者统计[[#This Row],[作者]],1)-FIND("[",作者统计[[#This Row],[作者]],1)-1),"")</f>
        <v/>
      </c>
      <c r="J691" s="261" t="str">
        <f>IFERROR(MID(作者统计[[#This Row],[作者]],FIND("(",作者统计[[#This Row],[作者]],1)+1,FIND(")",作者统计[[#This Row],[作者]],1)-FIND("(",作者统计[[#This Row],[作者]],1)-1),"")</f>
        <v/>
      </c>
      <c r="L691" s="6"/>
      <c r="M691" s="5"/>
      <c r="U691" s="5"/>
      <c r="W691"/>
    </row>
    <row r="692" spans="2:23" ht="18" customHeight="1" x14ac:dyDescent="0.25">
      <c r="B692" s="85"/>
      <c r="C692" s="120"/>
      <c r="D692" s="121"/>
      <c r="E692" s="121"/>
      <c r="F692" s="92"/>
      <c r="G692" s="92"/>
      <c r="H692" s="122"/>
      <c r="I692" s="68" t="str">
        <f>IFERROR(MID(作者统计[[#This Row],[作者]],FIND("[",作者统计[[#This Row],[作者]],1)+1,FIND("]",作者统计[[#This Row],[作者]],1)-FIND("[",作者统计[[#This Row],[作者]],1)-1),"")</f>
        <v/>
      </c>
      <c r="J692" s="68" t="str">
        <f>IFERROR(MID(作者统计[[#This Row],[作者]],FIND("(",作者统计[[#This Row],[作者]],1)+1,FIND(")",作者统计[[#This Row],[作者]],1)-FIND("(",作者统计[[#This Row],[作者]],1)-1),"")</f>
        <v/>
      </c>
      <c r="L692" s="6"/>
      <c r="M692" s="5"/>
      <c r="U692" s="5"/>
      <c r="W692"/>
    </row>
    <row r="693" spans="2:23" ht="18" customHeight="1" x14ac:dyDescent="0.25">
      <c r="B693" s="85"/>
      <c r="C693" s="120"/>
      <c r="D693" s="121"/>
      <c r="E693" s="121"/>
      <c r="F693" s="92"/>
      <c r="G693" s="92"/>
      <c r="H693" s="122"/>
      <c r="I693" s="68" t="str">
        <f>IFERROR(MID(作者统计[[#This Row],[作者]],FIND("[",作者统计[[#This Row],[作者]],1)+1,FIND("]",作者统计[[#This Row],[作者]],1)-FIND("[",作者统计[[#This Row],[作者]],1)-1),"")</f>
        <v/>
      </c>
      <c r="J693" s="68" t="str">
        <f>IFERROR(MID(作者统计[[#This Row],[作者]],FIND("(",作者统计[[#This Row],[作者]],1)+1,FIND(")",作者统计[[#This Row],[作者]],1)-FIND("(",作者统计[[#This Row],[作者]],1)-1),"")</f>
        <v/>
      </c>
      <c r="L693" s="6"/>
      <c r="M693" s="5"/>
      <c r="U693" s="5"/>
      <c r="W693"/>
    </row>
    <row r="694" spans="2:23" ht="18" customHeight="1" x14ac:dyDescent="0.25">
      <c r="B694" s="256"/>
      <c r="C694" s="257"/>
      <c r="D694" s="258"/>
      <c r="E694" s="258"/>
      <c r="F694" s="259"/>
      <c r="G694" s="259"/>
      <c r="H694" s="260"/>
      <c r="I694" s="261" t="str">
        <f>IFERROR(MID(作者统计[[#This Row],[作者]],FIND("[",作者统计[[#This Row],[作者]],1)+1,FIND("]",作者统计[[#This Row],[作者]],1)-FIND("[",作者统计[[#This Row],[作者]],1)-1),"")</f>
        <v/>
      </c>
      <c r="J694" s="261" t="str">
        <f>IFERROR(MID(作者统计[[#This Row],[作者]],FIND("(",作者统计[[#This Row],[作者]],1)+1,FIND(")",作者统计[[#This Row],[作者]],1)-FIND("(",作者统计[[#This Row],[作者]],1)-1),"")</f>
        <v/>
      </c>
      <c r="L694" s="6"/>
      <c r="M694" s="5"/>
      <c r="U694" s="5"/>
      <c r="W694"/>
    </row>
    <row r="695" spans="2:23" ht="18" customHeight="1" x14ac:dyDescent="0.25">
      <c r="B695" s="256"/>
      <c r="C695" s="257"/>
      <c r="D695" s="258"/>
      <c r="E695" s="258"/>
      <c r="F695" s="259"/>
      <c r="G695" s="259"/>
      <c r="H695" s="260"/>
      <c r="I695" s="261" t="str">
        <f>IFERROR(MID(作者统计[[#This Row],[作者]],FIND("[",作者统计[[#This Row],[作者]],1)+1,FIND("]",作者统计[[#This Row],[作者]],1)-FIND("[",作者统计[[#This Row],[作者]],1)-1),"")</f>
        <v/>
      </c>
      <c r="J695" s="261" t="str">
        <f>IFERROR(MID(作者统计[[#This Row],[作者]],FIND("(",作者统计[[#This Row],[作者]],1)+1,FIND(")",作者统计[[#This Row],[作者]],1)-FIND("(",作者统计[[#This Row],[作者]],1)-1),"")</f>
        <v/>
      </c>
      <c r="L695" s="6"/>
      <c r="M695" s="5"/>
      <c r="U695" s="5"/>
      <c r="W695"/>
    </row>
    <row r="696" spans="2:23" ht="18" customHeight="1" x14ac:dyDescent="0.25">
      <c r="B696" s="309"/>
      <c r="C696" s="120"/>
      <c r="D696" s="121"/>
      <c r="E696" s="121"/>
      <c r="F696" s="92"/>
      <c r="G696" s="92"/>
      <c r="H696" s="122"/>
      <c r="I696" s="68" t="str">
        <f>IFERROR(MID(作者统计[[#This Row],[作者]],FIND("[",作者统计[[#This Row],[作者]],1)+1,FIND("]",作者统计[[#This Row],[作者]],1)-FIND("[",作者统计[[#This Row],[作者]],1)-1),"")</f>
        <v/>
      </c>
      <c r="J696" s="68" t="str">
        <f>IFERROR(MID(作者统计[[#This Row],[作者]],FIND("(",作者统计[[#This Row],[作者]],1)+1,FIND(")",作者统计[[#This Row],[作者]],1)-FIND("(",作者统计[[#This Row],[作者]],1)-1),"")</f>
        <v/>
      </c>
      <c r="L696" s="6"/>
      <c r="M696" s="5"/>
      <c r="U696" s="5"/>
      <c r="W696"/>
    </row>
    <row r="697" spans="2:23" ht="18" customHeight="1" x14ac:dyDescent="0.25">
      <c r="B697" s="309"/>
      <c r="C697" s="120"/>
      <c r="D697" s="121"/>
      <c r="E697" s="121"/>
      <c r="F697" s="92"/>
      <c r="G697" s="92"/>
      <c r="H697" s="122"/>
      <c r="I697" s="68" t="str">
        <f>IFERROR(MID(作者统计[[#This Row],[作者]],FIND("[",作者统计[[#This Row],[作者]],1)+1,FIND("]",作者统计[[#This Row],[作者]],1)-FIND("[",作者统计[[#This Row],[作者]],1)-1),"")</f>
        <v/>
      </c>
      <c r="J697" s="68" t="str">
        <f>IFERROR(MID(作者统计[[#This Row],[作者]],FIND("(",作者统计[[#This Row],[作者]],1)+1,FIND(")",作者统计[[#This Row],[作者]],1)-FIND("(",作者统计[[#This Row],[作者]],1)-1),"")</f>
        <v/>
      </c>
      <c r="L697" s="6"/>
      <c r="M697" s="5"/>
      <c r="U697" s="5"/>
      <c r="W697"/>
    </row>
    <row r="698" spans="2:23" ht="18" customHeight="1" x14ac:dyDescent="0.25">
      <c r="B698" s="256"/>
      <c r="C698" s="257"/>
      <c r="D698" s="258"/>
      <c r="E698" s="258"/>
      <c r="F698" s="259"/>
      <c r="G698" s="259"/>
      <c r="H698" s="260"/>
      <c r="I698" s="261" t="str">
        <f>IFERROR(MID(作者统计[[#This Row],[作者]],FIND("[",作者统计[[#This Row],[作者]],1)+1,FIND("]",作者统计[[#This Row],[作者]],1)-FIND("[",作者统计[[#This Row],[作者]],1)-1),"")</f>
        <v/>
      </c>
      <c r="J698" s="261" t="str">
        <f>IFERROR(MID(作者统计[[#This Row],[作者]],FIND("(",作者统计[[#This Row],[作者]],1)+1,FIND(")",作者统计[[#This Row],[作者]],1)-FIND("(",作者统计[[#This Row],[作者]],1)-1),"")</f>
        <v/>
      </c>
      <c r="L698" s="6"/>
      <c r="M698" s="5"/>
      <c r="U698" s="5"/>
      <c r="W698"/>
    </row>
    <row r="699" spans="2:23" ht="18" customHeight="1" x14ac:dyDescent="0.25">
      <c r="B699" s="309"/>
      <c r="C699" s="120"/>
      <c r="D699" s="121"/>
      <c r="E699" s="121"/>
      <c r="F699" s="92"/>
      <c r="G699" s="92"/>
      <c r="H699" s="122"/>
      <c r="I699" s="68" t="str">
        <f>IFERROR(MID(作者统计[[#This Row],[作者]],FIND("[",作者统计[[#This Row],[作者]],1)+1,FIND("]",作者统计[[#This Row],[作者]],1)-FIND("[",作者统计[[#This Row],[作者]],1)-1),"")</f>
        <v/>
      </c>
      <c r="J699" s="68" t="str">
        <f>IFERROR(MID(作者统计[[#This Row],[作者]],FIND("(",作者统计[[#This Row],[作者]],1)+1,FIND(")",作者统计[[#This Row],[作者]],1)-FIND("(",作者统计[[#This Row],[作者]],1)-1),"")</f>
        <v/>
      </c>
      <c r="L699" s="6"/>
      <c r="M699" s="5"/>
      <c r="U699" s="5"/>
      <c r="W699"/>
    </row>
    <row r="700" spans="2:23" ht="18" customHeight="1" x14ac:dyDescent="0.25">
      <c r="B700" s="256"/>
      <c r="C700" s="257"/>
      <c r="D700" s="258"/>
      <c r="E700" s="258"/>
      <c r="F700" s="259"/>
      <c r="G700" s="259"/>
      <c r="H700" s="260"/>
      <c r="I700" s="261" t="str">
        <f>IFERROR(MID(作者统计[[#This Row],[作者]],FIND("[",作者统计[[#This Row],[作者]],1)+1,FIND("]",作者统计[[#This Row],[作者]],1)-FIND("[",作者统计[[#This Row],[作者]],1)-1),"")</f>
        <v/>
      </c>
      <c r="J700" s="261" t="str">
        <f>IFERROR(MID(作者统计[[#This Row],[作者]],FIND("(",作者统计[[#This Row],[作者]],1)+1,FIND(")",作者统计[[#This Row],[作者]],1)-FIND("(",作者统计[[#This Row],[作者]],1)-1),"")</f>
        <v/>
      </c>
      <c r="L700" s="6"/>
      <c r="M700" s="5"/>
      <c r="U700" s="5"/>
      <c r="W700"/>
    </row>
    <row r="701" spans="2:23" ht="18" customHeight="1" x14ac:dyDescent="0.25">
      <c r="B701" s="85"/>
      <c r="C701" s="120"/>
      <c r="D701" s="121"/>
      <c r="E701" s="121"/>
      <c r="F701" s="92"/>
      <c r="G701" s="92"/>
      <c r="H701" s="122"/>
      <c r="I701" s="68" t="str">
        <f>IFERROR(MID(作者统计[[#This Row],[作者]],FIND("[",作者统计[[#This Row],[作者]],1)+1,FIND("]",作者统计[[#This Row],[作者]],1)-FIND("[",作者统计[[#This Row],[作者]],1)-1),"")</f>
        <v/>
      </c>
      <c r="J701" s="68" t="str">
        <f>IFERROR(MID(作者统计[[#This Row],[作者]],FIND("(",作者统计[[#This Row],[作者]],1)+1,FIND(")",作者统计[[#This Row],[作者]],1)-FIND("(",作者统计[[#This Row],[作者]],1)-1),"")</f>
        <v/>
      </c>
      <c r="L701" s="6"/>
      <c r="M701" s="5"/>
      <c r="U701" s="5"/>
      <c r="W701"/>
    </row>
    <row r="702" spans="2:23" ht="18" customHeight="1" x14ac:dyDescent="0.25">
      <c r="B702" s="256"/>
      <c r="C702" s="257"/>
      <c r="D702" s="258"/>
      <c r="E702" s="258"/>
      <c r="F702" s="259"/>
      <c r="G702" s="259"/>
      <c r="H702" s="260"/>
      <c r="I702" s="261" t="str">
        <f>IFERROR(MID(作者统计[[#This Row],[作者]],FIND("[",作者统计[[#This Row],[作者]],1)+1,FIND("]",作者统计[[#This Row],[作者]],1)-FIND("[",作者统计[[#This Row],[作者]],1)-1),"")</f>
        <v/>
      </c>
      <c r="J702" s="261" t="str">
        <f>IFERROR(MID(作者统计[[#This Row],[作者]],FIND("(",作者统计[[#This Row],[作者]],1)+1,FIND(")",作者统计[[#This Row],[作者]],1)-FIND("(",作者统计[[#This Row],[作者]],1)-1),"")</f>
        <v/>
      </c>
      <c r="L702" s="6"/>
      <c r="M702" s="5"/>
      <c r="U702" s="5"/>
      <c r="W702"/>
    </row>
    <row r="703" spans="2:23" ht="18" customHeight="1" x14ac:dyDescent="0.25">
      <c r="B703" s="256"/>
      <c r="C703" s="257"/>
      <c r="D703" s="258"/>
      <c r="E703" s="258"/>
      <c r="F703" s="259"/>
      <c r="G703" s="259"/>
      <c r="H703" s="260"/>
      <c r="I703" s="261" t="str">
        <f>IFERROR(MID(作者统计[[#This Row],[作者]],FIND("[",作者统计[[#This Row],[作者]],1)+1,FIND("]",作者统计[[#This Row],[作者]],1)-FIND("[",作者统计[[#This Row],[作者]],1)-1),"")</f>
        <v/>
      </c>
      <c r="J703" s="261" t="str">
        <f>IFERROR(MID(作者统计[[#This Row],[作者]],FIND("(",作者统计[[#This Row],[作者]],1)+1,FIND(")",作者统计[[#This Row],[作者]],1)-FIND("(",作者统计[[#This Row],[作者]],1)-1),"")</f>
        <v/>
      </c>
      <c r="L703" s="6"/>
      <c r="M703" s="5"/>
      <c r="U703" s="5"/>
      <c r="W703"/>
    </row>
    <row r="704" spans="2:23" ht="18" customHeight="1" x14ac:dyDescent="0.25">
      <c r="B704" s="256"/>
      <c r="C704" s="257"/>
      <c r="D704" s="258"/>
      <c r="E704" s="258"/>
      <c r="F704" s="259"/>
      <c r="G704" s="259"/>
      <c r="H704" s="260"/>
      <c r="I704" s="261" t="str">
        <f>IFERROR(MID(作者统计[[#This Row],[作者]],FIND("[",作者统计[[#This Row],[作者]],1)+1,FIND("]",作者统计[[#This Row],[作者]],1)-FIND("[",作者统计[[#This Row],[作者]],1)-1),"")</f>
        <v/>
      </c>
      <c r="J704" s="261" t="str">
        <f>IFERROR(MID(作者统计[[#This Row],[作者]],FIND("(",作者统计[[#This Row],[作者]],1)+1,FIND(")",作者统计[[#This Row],[作者]],1)-FIND("(",作者统计[[#This Row],[作者]],1)-1),"")</f>
        <v/>
      </c>
      <c r="U704" s="5"/>
      <c r="W704"/>
    </row>
    <row r="705" spans="2:23" ht="18" customHeight="1" x14ac:dyDescent="0.25">
      <c r="B705" s="85"/>
      <c r="C705" s="120"/>
      <c r="D705" s="121"/>
      <c r="E705" s="121"/>
      <c r="F705" s="92"/>
      <c r="G705" s="92"/>
      <c r="H705" s="122"/>
      <c r="I705" s="68" t="str">
        <f>IFERROR(MID(作者统计[[#This Row],[作者]],FIND("[",作者统计[[#This Row],[作者]],1)+1,FIND("]",作者统计[[#This Row],[作者]],1)-FIND("[",作者统计[[#This Row],[作者]],1)-1),"")</f>
        <v/>
      </c>
      <c r="J705" s="68" t="str">
        <f>IFERROR(MID(作者统计[[#This Row],[作者]],FIND("(",作者统计[[#This Row],[作者]],1)+1,FIND(")",作者统计[[#This Row],[作者]],1)-FIND("(",作者统计[[#This Row],[作者]],1)-1),"")</f>
        <v/>
      </c>
      <c r="U705" s="5"/>
      <c r="W705"/>
    </row>
    <row r="706" spans="2:23" ht="18" customHeight="1" x14ac:dyDescent="0.25">
      <c r="B706" s="85"/>
      <c r="C706" s="120"/>
      <c r="D706" s="121"/>
      <c r="E706" s="121"/>
      <c r="F706" s="92"/>
      <c r="G706" s="92"/>
      <c r="H706" s="122"/>
      <c r="I706" s="68" t="str">
        <f>IFERROR(MID(作者统计[[#This Row],[作者]],FIND("[",作者统计[[#This Row],[作者]],1)+1,FIND("]",作者统计[[#This Row],[作者]],1)-FIND("[",作者统计[[#This Row],[作者]],1)-1),"")</f>
        <v/>
      </c>
      <c r="J706" s="68" t="str">
        <f>IFERROR(MID(作者统计[[#This Row],[作者]],FIND("(",作者统计[[#This Row],[作者]],1)+1,FIND(")",作者统计[[#This Row],[作者]],1)-FIND("(",作者统计[[#This Row],[作者]],1)-1),"")</f>
        <v/>
      </c>
      <c r="U706" s="5"/>
      <c r="W706"/>
    </row>
    <row r="707" spans="2:23" ht="18" customHeight="1" x14ac:dyDescent="0.25">
      <c r="B707" s="309"/>
      <c r="C707" s="120"/>
      <c r="D707" s="121"/>
      <c r="E707" s="121"/>
      <c r="F707" s="92"/>
      <c r="G707" s="92"/>
      <c r="H707" s="122"/>
      <c r="I707" s="68" t="str">
        <f>IFERROR(MID(作者统计[[#This Row],[作者]],FIND("[",作者统计[[#This Row],[作者]],1)+1,FIND("]",作者统计[[#This Row],[作者]],1)-FIND("[",作者统计[[#This Row],[作者]],1)-1),"")</f>
        <v/>
      </c>
      <c r="J707" s="68" t="str">
        <f>IFERROR(MID(作者统计[[#This Row],[作者]],FIND("(",作者统计[[#This Row],[作者]],1)+1,FIND(")",作者统计[[#This Row],[作者]],1)-FIND("(",作者统计[[#This Row],[作者]],1)-1),"")</f>
        <v/>
      </c>
      <c r="U707" s="5"/>
      <c r="W707"/>
    </row>
    <row r="708" spans="2:23" ht="18" customHeight="1" x14ac:dyDescent="0.25">
      <c r="B708" s="309"/>
      <c r="C708" s="120"/>
      <c r="D708" s="121"/>
      <c r="E708" s="121"/>
      <c r="F708" s="92"/>
      <c r="G708" s="92"/>
      <c r="H708" s="122"/>
      <c r="I708" s="68" t="str">
        <f>IFERROR(MID(作者统计[[#This Row],[作者]],FIND("[",作者统计[[#This Row],[作者]],1)+1,FIND("]",作者统计[[#This Row],[作者]],1)-FIND("[",作者统计[[#This Row],[作者]],1)-1),"")</f>
        <v/>
      </c>
      <c r="J708" s="68" t="str">
        <f>IFERROR(MID(作者统计[[#This Row],[作者]],FIND("(",作者统计[[#This Row],[作者]],1)+1,FIND(")",作者统计[[#This Row],[作者]],1)-FIND("(",作者统计[[#This Row],[作者]],1)-1),"")</f>
        <v/>
      </c>
      <c r="U708" s="5"/>
      <c r="W708"/>
    </row>
    <row r="709" spans="2:23" ht="18" customHeight="1" x14ac:dyDescent="0.25">
      <c r="B709" s="256"/>
      <c r="C709" s="257"/>
      <c r="D709" s="258"/>
      <c r="E709" s="258"/>
      <c r="F709" s="259"/>
      <c r="G709" s="259"/>
      <c r="H709" s="260"/>
      <c r="I709" s="261" t="str">
        <f>IFERROR(MID(作者统计[[#This Row],[作者]],FIND("[",作者统计[[#This Row],[作者]],1)+1,FIND("]",作者统计[[#This Row],[作者]],1)-FIND("[",作者统计[[#This Row],[作者]],1)-1),"")</f>
        <v/>
      </c>
      <c r="J709" s="261" t="str">
        <f>IFERROR(MID(作者统计[[#This Row],[作者]],FIND("(",作者统计[[#This Row],[作者]],1)+1,FIND(")",作者统计[[#This Row],[作者]],1)-FIND("(",作者统计[[#This Row],[作者]],1)-1),"")</f>
        <v/>
      </c>
      <c r="U709" s="5"/>
      <c r="W709"/>
    </row>
    <row r="710" spans="2:23" ht="18" customHeight="1" x14ac:dyDescent="0.25">
      <c r="B710" s="256"/>
      <c r="C710" s="257"/>
      <c r="D710" s="258"/>
      <c r="E710" s="258"/>
      <c r="F710" s="259"/>
      <c r="G710" s="259"/>
      <c r="H710" s="260"/>
      <c r="I710" s="261" t="str">
        <f>IFERROR(MID(作者统计[[#This Row],[作者]],FIND("[",作者统计[[#This Row],[作者]],1)+1,FIND("]",作者统计[[#This Row],[作者]],1)-FIND("[",作者统计[[#This Row],[作者]],1)-1),"")</f>
        <v/>
      </c>
      <c r="J710" s="261" t="str">
        <f>IFERROR(MID(作者统计[[#This Row],[作者]],FIND("(",作者统计[[#This Row],[作者]],1)+1,FIND(")",作者统计[[#This Row],[作者]],1)-FIND("(",作者统计[[#This Row],[作者]],1)-1),"")</f>
        <v/>
      </c>
      <c r="W710"/>
    </row>
    <row r="711" spans="2:23" ht="18" customHeight="1" x14ac:dyDescent="0.25">
      <c r="B711" s="256"/>
      <c r="C711" s="257"/>
      <c r="D711" s="258"/>
      <c r="E711" s="258"/>
      <c r="F711" s="259"/>
      <c r="G711" s="259"/>
      <c r="H711" s="260"/>
      <c r="I711" s="261" t="str">
        <f>IFERROR(MID(作者统计[[#This Row],[作者]],FIND("[",作者统计[[#This Row],[作者]],1)+1,FIND("]",作者统计[[#This Row],[作者]],1)-FIND("[",作者统计[[#This Row],[作者]],1)-1),"")</f>
        <v/>
      </c>
      <c r="J711" s="261" t="str">
        <f>IFERROR(MID(作者统计[[#This Row],[作者]],FIND("(",作者统计[[#This Row],[作者]],1)+1,FIND(")",作者统计[[#This Row],[作者]],1)-FIND("(",作者统计[[#This Row],[作者]],1)-1),"")</f>
        <v/>
      </c>
      <c r="W711"/>
    </row>
    <row r="712" spans="2:23" ht="18" customHeight="1" x14ac:dyDescent="0.25">
      <c r="B712" s="256"/>
      <c r="C712" s="257"/>
      <c r="D712" s="258"/>
      <c r="E712" s="258"/>
      <c r="F712" s="259"/>
      <c r="G712" s="259"/>
      <c r="H712" s="260"/>
      <c r="I712" s="261" t="str">
        <f>IFERROR(MID(作者统计[[#This Row],[作者]],FIND("[",作者统计[[#This Row],[作者]],1)+1,FIND("]",作者统计[[#This Row],[作者]],1)-FIND("[",作者统计[[#This Row],[作者]],1)-1),"")</f>
        <v/>
      </c>
      <c r="J712" s="261" t="str">
        <f>IFERROR(MID(作者统计[[#This Row],[作者]],FIND("(",作者统计[[#This Row],[作者]],1)+1,FIND(")",作者统计[[#This Row],[作者]],1)-FIND("(",作者统计[[#This Row],[作者]],1)-1),"")</f>
        <v/>
      </c>
      <c r="W712"/>
    </row>
    <row r="713" spans="2:23" ht="18" customHeight="1" x14ac:dyDescent="0.25">
      <c r="B713" s="256"/>
      <c r="C713" s="257"/>
      <c r="D713" s="258"/>
      <c r="E713" s="258"/>
      <c r="F713" s="259"/>
      <c r="G713" s="259"/>
      <c r="H713" s="260"/>
      <c r="I713" s="261" t="str">
        <f>IFERROR(MID(作者统计[[#This Row],[作者]],FIND("[",作者统计[[#This Row],[作者]],1)+1,FIND("]",作者统计[[#This Row],[作者]],1)-FIND("[",作者统计[[#This Row],[作者]],1)-1),"")</f>
        <v/>
      </c>
      <c r="J713" s="261" t="str">
        <f>IFERROR(MID(作者统计[[#This Row],[作者]],FIND("(",作者统计[[#This Row],[作者]],1)+1,FIND(")",作者统计[[#This Row],[作者]],1)-FIND("(",作者统计[[#This Row],[作者]],1)-1),"")</f>
        <v/>
      </c>
      <c r="W713"/>
    </row>
    <row r="714" spans="2:23" ht="18" customHeight="1" x14ac:dyDescent="0.25">
      <c r="B714" s="256"/>
      <c r="C714" s="257"/>
      <c r="D714" s="258"/>
      <c r="E714" s="258"/>
      <c r="F714" s="259"/>
      <c r="G714" s="259"/>
      <c r="H714" s="260"/>
      <c r="I714" s="261" t="str">
        <f>IFERROR(MID(作者统计[[#This Row],[作者]],FIND("[",作者统计[[#This Row],[作者]],1)+1,FIND("]",作者统计[[#This Row],[作者]],1)-FIND("[",作者统计[[#This Row],[作者]],1)-1),"")</f>
        <v/>
      </c>
      <c r="J714" s="261" t="str">
        <f>IFERROR(MID(作者统计[[#This Row],[作者]],FIND("(",作者统计[[#This Row],[作者]],1)+1,FIND(")",作者统计[[#This Row],[作者]],1)-FIND("(",作者统计[[#This Row],[作者]],1)-1),"")</f>
        <v/>
      </c>
      <c r="W714"/>
    </row>
    <row r="715" spans="2:23" ht="18" customHeight="1" x14ac:dyDescent="0.25">
      <c r="B715" s="309"/>
      <c r="C715" s="120"/>
      <c r="D715" s="121"/>
      <c r="E715" s="121"/>
      <c r="F715" s="92"/>
      <c r="G715" s="92"/>
      <c r="H715" s="122"/>
      <c r="I715" s="68" t="str">
        <f>IFERROR(MID(作者统计[[#This Row],[作者]],FIND("[",作者统计[[#This Row],[作者]],1)+1,FIND("]",作者统计[[#This Row],[作者]],1)-FIND("[",作者统计[[#This Row],[作者]],1)-1),"")</f>
        <v/>
      </c>
      <c r="J715" s="68" t="str">
        <f>IFERROR(MID(作者统计[[#This Row],[作者]],FIND("(",作者统计[[#This Row],[作者]],1)+1,FIND(")",作者统计[[#This Row],[作者]],1)-FIND("(",作者统计[[#This Row],[作者]],1)-1),"")</f>
        <v/>
      </c>
      <c r="W715"/>
    </row>
    <row r="716" spans="2:23" ht="18" customHeight="1" x14ac:dyDescent="0.25">
      <c r="B716" s="85"/>
      <c r="C716" s="120"/>
      <c r="D716" s="121"/>
      <c r="E716" s="121"/>
      <c r="F716" s="92"/>
      <c r="G716" s="92"/>
      <c r="H716" s="122"/>
      <c r="I716" s="68" t="str">
        <f>IFERROR(MID(作者统计[[#This Row],[作者]],FIND("[",作者统计[[#This Row],[作者]],1)+1,FIND("]",作者统计[[#This Row],[作者]],1)-FIND("[",作者统计[[#This Row],[作者]],1)-1),"")</f>
        <v/>
      </c>
      <c r="J716" s="68" t="str">
        <f>IFERROR(MID(作者统计[[#This Row],[作者]],FIND("(",作者统计[[#This Row],[作者]],1)+1,FIND(")",作者统计[[#This Row],[作者]],1)-FIND("(",作者统计[[#This Row],[作者]],1)-1),"")</f>
        <v/>
      </c>
      <c r="W716"/>
    </row>
    <row r="717" spans="2:23" ht="18" customHeight="1" x14ac:dyDescent="0.25">
      <c r="B717" s="309"/>
      <c r="C717" s="120"/>
      <c r="D717" s="121"/>
      <c r="E717" s="121"/>
      <c r="F717" s="92"/>
      <c r="G717" s="92"/>
      <c r="H717" s="122"/>
      <c r="I717" s="68" t="str">
        <f>IFERROR(MID(作者统计[[#This Row],[作者]],FIND("[",作者统计[[#This Row],[作者]],1)+1,FIND("]",作者统计[[#This Row],[作者]],1)-FIND("[",作者统计[[#This Row],[作者]],1)-1),"")</f>
        <v/>
      </c>
      <c r="J717" s="68" t="str">
        <f>IFERROR(MID(作者统计[[#This Row],[作者]],FIND("(",作者统计[[#This Row],[作者]],1)+1,FIND(")",作者统计[[#This Row],[作者]],1)-FIND("(",作者统计[[#This Row],[作者]],1)-1),"")</f>
        <v/>
      </c>
    </row>
    <row r="718" spans="2:23" ht="18" customHeight="1" x14ac:dyDescent="0.25">
      <c r="B718" s="309"/>
      <c r="C718" s="120"/>
      <c r="D718" s="121"/>
      <c r="E718" s="121"/>
      <c r="F718" s="92"/>
      <c r="G718" s="92"/>
      <c r="H718" s="122"/>
      <c r="I718" s="68" t="str">
        <f>IFERROR(MID(作者统计[[#This Row],[作者]],FIND("[",作者统计[[#This Row],[作者]],1)+1,FIND("]",作者统计[[#This Row],[作者]],1)-FIND("[",作者统计[[#This Row],[作者]],1)-1),"")</f>
        <v/>
      </c>
      <c r="J718" s="68" t="str">
        <f>IFERROR(MID(作者统计[[#This Row],[作者]],FIND("(",作者统计[[#This Row],[作者]],1)+1,FIND(")",作者统计[[#This Row],[作者]],1)-FIND("(",作者统计[[#This Row],[作者]],1)-1),"")</f>
        <v/>
      </c>
    </row>
    <row r="719" spans="2:23" ht="18" customHeight="1" x14ac:dyDescent="0.25">
      <c r="B719" s="85"/>
      <c r="C719" s="120"/>
      <c r="D719" s="121"/>
      <c r="E719" s="121"/>
      <c r="F719" s="92"/>
      <c r="G719" s="92"/>
      <c r="H719" s="122"/>
      <c r="I719" s="68" t="str">
        <f>IFERROR(MID(作者统计[[#This Row],[作者]],FIND("[",作者统计[[#This Row],[作者]],1)+1,FIND("]",作者统计[[#This Row],[作者]],1)-FIND("[",作者统计[[#This Row],[作者]],1)-1),"")</f>
        <v/>
      </c>
      <c r="J719" s="68" t="str">
        <f>IFERROR(MID(作者统计[[#This Row],[作者]],FIND("(",作者统计[[#This Row],[作者]],1)+1,FIND(")",作者统计[[#This Row],[作者]],1)-FIND("(",作者统计[[#This Row],[作者]],1)-1),"")</f>
        <v/>
      </c>
    </row>
    <row r="720" spans="2:23" ht="18" customHeight="1" x14ac:dyDescent="0.25">
      <c r="B720" s="256"/>
      <c r="C720" s="257"/>
      <c r="D720" s="258"/>
      <c r="E720" s="258"/>
      <c r="F720" s="259"/>
      <c r="G720" s="259"/>
      <c r="H720" s="260"/>
      <c r="I720" s="261" t="str">
        <f>IFERROR(MID(作者统计[[#This Row],[作者]],FIND("[",作者统计[[#This Row],[作者]],1)+1,FIND("]",作者统计[[#This Row],[作者]],1)-FIND("[",作者统计[[#This Row],[作者]],1)-1),"")</f>
        <v/>
      </c>
      <c r="J720" s="261" t="str">
        <f>IFERROR(MID(作者统计[[#This Row],[作者]],FIND("(",作者统计[[#This Row],[作者]],1)+1,FIND(")",作者统计[[#This Row],[作者]],1)-FIND("(",作者统计[[#This Row],[作者]],1)-1),"")</f>
        <v/>
      </c>
    </row>
    <row r="721" spans="2:10" ht="18" customHeight="1" x14ac:dyDescent="0.25">
      <c r="B721" s="85"/>
      <c r="C721" s="120"/>
      <c r="D721" s="121"/>
      <c r="E721" s="121"/>
      <c r="F721" s="92"/>
      <c r="G721" s="92"/>
      <c r="H721" s="122"/>
      <c r="I721" s="68" t="str">
        <f>IFERROR(MID(作者统计[[#This Row],[作者]],FIND("[",作者统计[[#This Row],[作者]],1)+1,FIND("]",作者统计[[#This Row],[作者]],1)-FIND("[",作者统计[[#This Row],[作者]],1)-1),"")</f>
        <v/>
      </c>
      <c r="J721" s="68" t="str">
        <f>IFERROR(MID(作者统计[[#This Row],[作者]],FIND("(",作者统计[[#This Row],[作者]],1)+1,FIND(")",作者统计[[#This Row],[作者]],1)-FIND("(",作者统计[[#This Row],[作者]],1)-1),"")</f>
        <v/>
      </c>
    </row>
    <row r="722" spans="2:10" ht="18" customHeight="1" x14ac:dyDescent="0.25">
      <c r="B722" s="256"/>
      <c r="C722" s="257"/>
      <c r="D722" s="258"/>
      <c r="E722" s="258"/>
      <c r="F722" s="259"/>
      <c r="G722" s="259"/>
      <c r="H722" s="260"/>
      <c r="I722" s="261" t="str">
        <f>IFERROR(MID(作者统计[[#This Row],[作者]],FIND("[",作者统计[[#This Row],[作者]],1)+1,FIND("]",作者统计[[#This Row],[作者]],1)-FIND("[",作者统计[[#This Row],[作者]],1)-1),"")</f>
        <v/>
      </c>
      <c r="J722" s="261" t="str">
        <f>IFERROR(MID(作者统计[[#This Row],[作者]],FIND("(",作者统计[[#This Row],[作者]],1)+1,FIND(")",作者统计[[#This Row],[作者]],1)-FIND("(",作者统计[[#This Row],[作者]],1)-1),"")</f>
        <v/>
      </c>
    </row>
    <row r="723" spans="2:10" ht="18" customHeight="1" x14ac:dyDescent="0.25">
      <c r="B723" s="256"/>
      <c r="C723" s="257"/>
      <c r="D723" s="258"/>
      <c r="E723" s="258"/>
      <c r="F723" s="259"/>
      <c r="G723" s="259"/>
      <c r="H723" s="260"/>
      <c r="I723" s="261" t="str">
        <f>IFERROR(MID(作者统计[[#This Row],[作者]],FIND("[",作者统计[[#This Row],[作者]],1)+1,FIND("]",作者统计[[#This Row],[作者]],1)-FIND("[",作者统计[[#This Row],[作者]],1)-1),"")</f>
        <v/>
      </c>
      <c r="J723" s="261" t="str">
        <f>IFERROR(MID(作者统计[[#This Row],[作者]],FIND("(",作者统计[[#This Row],[作者]],1)+1,FIND(")",作者统计[[#This Row],[作者]],1)-FIND("(",作者统计[[#This Row],[作者]],1)-1),"")</f>
        <v/>
      </c>
    </row>
    <row r="724" spans="2:10" ht="18" customHeight="1" x14ac:dyDescent="0.25">
      <c r="B724" s="309"/>
      <c r="C724" s="120"/>
      <c r="D724" s="121"/>
      <c r="E724" s="121"/>
      <c r="F724" s="92"/>
      <c r="G724" s="92"/>
      <c r="H724" s="122"/>
      <c r="I724" s="68" t="str">
        <f>IFERROR(MID(作者统计[[#This Row],[作者]],FIND("[",作者统计[[#This Row],[作者]],1)+1,FIND("]",作者统计[[#This Row],[作者]],1)-FIND("[",作者统计[[#This Row],[作者]],1)-1),"")</f>
        <v/>
      </c>
      <c r="J724" s="68" t="str">
        <f>IFERROR(MID(作者统计[[#This Row],[作者]],FIND("(",作者统计[[#This Row],[作者]],1)+1,FIND(")",作者统计[[#This Row],[作者]],1)-FIND("(",作者统计[[#This Row],[作者]],1)-1),"")</f>
        <v/>
      </c>
    </row>
    <row r="725" spans="2:10" ht="18" customHeight="1" x14ac:dyDescent="0.25">
      <c r="B725" s="85"/>
      <c r="C725" s="120"/>
      <c r="D725" s="121"/>
      <c r="E725" s="121"/>
      <c r="F725" s="92"/>
      <c r="G725" s="92"/>
      <c r="H725" s="122"/>
      <c r="I725" s="68" t="str">
        <f>IFERROR(MID(作者统计[[#This Row],[作者]],FIND("[",作者统计[[#This Row],[作者]],1)+1,FIND("]",作者统计[[#This Row],[作者]],1)-FIND("[",作者统计[[#This Row],[作者]],1)-1),"")</f>
        <v/>
      </c>
      <c r="J725" s="68" t="str">
        <f>IFERROR(MID(作者统计[[#This Row],[作者]],FIND("(",作者统计[[#This Row],[作者]],1)+1,FIND(")",作者统计[[#This Row],[作者]],1)-FIND("(",作者统计[[#This Row],[作者]],1)-1),"")</f>
        <v/>
      </c>
    </row>
    <row r="726" spans="2:10" ht="18" customHeight="1" x14ac:dyDescent="0.25">
      <c r="B726" s="309"/>
      <c r="C726" s="120"/>
      <c r="D726" s="121"/>
      <c r="E726" s="121"/>
      <c r="F726" s="92"/>
      <c r="G726" s="92"/>
      <c r="H726" s="122"/>
      <c r="I726" s="68" t="str">
        <f>IFERROR(MID(作者统计[[#This Row],[作者]],FIND("[",作者统计[[#This Row],[作者]],1)+1,FIND("]",作者统计[[#This Row],[作者]],1)-FIND("[",作者统计[[#This Row],[作者]],1)-1),"")</f>
        <v/>
      </c>
      <c r="J726" s="68" t="str">
        <f>IFERROR(MID(作者统计[[#This Row],[作者]],FIND("(",作者统计[[#This Row],[作者]],1)+1,FIND(")",作者统计[[#This Row],[作者]],1)-FIND("(",作者统计[[#This Row],[作者]],1)-1),"")</f>
        <v/>
      </c>
    </row>
    <row r="727" spans="2:10" ht="18" customHeight="1" x14ac:dyDescent="0.25">
      <c r="B727" s="85"/>
      <c r="C727" s="120"/>
      <c r="D727" s="121"/>
      <c r="E727" s="121"/>
      <c r="F727" s="92"/>
      <c r="G727" s="92"/>
      <c r="H727" s="122"/>
      <c r="I727" s="68" t="str">
        <f>IFERROR(MID(作者统计[[#This Row],[作者]],FIND("[",作者统计[[#This Row],[作者]],1)+1,FIND("]",作者统计[[#This Row],[作者]],1)-FIND("[",作者统计[[#This Row],[作者]],1)-1),"")</f>
        <v/>
      </c>
      <c r="J727" s="68" t="str">
        <f>IFERROR(MID(作者统计[[#This Row],[作者]],FIND("(",作者统计[[#This Row],[作者]],1)+1,FIND(")",作者统计[[#This Row],[作者]],1)-FIND("(",作者统计[[#This Row],[作者]],1)-1),"")</f>
        <v/>
      </c>
    </row>
    <row r="728" spans="2:10" ht="18" customHeight="1" x14ac:dyDescent="0.25">
      <c r="B728" s="309"/>
      <c r="C728" s="120"/>
      <c r="D728" s="121"/>
      <c r="E728" s="121"/>
      <c r="F728" s="92"/>
      <c r="G728" s="92"/>
      <c r="H728" s="122"/>
      <c r="I728" s="68" t="str">
        <f>IFERROR(MID(作者统计[[#This Row],[作者]],FIND("[",作者统计[[#This Row],[作者]],1)+1,FIND("]",作者统计[[#This Row],[作者]],1)-FIND("[",作者统计[[#This Row],[作者]],1)-1),"")</f>
        <v/>
      </c>
      <c r="J728" s="68" t="str">
        <f>IFERROR(MID(作者统计[[#This Row],[作者]],FIND("(",作者统计[[#This Row],[作者]],1)+1,FIND(")",作者统计[[#This Row],[作者]],1)-FIND("(",作者统计[[#This Row],[作者]],1)-1),"")</f>
        <v/>
      </c>
    </row>
    <row r="729" spans="2:10" ht="18" customHeight="1" x14ac:dyDescent="0.25">
      <c r="B729" s="85"/>
      <c r="C729" s="120"/>
      <c r="D729" s="121"/>
      <c r="E729" s="121"/>
      <c r="F729" s="92"/>
      <c r="G729" s="92"/>
      <c r="H729" s="122"/>
      <c r="I729" s="68" t="str">
        <f>IFERROR(MID(作者统计[[#This Row],[作者]],FIND("[",作者统计[[#This Row],[作者]],1)+1,FIND("]",作者统计[[#This Row],[作者]],1)-FIND("[",作者统计[[#This Row],[作者]],1)-1),"")</f>
        <v/>
      </c>
      <c r="J729" s="68" t="str">
        <f>IFERROR(MID(作者统计[[#This Row],[作者]],FIND("(",作者统计[[#This Row],[作者]],1)+1,FIND(")",作者统计[[#This Row],[作者]],1)-FIND("(",作者统计[[#This Row],[作者]],1)-1),"")</f>
        <v/>
      </c>
    </row>
    <row r="730" spans="2:10" ht="18" customHeight="1" x14ac:dyDescent="0.25">
      <c r="B730" s="85"/>
      <c r="C730" s="120"/>
      <c r="D730" s="121"/>
      <c r="E730" s="121"/>
      <c r="F730" s="92"/>
      <c r="G730" s="92"/>
      <c r="H730" s="122"/>
      <c r="I730" s="68" t="str">
        <f>IFERROR(MID(作者统计[[#This Row],[作者]],FIND("[",作者统计[[#This Row],[作者]],1)+1,FIND("]",作者统计[[#This Row],[作者]],1)-FIND("[",作者统计[[#This Row],[作者]],1)-1),"")</f>
        <v/>
      </c>
      <c r="J730" s="68" t="str">
        <f>IFERROR(MID(作者统计[[#This Row],[作者]],FIND("(",作者统计[[#This Row],[作者]],1)+1,FIND(")",作者统计[[#This Row],[作者]],1)-FIND("(",作者统计[[#This Row],[作者]],1)-1),"")</f>
        <v/>
      </c>
    </row>
    <row r="731" spans="2:10" ht="18" customHeight="1" x14ac:dyDescent="0.25">
      <c r="B731" s="85"/>
      <c r="C731" s="120"/>
      <c r="D731" s="121"/>
      <c r="E731" s="121"/>
      <c r="F731" s="92"/>
      <c r="G731" s="92"/>
      <c r="H731" s="122"/>
      <c r="I731" s="68" t="str">
        <f>IFERROR(MID(作者统计[[#This Row],[作者]],FIND("[",作者统计[[#This Row],[作者]],1)+1,FIND("]",作者统计[[#This Row],[作者]],1)-FIND("[",作者统计[[#This Row],[作者]],1)-1),"")</f>
        <v/>
      </c>
      <c r="J731" s="68" t="str">
        <f>IFERROR(MID(作者统计[[#This Row],[作者]],FIND("(",作者统计[[#This Row],[作者]],1)+1,FIND(")",作者统计[[#This Row],[作者]],1)-FIND("(",作者统计[[#This Row],[作者]],1)-1),"")</f>
        <v/>
      </c>
    </row>
    <row r="732" spans="2:10" ht="18" customHeight="1" x14ac:dyDescent="0.25">
      <c r="B732" s="256"/>
      <c r="C732" s="257"/>
      <c r="D732" s="258"/>
      <c r="E732" s="258"/>
      <c r="F732" s="259"/>
      <c r="G732" s="259"/>
      <c r="H732" s="260"/>
      <c r="I732" s="261" t="str">
        <f>IFERROR(MID(作者统计[[#This Row],[作者]],FIND("[",作者统计[[#This Row],[作者]],1)+1,FIND("]",作者统计[[#This Row],[作者]],1)-FIND("[",作者统计[[#This Row],[作者]],1)-1),"")</f>
        <v/>
      </c>
      <c r="J732" s="261" t="str">
        <f>IFERROR(MID(作者统计[[#This Row],[作者]],FIND("(",作者统计[[#This Row],[作者]],1)+1,FIND(")",作者统计[[#This Row],[作者]],1)-FIND("(",作者统计[[#This Row],[作者]],1)-1),"")</f>
        <v/>
      </c>
    </row>
    <row r="733" spans="2:10" ht="18" customHeight="1" x14ac:dyDescent="0.25">
      <c r="B733" s="85"/>
      <c r="C733" s="120"/>
      <c r="D733" s="121"/>
      <c r="E733" s="121"/>
      <c r="F733" s="92"/>
      <c r="G733" s="92"/>
      <c r="H733" s="122"/>
      <c r="I733" s="68" t="str">
        <f>IFERROR(MID(作者统计[[#This Row],[作者]],FIND("[",作者统计[[#This Row],[作者]],1)+1,FIND("]",作者统计[[#This Row],[作者]],1)-FIND("[",作者统计[[#This Row],[作者]],1)-1),"")</f>
        <v/>
      </c>
      <c r="J733" s="68" t="str">
        <f>IFERROR(MID(作者统计[[#This Row],[作者]],FIND("(",作者统计[[#This Row],[作者]],1)+1,FIND(")",作者统计[[#This Row],[作者]],1)-FIND("(",作者统计[[#This Row],[作者]],1)-1),"")</f>
        <v/>
      </c>
    </row>
    <row r="734" spans="2:10" ht="18" customHeight="1" x14ac:dyDescent="0.25">
      <c r="B734" s="256"/>
      <c r="C734" s="257"/>
      <c r="D734" s="258"/>
      <c r="E734" s="258"/>
      <c r="F734" s="259"/>
      <c r="G734" s="259"/>
      <c r="H734" s="260"/>
      <c r="I734" s="261" t="str">
        <f>IFERROR(MID(作者统计[[#This Row],[作者]],FIND("[",作者统计[[#This Row],[作者]],1)+1,FIND("]",作者统计[[#This Row],[作者]],1)-FIND("[",作者统计[[#This Row],[作者]],1)-1),"")</f>
        <v/>
      </c>
      <c r="J7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735" spans="2:10" ht="18" customHeight="1" x14ac:dyDescent="0.25">
      <c r="B735" s="85"/>
      <c r="C735" s="120"/>
      <c r="D735" s="121"/>
      <c r="E735" s="121"/>
      <c r="F735" s="92"/>
      <c r="G735" s="92"/>
      <c r="H735" s="122"/>
      <c r="I735" s="68" t="str">
        <f>IFERROR(MID(作者统计[[#This Row],[作者]],FIND("[",作者统计[[#This Row],[作者]],1)+1,FIND("]",作者统计[[#This Row],[作者]],1)-FIND("[",作者统计[[#This Row],[作者]],1)-1),"")</f>
        <v/>
      </c>
      <c r="J735" s="68" t="str">
        <f>IFERROR(MID(作者统计[[#This Row],[作者]],FIND("(",作者统计[[#This Row],[作者]],1)+1,FIND(")",作者统计[[#This Row],[作者]],1)-FIND("(",作者统计[[#This Row],[作者]],1)-1),"")</f>
        <v/>
      </c>
    </row>
    <row r="736" spans="2:10" ht="18" customHeight="1" x14ac:dyDescent="0.25">
      <c r="B736" s="309"/>
      <c r="C736" s="120"/>
      <c r="D736" s="121"/>
      <c r="E736" s="121"/>
      <c r="F736" s="92"/>
      <c r="G736" s="92"/>
      <c r="H736" s="122"/>
      <c r="I736" s="68" t="str">
        <f>IFERROR(MID(作者统计[[#This Row],[作者]],FIND("[",作者统计[[#This Row],[作者]],1)+1,FIND("]",作者统计[[#This Row],[作者]],1)-FIND("[",作者统计[[#This Row],[作者]],1)-1),"")</f>
        <v/>
      </c>
      <c r="J736" s="68" t="str">
        <f>IFERROR(MID(作者统计[[#This Row],[作者]],FIND("(",作者统计[[#This Row],[作者]],1)+1,FIND(")",作者统计[[#This Row],[作者]],1)-FIND("(",作者统计[[#This Row],[作者]],1)-1),"")</f>
        <v/>
      </c>
    </row>
    <row r="737" spans="2:10" ht="18" customHeight="1" x14ac:dyDescent="0.25">
      <c r="B737" s="85"/>
      <c r="C737" s="120"/>
      <c r="D737" s="121"/>
      <c r="E737" s="121"/>
      <c r="F737" s="92"/>
      <c r="G737" s="92"/>
      <c r="H737" s="122"/>
      <c r="I737" s="68" t="str">
        <f>IFERROR(MID(作者统计[[#This Row],[作者]],FIND("[",作者统计[[#This Row],[作者]],1)+1,FIND("]",作者统计[[#This Row],[作者]],1)-FIND("[",作者统计[[#This Row],[作者]],1)-1),"")</f>
        <v/>
      </c>
      <c r="J737" s="68" t="str">
        <f>IFERROR(MID(作者统计[[#This Row],[作者]],FIND("(",作者统计[[#This Row],[作者]],1)+1,FIND(")",作者统计[[#This Row],[作者]],1)-FIND("(",作者统计[[#This Row],[作者]],1)-1),"")</f>
        <v/>
      </c>
    </row>
    <row r="738" spans="2:10" ht="18" customHeight="1" x14ac:dyDescent="0.25">
      <c r="B738" s="309"/>
      <c r="C738" s="120"/>
      <c r="D738" s="121"/>
      <c r="E738" s="121"/>
      <c r="F738" s="92"/>
      <c r="G738" s="92"/>
      <c r="H738" s="122"/>
      <c r="I738" s="68" t="str">
        <f>IFERROR(MID(作者统计[[#This Row],[作者]],FIND("[",作者统计[[#This Row],[作者]],1)+1,FIND("]",作者统计[[#This Row],[作者]],1)-FIND("[",作者统计[[#This Row],[作者]],1)-1),"")</f>
        <v/>
      </c>
      <c r="J738" s="68" t="str">
        <f>IFERROR(MID(作者统计[[#This Row],[作者]],FIND("(",作者统计[[#This Row],[作者]],1)+1,FIND(")",作者统计[[#This Row],[作者]],1)-FIND("(",作者统计[[#This Row],[作者]],1)-1),"")</f>
        <v/>
      </c>
    </row>
    <row r="739" spans="2:10" ht="18" customHeight="1" x14ac:dyDescent="0.25">
      <c r="B739" s="309"/>
      <c r="C739" s="120"/>
      <c r="D739" s="121"/>
      <c r="E739" s="121"/>
      <c r="F739" s="92"/>
      <c r="G739" s="92"/>
      <c r="H739" s="122"/>
      <c r="I739" s="68" t="str">
        <f>IFERROR(MID(作者统计[[#This Row],[作者]],FIND("[",作者统计[[#This Row],[作者]],1)+1,FIND("]",作者统计[[#This Row],[作者]],1)-FIND("[",作者统计[[#This Row],[作者]],1)-1),"")</f>
        <v/>
      </c>
      <c r="J739" s="68" t="str">
        <f>IFERROR(MID(作者统计[[#This Row],[作者]],FIND("(",作者统计[[#This Row],[作者]],1)+1,FIND(")",作者统计[[#This Row],[作者]],1)-FIND("(",作者统计[[#This Row],[作者]],1)-1),"")</f>
        <v/>
      </c>
    </row>
    <row r="740" spans="2:10" ht="18" customHeight="1" x14ac:dyDescent="0.25">
      <c r="B740" s="85"/>
      <c r="C740" s="120"/>
      <c r="D740" s="121"/>
      <c r="E740" s="121"/>
      <c r="F740" s="92"/>
      <c r="G740" s="92"/>
      <c r="H740" s="122"/>
      <c r="I740" s="68" t="str">
        <f>IFERROR(MID(作者统计[[#This Row],[作者]],FIND("[",作者统计[[#This Row],[作者]],1)+1,FIND("]",作者统计[[#This Row],[作者]],1)-FIND("[",作者统计[[#This Row],[作者]],1)-1),"")</f>
        <v/>
      </c>
      <c r="J740" s="68" t="str">
        <f>IFERROR(MID(作者统计[[#This Row],[作者]],FIND("(",作者统计[[#This Row],[作者]],1)+1,FIND(")",作者统计[[#This Row],[作者]],1)-FIND("(",作者统计[[#This Row],[作者]],1)-1),"")</f>
        <v/>
      </c>
    </row>
    <row r="741" spans="2:10" ht="18" customHeight="1" x14ac:dyDescent="0.25">
      <c r="B741" s="256"/>
      <c r="C741" s="257"/>
      <c r="D741" s="258"/>
      <c r="E741" s="258"/>
      <c r="F741" s="259"/>
      <c r="G741" s="259"/>
      <c r="H741" s="260"/>
      <c r="I741" s="261" t="str">
        <f>IFERROR(MID(作者统计[[#This Row],[作者]],FIND("[",作者统计[[#This Row],[作者]],1)+1,FIND("]",作者统计[[#This Row],[作者]],1)-FIND("[",作者统计[[#This Row],[作者]],1)-1),"")</f>
        <v/>
      </c>
      <c r="J741" s="261" t="str">
        <f>IFERROR(MID(作者统计[[#This Row],[作者]],FIND("(",作者统计[[#This Row],[作者]],1)+1,FIND(")",作者统计[[#This Row],[作者]],1)-FIND("(",作者统计[[#This Row],[作者]],1)-1),"")</f>
        <v/>
      </c>
    </row>
    <row r="742" spans="2:10" ht="18" customHeight="1" x14ac:dyDescent="0.25">
      <c r="B742" s="309"/>
      <c r="C742" s="120"/>
      <c r="D742" s="121"/>
      <c r="E742" s="121"/>
      <c r="F742" s="92"/>
      <c r="G742" s="92"/>
      <c r="H742" s="122"/>
      <c r="I742" s="68" t="str">
        <f>IFERROR(MID(作者统计[[#This Row],[作者]],FIND("[",作者统计[[#This Row],[作者]],1)+1,FIND("]",作者统计[[#This Row],[作者]],1)-FIND("[",作者统计[[#This Row],[作者]],1)-1),"")</f>
        <v/>
      </c>
      <c r="J742" s="68" t="str">
        <f>IFERROR(MID(作者统计[[#This Row],[作者]],FIND("(",作者统计[[#This Row],[作者]],1)+1,FIND(")",作者统计[[#This Row],[作者]],1)-FIND("(",作者统计[[#This Row],[作者]],1)-1),"")</f>
        <v/>
      </c>
    </row>
    <row r="743" spans="2:10" ht="18" customHeight="1" x14ac:dyDescent="0.25">
      <c r="B743" s="256"/>
      <c r="C743" s="257"/>
      <c r="D743" s="258"/>
      <c r="E743" s="258"/>
      <c r="F743" s="259"/>
      <c r="G743" s="259"/>
      <c r="H743" s="260"/>
      <c r="I743" s="261" t="str">
        <f>IFERROR(MID(作者统计[[#This Row],[作者]],FIND("[",作者统计[[#This Row],[作者]],1)+1,FIND("]",作者统计[[#This Row],[作者]],1)-FIND("[",作者统计[[#This Row],[作者]],1)-1),"")</f>
        <v/>
      </c>
      <c r="J743" s="261" t="str">
        <f>IFERROR(MID(作者统计[[#This Row],[作者]],FIND("(",作者统计[[#This Row],[作者]],1)+1,FIND(")",作者统计[[#This Row],[作者]],1)-FIND("(",作者统计[[#This Row],[作者]],1)-1),"")</f>
        <v/>
      </c>
    </row>
    <row r="744" spans="2:10" ht="18" customHeight="1" x14ac:dyDescent="0.25">
      <c r="B744" s="85"/>
      <c r="C744" s="120"/>
      <c r="D744" s="121"/>
      <c r="E744" s="121"/>
      <c r="F744" s="92"/>
      <c r="G744" s="92"/>
      <c r="H744" s="122"/>
      <c r="I744" s="68" t="str">
        <f>IFERROR(MID(作者统计[[#This Row],[作者]],FIND("[",作者统计[[#This Row],[作者]],1)+1,FIND("]",作者统计[[#This Row],[作者]],1)-FIND("[",作者统计[[#This Row],[作者]],1)-1),"")</f>
        <v/>
      </c>
      <c r="J744" s="68" t="str">
        <f>IFERROR(MID(作者统计[[#This Row],[作者]],FIND("(",作者统计[[#This Row],[作者]],1)+1,FIND(")",作者统计[[#This Row],[作者]],1)-FIND("(",作者统计[[#This Row],[作者]],1)-1),"")</f>
        <v/>
      </c>
    </row>
    <row r="745" spans="2:10" ht="18" customHeight="1" x14ac:dyDescent="0.25">
      <c r="B745" s="85"/>
      <c r="C745" s="120"/>
      <c r="D745" s="121"/>
      <c r="E745" s="121"/>
      <c r="F745" s="92"/>
      <c r="G745" s="92"/>
      <c r="H745" s="122"/>
      <c r="I745" s="68" t="str">
        <f>IFERROR(MID(作者统计[[#This Row],[作者]],FIND("[",作者统计[[#This Row],[作者]],1)+1,FIND("]",作者统计[[#This Row],[作者]],1)-FIND("[",作者统计[[#This Row],[作者]],1)-1),"")</f>
        <v/>
      </c>
      <c r="J745" s="68" t="str">
        <f>IFERROR(MID(作者统计[[#This Row],[作者]],FIND("(",作者统计[[#This Row],[作者]],1)+1,FIND(")",作者统计[[#This Row],[作者]],1)-FIND("(",作者统计[[#This Row],[作者]],1)-1),"")</f>
        <v/>
      </c>
    </row>
    <row r="746" spans="2:10" ht="18" customHeight="1" x14ac:dyDescent="0.25">
      <c r="B746" s="85"/>
      <c r="C746" s="120"/>
      <c r="D746" s="121"/>
      <c r="E746" s="121"/>
      <c r="F746" s="92"/>
      <c r="G746" s="92"/>
      <c r="H746" s="122"/>
      <c r="I746" s="68" t="str">
        <f>IFERROR(MID(作者统计[[#This Row],[作者]],FIND("[",作者统计[[#This Row],[作者]],1)+1,FIND("]",作者统计[[#This Row],[作者]],1)-FIND("[",作者统计[[#This Row],[作者]],1)-1),"")</f>
        <v/>
      </c>
      <c r="J746" s="68" t="str">
        <f>IFERROR(MID(作者统计[[#This Row],[作者]],FIND("(",作者统计[[#This Row],[作者]],1)+1,FIND(")",作者统计[[#This Row],[作者]],1)-FIND("(",作者统计[[#This Row],[作者]],1)-1),"")</f>
        <v/>
      </c>
    </row>
    <row r="747" spans="2:10" ht="18" customHeight="1" x14ac:dyDescent="0.25">
      <c r="B747" s="85"/>
      <c r="C747" s="120"/>
      <c r="D747" s="121"/>
      <c r="E747" s="121"/>
      <c r="F747" s="92"/>
      <c r="G747" s="92"/>
      <c r="H747" s="122"/>
      <c r="I747" s="68" t="str">
        <f>IFERROR(MID(作者统计[[#This Row],[作者]],FIND("[",作者统计[[#This Row],[作者]],1)+1,FIND("]",作者统计[[#This Row],[作者]],1)-FIND("[",作者统计[[#This Row],[作者]],1)-1),"")</f>
        <v/>
      </c>
      <c r="J747" s="68" t="str">
        <f>IFERROR(MID(作者统计[[#This Row],[作者]],FIND("(",作者统计[[#This Row],[作者]],1)+1,FIND(")",作者统计[[#This Row],[作者]],1)-FIND("(",作者统计[[#This Row],[作者]],1)-1),"")</f>
        <v/>
      </c>
    </row>
    <row r="748" spans="2:10" ht="18" customHeight="1" x14ac:dyDescent="0.25">
      <c r="B748" s="309"/>
      <c r="C748" s="120"/>
      <c r="D748" s="121"/>
      <c r="E748" s="121"/>
      <c r="F748" s="92"/>
      <c r="G748" s="92"/>
      <c r="H748" s="122"/>
      <c r="I748" s="68" t="str">
        <f>IFERROR(MID(作者统计[[#This Row],[作者]],FIND("[",作者统计[[#This Row],[作者]],1)+1,FIND("]",作者统计[[#This Row],[作者]],1)-FIND("[",作者统计[[#This Row],[作者]],1)-1),"")</f>
        <v/>
      </c>
      <c r="J748" s="68" t="str">
        <f>IFERROR(MID(作者统计[[#This Row],[作者]],FIND("(",作者统计[[#This Row],[作者]],1)+1,FIND(")",作者统计[[#This Row],[作者]],1)-FIND("(",作者统计[[#This Row],[作者]],1)-1),"")</f>
        <v/>
      </c>
    </row>
    <row r="749" spans="2:10" ht="18" customHeight="1" x14ac:dyDescent="0.25">
      <c r="B749" s="309"/>
      <c r="C749" s="120"/>
      <c r="D749" s="121"/>
      <c r="E749" s="121"/>
      <c r="F749" s="92"/>
      <c r="G749" s="92"/>
      <c r="H749" s="122"/>
      <c r="I749" s="68" t="str">
        <f>IFERROR(MID(作者统计[[#This Row],[作者]],FIND("[",作者统计[[#This Row],[作者]],1)+1,FIND("]",作者统计[[#This Row],[作者]],1)-FIND("[",作者统计[[#This Row],[作者]],1)-1),"")</f>
        <v/>
      </c>
      <c r="J749" s="68" t="str">
        <f>IFERROR(MID(作者统计[[#This Row],[作者]],FIND("(",作者统计[[#This Row],[作者]],1)+1,FIND(")",作者统计[[#This Row],[作者]],1)-FIND("(",作者统计[[#This Row],[作者]],1)-1),"")</f>
        <v/>
      </c>
    </row>
    <row r="750" spans="2:10" ht="18" customHeight="1" x14ac:dyDescent="0.25">
      <c r="B750" s="256"/>
      <c r="C750" s="257"/>
      <c r="D750" s="258"/>
      <c r="E750" s="258"/>
      <c r="F750" s="259"/>
      <c r="G750" s="259"/>
      <c r="H750" s="260"/>
      <c r="I750" s="261" t="str">
        <f>IFERROR(MID(作者统计[[#This Row],[作者]],FIND("[",作者统计[[#This Row],[作者]],1)+1,FIND("]",作者统计[[#This Row],[作者]],1)-FIND("[",作者统计[[#This Row],[作者]],1)-1),"")</f>
        <v/>
      </c>
      <c r="J750" s="261" t="str">
        <f>IFERROR(MID(作者统计[[#This Row],[作者]],FIND("(",作者统计[[#This Row],[作者]],1)+1,FIND(")",作者统计[[#This Row],[作者]],1)-FIND("(",作者统计[[#This Row],[作者]],1)-1),"")</f>
        <v/>
      </c>
    </row>
    <row r="751" spans="2:10" ht="18" customHeight="1" x14ac:dyDescent="0.25">
      <c r="B751" s="309"/>
      <c r="C751" s="120"/>
      <c r="D751" s="121"/>
      <c r="E751" s="121"/>
      <c r="F751" s="92"/>
      <c r="G751" s="92"/>
      <c r="H751" s="122"/>
      <c r="I751" s="68" t="str">
        <f>IFERROR(MID(作者统计[[#This Row],[作者]],FIND("[",作者统计[[#This Row],[作者]],1)+1,FIND("]",作者统计[[#This Row],[作者]],1)-FIND("[",作者统计[[#This Row],[作者]],1)-1),"")</f>
        <v/>
      </c>
      <c r="J751" s="68" t="str">
        <f>IFERROR(MID(作者统计[[#This Row],[作者]],FIND("(",作者统计[[#This Row],[作者]],1)+1,FIND(")",作者统计[[#This Row],[作者]],1)-FIND("(",作者统计[[#This Row],[作者]],1)-1),"")</f>
        <v/>
      </c>
    </row>
    <row r="752" spans="2:10" ht="18" customHeight="1" x14ac:dyDescent="0.25">
      <c r="B752" s="85"/>
      <c r="C752" s="120"/>
      <c r="D752" s="121"/>
      <c r="E752" s="121"/>
      <c r="F752" s="92"/>
      <c r="G752" s="92"/>
      <c r="H752" s="122"/>
      <c r="I752" s="68" t="str">
        <f>IFERROR(MID(作者统计[[#This Row],[作者]],FIND("[",作者统计[[#This Row],[作者]],1)+1,FIND("]",作者统计[[#This Row],[作者]],1)-FIND("[",作者统计[[#This Row],[作者]],1)-1),"")</f>
        <v/>
      </c>
      <c r="J752" s="68" t="str">
        <f>IFERROR(MID(作者统计[[#This Row],[作者]],FIND("(",作者统计[[#This Row],[作者]],1)+1,FIND(")",作者统计[[#This Row],[作者]],1)-FIND("(",作者统计[[#This Row],[作者]],1)-1),"")</f>
        <v/>
      </c>
    </row>
    <row r="753" spans="2:10" ht="18" customHeight="1" x14ac:dyDescent="0.25">
      <c r="B753" s="256"/>
      <c r="C753" s="257"/>
      <c r="D753" s="258"/>
      <c r="E753" s="258"/>
      <c r="F753" s="259"/>
      <c r="G753" s="259"/>
      <c r="H753" s="260"/>
      <c r="I753" s="261" t="str">
        <f>IFERROR(MID(作者统计[[#This Row],[作者]],FIND("[",作者统计[[#This Row],[作者]],1)+1,FIND("]",作者统计[[#This Row],[作者]],1)-FIND("[",作者统计[[#This Row],[作者]],1)-1),"")</f>
        <v/>
      </c>
      <c r="J753" s="261" t="str">
        <f>IFERROR(MID(作者统计[[#This Row],[作者]],FIND("(",作者统计[[#This Row],[作者]],1)+1,FIND(")",作者统计[[#This Row],[作者]],1)-FIND("(",作者统计[[#This Row],[作者]],1)-1),"")</f>
        <v/>
      </c>
    </row>
    <row r="754" spans="2:10" ht="18" customHeight="1" x14ac:dyDescent="0.25">
      <c r="B754" s="256"/>
      <c r="C754" s="257"/>
      <c r="D754" s="258"/>
      <c r="E754" s="258"/>
      <c r="F754" s="259"/>
      <c r="G754" s="259"/>
      <c r="H754" s="260"/>
      <c r="I754" s="261" t="str">
        <f>IFERROR(MID(作者统计[[#This Row],[作者]],FIND("[",作者统计[[#This Row],[作者]],1)+1,FIND("]",作者统计[[#This Row],[作者]],1)-FIND("[",作者统计[[#This Row],[作者]],1)-1),"")</f>
        <v/>
      </c>
      <c r="J754" s="261" t="str">
        <f>IFERROR(MID(作者统计[[#This Row],[作者]],FIND("(",作者统计[[#This Row],[作者]],1)+1,FIND(")",作者统计[[#This Row],[作者]],1)-FIND("(",作者统计[[#This Row],[作者]],1)-1),"")</f>
        <v/>
      </c>
    </row>
    <row r="755" spans="2:10" ht="18" customHeight="1" x14ac:dyDescent="0.25">
      <c r="B755" s="256"/>
      <c r="C755" s="257"/>
      <c r="D755" s="258"/>
      <c r="E755" s="258"/>
      <c r="F755" s="259"/>
      <c r="G755" s="259"/>
      <c r="H755" s="260"/>
      <c r="I755" s="261" t="str">
        <f>IFERROR(MID(作者统计[[#This Row],[作者]],FIND("[",作者统计[[#This Row],[作者]],1)+1,FIND("]",作者统计[[#This Row],[作者]],1)-FIND("[",作者统计[[#This Row],[作者]],1)-1),"")</f>
        <v/>
      </c>
      <c r="J755" s="261" t="str">
        <f>IFERROR(MID(作者统计[[#This Row],[作者]],FIND("(",作者统计[[#This Row],[作者]],1)+1,FIND(")",作者统计[[#This Row],[作者]],1)-FIND("(",作者统计[[#This Row],[作者]],1)-1),"")</f>
        <v/>
      </c>
    </row>
    <row r="756" spans="2:10" ht="18" customHeight="1" x14ac:dyDescent="0.25">
      <c r="B756" s="256"/>
      <c r="C756" s="257"/>
      <c r="D756" s="258"/>
      <c r="E756" s="258"/>
      <c r="F756" s="259"/>
      <c r="G756" s="259"/>
      <c r="H756" s="260"/>
      <c r="I756" s="261" t="str">
        <f>IFERROR(MID(作者统计[[#This Row],[作者]],FIND("[",作者统计[[#This Row],[作者]],1)+1,FIND("]",作者统计[[#This Row],[作者]],1)-FIND("[",作者统计[[#This Row],[作者]],1)-1),"")</f>
        <v/>
      </c>
      <c r="J756" s="261" t="str">
        <f>IFERROR(MID(作者统计[[#This Row],[作者]],FIND("(",作者统计[[#This Row],[作者]],1)+1,FIND(")",作者统计[[#This Row],[作者]],1)-FIND("(",作者统计[[#This Row],[作者]],1)-1),"")</f>
        <v/>
      </c>
    </row>
    <row r="757" spans="2:10" ht="18" customHeight="1" x14ac:dyDescent="0.25">
      <c r="B757" s="85"/>
      <c r="C757" s="120"/>
      <c r="D757" s="121"/>
      <c r="E757" s="121"/>
      <c r="F757" s="92"/>
      <c r="G757" s="92"/>
      <c r="H757" s="122"/>
      <c r="I757" s="68" t="str">
        <f>IFERROR(MID(作者统计[[#This Row],[作者]],FIND("[",作者统计[[#This Row],[作者]],1)+1,FIND("]",作者统计[[#This Row],[作者]],1)-FIND("[",作者统计[[#This Row],[作者]],1)-1),"")</f>
        <v/>
      </c>
      <c r="J757" s="68" t="str">
        <f>IFERROR(MID(作者统计[[#This Row],[作者]],FIND("(",作者统计[[#This Row],[作者]],1)+1,FIND(")",作者统计[[#This Row],[作者]],1)-FIND("(",作者统计[[#This Row],[作者]],1)-1),"")</f>
        <v/>
      </c>
    </row>
    <row r="758" spans="2:10" ht="18" customHeight="1" x14ac:dyDescent="0.25">
      <c r="B758" s="309"/>
      <c r="C758" s="120"/>
      <c r="D758" s="121"/>
      <c r="E758" s="121"/>
      <c r="F758" s="92"/>
      <c r="G758" s="92"/>
      <c r="H758" s="122"/>
      <c r="I758" s="68" t="str">
        <f>IFERROR(MID(作者统计[[#This Row],[作者]],FIND("[",作者统计[[#This Row],[作者]],1)+1,FIND("]",作者统计[[#This Row],[作者]],1)-FIND("[",作者统计[[#This Row],[作者]],1)-1),"")</f>
        <v/>
      </c>
      <c r="J758" s="68" t="str">
        <f>IFERROR(MID(作者统计[[#This Row],[作者]],FIND("(",作者统计[[#This Row],[作者]],1)+1,FIND(")",作者统计[[#This Row],[作者]],1)-FIND("(",作者统计[[#This Row],[作者]],1)-1),"")</f>
        <v/>
      </c>
    </row>
    <row r="759" spans="2:10" ht="18" customHeight="1" x14ac:dyDescent="0.25">
      <c r="B759" s="309"/>
      <c r="C759" s="120"/>
      <c r="D759" s="121"/>
      <c r="E759" s="121"/>
      <c r="F759" s="92"/>
      <c r="G759" s="92"/>
      <c r="H759" s="122"/>
      <c r="I759" s="68" t="str">
        <f>IFERROR(MID(作者统计[[#This Row],[作者]],FIND("[",作者统计[[#This Row],[作者]],1)+1,FIND("]",作者统计[[#This Row],[作者]],1)-FIND("[",作者统计[[#This Row],[作者]],1)-1),"")</f>
        <v/>
      </c>
      <c r="J759" s="68" t="str">
        <f>IFERROR(MID(作者统计[[#This Row],[作者]],FIND("(",作者统计[[#This Row],[作者]],1)+1,FIND(")",作者统计[[#This Row],[作者]],1)-FIND("(",作者统计[[#This Row],[作者]],1)-1),"")</f>
        <v/>
      </c>
    </row>
    <row r="760" spans="2:10" ht="18" customHeight="1" x14ac:dyDescent="0.25">
      <c r="B760" s="309"/>
      <c r="C760" s="120"/>
      <c r="D760" s="121"/>
      <c r="E760" s="121"/>
      <c r="F760" s="92"/>
      <c r="G760" s="92"/>
      <c r="H760" s="122"/>
      <c r="I760" s="68" t="str">
        <f>IFERROR(MID(作者统计[[#This Row],[作者]],FIND("[",作者统计[[#This Row],[作者]],1)+1,FIND("]",作者统计[[#This Row],[作者]],1)-FIND("[",作者统计[[#This Row],[作者]],1)-1),"")</f>
        <v/>
      </c>
      <c r="J760" s="68" t="str">
        <f>IFERROR(MID(作者统计[[#This Row],[作者]],FIND("(",作者统计[[#This Row],[作者]],1)+1,FIND(")",作者统计[[#This Row],[作者]],1)-FIND("(",作者统计[[#This Row],[作者]],1)-1),"")</f>
        <v/>
      </c>
    </row>
    <row r="761" spans="2:10" ht="18" customHeight="1" x14ac:dyDescent="0.25">
      <c r="B761" s="256"/>
      <c r="C761" s="257"/>
      <c r="D761" s="258"/>
      <c r="E761" s="258"/>
      <c r="F761" s="259"/>
      <c r="G761" s="259"/>
      <c r="H761" s="260"/>
      <c r="I761" s="261" t="str">
        <f>IFERROR(MID(作者统计[[#This Row],[作者]],FIND("[",作者统计[[#This Row],[作者]],1)+1,FIND("]",作者统计[[#This Row],[作者]],1)-FIND("[",作者统计[[#This Row],[作者]],1)-1),"")</f>
        <v/>
      </c>
      <c r="J761" s="261" t="str">
        <f>IFERROR(MID(作者统计[[#This Row],[作者]],FIND("(",作者统计[[#This Row],[作者]],1)+1,FIND(")",作者统计[[#This Row],[作者]],1)-FIND("(",作者统计[[#This Row],[作者]],1)-1),"")</f>
        <v/>
      </c>
    </row>
    <row r="762" spans="2:10" ht="18" customHeight="1" x14ac:dyDescent="0.25">
      <c r="B762" s="256"/>
      <c r="C762" s="257"/>
      <c r="D762" s="258"/>
      <c r="E762" s="258"/>
      <c r="F762" s="259"/>
      <c r="G762" s="259"/>
      <c r="H762" s="260"/>
      <c r="I762" s="261" t="str">
        <f>IFERROR(MID(作者统计[[#This Row],[作者]],FIND("[",作者统计[[#This Row],[作者]],1)+1,FIND("]",作者统计[[#This Row],[作者]],1)-FIND("[",作者统计[[#This Row],[作者]],1)-1),"")</f>
        <v/>
      </c>
      <c r="J762" s="261" t="str">
        <f>IFERROR(MID(作者统计[[#This Row],[作者]],FIND("(",作者统计[[#This Row],[作者]],1)+1,FIND(")",作者统计[[#This Row],[作者]],1)-FIND("(",作者统计[[#This Row],[作者]],1)-1),"")</f>
        <v/>
      </c>
    </row>
    <row r="763" spans="2:10" ht="18" customHeight="1" x14ac:dyDescent="0.25">
      <c r="B763" s="309"/>
      <c r="C763" s="120"/>
      <c r="D763" s="121"/>
      <c r="E763" s="121"/>
      <c r="F763" s="92"/>
      <c r="G763" s="92"/>
      <c r="H763" s="122"/>
      <c r="I763" s="68" t="str">
        <f>IFERROR(MID(作者统计[[#This Row],[作者]],FIND("[",作者统计[[#This Row],[作者]],1)+1,FIND("]",作者统计[[#This Row],[作者]],1)-FIND("[",作者统计[[#This Row],[作者]],1)-1),"")</f>
        <v/>
      </c>
      <c r="J763" s="68" t="str">
        <f>IFERROR(MID(作者统计[[#This Row],[作者]],FIND("(",作者统计[[#This Row],[作者]],1)+1,FIND(")",作者统计[[#This Row],[作者]],1)-FIND("(",作者统计[[#This Row],[作者]],1)-1),"")</f>
        <v/>
      </c>
    </row>
    <row r="764" spans="2:10" ht="18" customHeight="1" x14ac:dyDescent="0.25">
      <c r="B764" s="256"/>
      <c r="C764" s="257"/>
      <c r="D764" s="258"/>
      <c r="E764" s="258"/>
      <c r="F764" s="259"/>
      <c r="G764" s="259"/>
      <c r="H764" s="260"/>
      <c r="I764" s="261" t="str">
        <f>IFERROR(MID(作者统计[[#This Row],[作者]],FIND("[",作者统计[[#This Row],[作者]],1)+1,FIND("]",作者统计[[#This Row],[作者]],1)-FIND("[",作者统计[[#This Row],[作者]],1)-1),"")</f>
        <v/>
      </c>
      <c r="J764" s="261" t="str">
        <f>IFERROR(MID(作者统计[[#This Row],[作者]],FIND("(",作者统计[[#This Row],[作者]],1)+1,FIND(")",作者统计[[#This Row],[作者]],1)-FIND("(",作者统计[[#This Row],[作者]],1)-1),"")</f>
        <v/>
      </c>
    </row>
    <row r="765" spans="2:10" ht="18" customHeight="1" x14ac:dyDescent="0.25">
      <c r="B765" s="256"/>
      <c r="C765" s="257"/>
      <c r="D765" s="258"/>
      <c r="E765" s="258"/>
      <c r="F765" s="259"/>
      <c r="G765" s="259"/>
      <c r="H765" s="260"/>
      <c r="I765" s="261" t="str">
        <f>IFERROR(MID(作者统计[[#This Row],[作者]],FIND("[",作者统计[[#This Row],[作者]],1)+1,FIND("]",作者统计[[#This Row],[作者]],1)-FIND("[",作者统计[[#This Row],[作者]],1)-1),"")</f>
        <v/>
      </c>
      <c r="J765" s="261" t="str">
        <f>IFERROR(MID(作者统计[[#This Row],[作者]],FIND("(",作者统计[[#This Row],[作者]],1)+1,FIND(")",作者统计[[#This Row],[作者]],1)-FIND("(",作者统计[[#This Row],[作者]],1)-1),"")</f>
        <v/>
      </c>
    </row>
    <row r="766" spans="2:10" ht="18" customHeight="1" x14ac:dyDescent="0.25">
      <c r="B766" s="85"/>
      <c r="C766" s="120"/>
      <c r="D766" s="121"/>
      <c r="E766" s="121"/>
      <c r="F766" s="92"/>
      <c r="G766" s="92"/>
      <c r="H766" s="122"/>
      <c r="I766" s="68" t="str">
        <f>IFERROR(MID(作者统计[[#This Row],[作者]],FIND("[",作者统计[[#This Row],[作者]],1)+1,FIND("]",作者统计[[#This Row],[作者]],1)-FIND("[",作者统计[[#This Row],[作者]],1)-1),"")</f>
        <v/>
      </c>
      <c r="J766" s="68" t="str">
        <f>IFERROR(MID(作者统计[[#This Row],[作者]],FIND("(",作者统计[[#This Row],[作者]],1)+1,FIND(")",作者统计[[#This Row],[作者]],1)-FIND("(",作者统计[[#This Row],[作者]],1)-1),"")</f>
        <v/>
      </c>
    </row>
    <row r="767" spans="2:10" ht="18" customHeight="1" x14ac:dyDescent="0.25">
      <c r="B767" s="256"/>
      <c r="C767" s="257"/>
      <c r="D767" s="258"/>
      <c r="E767" s="258"/>
      <c r="F767" s="259"/>
      <c r="G767" s="259"/>
      <c r="H767" s="260"/>
      <c r="I767" s="261" t="str">
        <f>IFERROR(MID(作者统计[[#This Row],[作者]],FIND("[",作者统计[[#This Row],[作者]],1)+1,FIND("]",作者统计[[#This Row],[作者]],1)-FIND("[",作者统计[[#This Row],[作者]],1)-1),"")</f>
        <v/>
      </c>
      <c r="J767" s="261" t="str">
        <f>IFERROR(MID(作者统计[[#This Row],[作者]],FIND("(",作者统计[[#This Row],[作者]],1)+1,FIND(")",作者统计[[#This Row],[作者]],1)-FIND("(",作者统计[[#This Row],[作者]],1)-1),"")</f>
        <v/>
      </c>
    </row>
    <row r="768" spans="2:10" ht="18" customHeight="1" x14ac:dyDescent="0.25">
      <c r="B768" s="309"/>
      <c r="C768" s="120"/>
      <c r="D768" s="121"/>
      <c r="E768" s="121"/>
      <c r="F768" s="92"/>
      <c r="G768" s="92"/>
      <c r="H768" s="122"/>
      <c r="I768" s="68" t="str">
        <f>IFERROR(MID(作者统计[[#This Row],[作者]],FIND("[",作者统计[[#This Row],[作者]],1)+1,FIND("]",作者统计[[#This Row],[作者]],1)-FIND("[",作者统计[[#This Row],[作者]],1)-1),"")</f>
        <v/>
      </c>
      <c r="J768" s="68" t="str">
        <f>IFERROR(MID(作者统计[[#This Row],[作者]],FIND("(",作者统计[[#This Row],[作者]],1)+1,FIND(")",作者统计[[#This Row],[作者]],1)-FIND("(",作者统计[[#This Row],[作者]],1)-1),"")</f>
        <v/>
      </c>
    </row>
    <row r="769" spans="2:10" ht="18" customHeight="1" x14ac:dyDescent="0.25">
      <c r="B769" s="85"/>
      <c r="C769" s="120"/>
      <c r="D769" s="121"/>
      <c r="E769" s="121"/>
      <c r="F769" s="92"/>
      <c r="G769" s="92"/>
      <c r="H769" s="122"/>
      <c r="I769" s="68" t="str">
        <f>IFERROR(MID(作者统计[[#This Row],[作者]],FIND("[",作者统计[[#This Row],[作者]],1)+1,FIND("]",作者统计[[#This Row],[作者]],1)-FIND("[",作者统计[[#This Row],[作者]],1)-1),"")</f>
        <v/>
      </c>
      <c r="J769" s="68" t="str">
        <f>IFERROR(MID(作者统计[[#This Row],[作者]],FIND("(",作者统计[[#This Row],[作者]],1)+1,FIND(")",作者统计[[#This Row],[作者]],1)-FIND("(",作者统计[[#This Row],[作者]],1)-1),"")</f>
        <v/>
      </c>
    </row>
    <row r="770" spans="2:10" ht="18" customHeight="1" x14ac:dyDescent="0.25">
      <c r="B770" s="309"/>
      <c r="C770" s="120"/>
      <c r="D770" s="121"/>
      <c r="E770" s="121"/>
      <c r="F770" s="92"/>
      <c r="G770" s="92"/>
      <c r="H770" s="122"/>
      <c r="I770" s="68" t="str">
        <f>IFERROR(MID(作者统计[[#This Row],[作者]],FIND("[",作者统计[[#This Row],[作者]],1)+1,FIND("]",作者统计[[#This Row],[作者]],1)-FIND("[",作者统计[[#This Row],[作者]],1)-1),"")</f>
        <v/>
      </c>
      <c r="J770" s="68" t="str">
        <f>IFERROR(MID(作者统计[[#This Row],[作者]],FIND("(",作者统计[[#This Row],[作者]],1)+1,FIND(")",作者统计[[#This Row],[作者]],1)-FIND("(",作者统计[[#This Row],[作者]],1)-1),"")</f>
        <v/>
      </c>
    </row>
    <row r="771" spans="2:10" ht="18" customHeight="1" x14ac:dyDescent="0.25">
      <c r="B771" s="256"/>
      <c r="C771" s="257"/>
      <c r="D771" s="258"/>
      <c r="E771" s="258"/>
      <c r="F771" s="259"/>
      <c r="G771" s="259"/>
      <c r="H771" s="260"/>
      <c r="I771" s="261" t="str">
        <f>IFERROR(MID(作者统计[[#This Row],[作者]],FIND("[",作者统计[[#This Row],[作者]],1)+1,FIND("]",作者统计[[#This Row],[作者]],1)-FIND("[",作者统计[[#This Row],[作者]],1)-1),"")</f>
        <v/>
      </c>
      <c r="J771" s="261" t="str">
        <f>IFERROR(MID(作者统计[[#This Row],[作者]],FIND("(",作者统计[[#This Row],[作者]],1)+1,FIND(")",作者统计[[#This Row],[作者]],1)-FIND("(",作者统计[[#This Row],[作者]],1)-1),"")</f>
        <v/>
      </c>
    </row>
    <row r="772" spans="2:10" ht="18" customHeight="1" x14ac:dyDescent="0.25">
      <c r="B772" s="85"/>
      <c r="C772" s="120"/>
      <c r="D772" s="121"/>
      <c r="E772" s="121"/>
      <c r="F772" s="92"/>
      <c r="G772" s="92"/>
      <c r="H772" s="122"/>
      <c r="I772" s="68" t="str">
        <f>IFERROR(MID(作者统计[[#This Row],[作者]],FIND("[",作者统计[[#This Row],[作者]],1)+1,FIND("]",作者统计[[#This Row],[作者]],1)-FIND("[",作者统计[[#This Row],[作者]],1)-1),"")</f>
        <v/>
      </c>
      <c r="J772" s="68" t="str">
        <f>IFERROR(MID(作者统计[[#This Row],[作者]],FIND("(",作者统计[[#This Row],[作者]],1)+1,FIND(")",作者统计[[#This Row],[作者]],1)-FIND("(",作者统计[[#This Row],[作者]],1)-1),"")</f>
        <v/>
      </c>
    </row>
    <row r="773" spans="2:10" ht="18" customHeight="1" x14ac:dyDescent="0.25">
      <c r="B773" s="256"/>
      <c r="C773" s="257"/>
      <c r="D773" s="258"/>
      <c r="E773" s="258"/>
      <c r="F773" s="259"/>
      <c r="G773" s="259"/>
      <c r="H773" s="260"/>
      <c r="I773" s="261" t="str">
        <f>IFERROR(MID(作者统计[[#This Row],[作者]],FIND("[",作者统计[[#This Row],[作者]],1)+1,FIND("]",作者统计[[#This Row],[作者]],1)-FIND("[",作者统计[[#This Row],[作者]],1)-1),"")</f>
        <v/>
      </c>
      <c r="J773" s="261" t="str">
        <f>IFERROR(MID(作者统计[[#This Row],[作者]],FIND("(",作者统计[[#This Row],[作者]],1)+1,FIND(")",作者统计[[#This Row],[作者]],1)-FIND("(",作者统计[[#This Row],[作者]],1)-1),"")</f>
        <v/>
      </c>
    </row>
    <row r="774" spans="2:10" ht="18" customHeight="1" x14ac:dyDescent="0.25">
      <c r="B774" s="256"/>
      <c r="C774" s="257"/>
      <c r="D774" s="258"/>
      <c r="E774" s="258"/>
      <c r="F774" s="259"/>
      <c r="G774" s="259"/>
      <c r="H774" s="260"/>
      <c r="I774" s="261" t="str">
        <f>IFERROR(MID(作者统计[[#This Row],[作者]],FIND("[",作者统计[[#This Row],[作者]],1)+1,FIND("]",作者统计[[#This Row],[作者]],1)-FIND("[",作者统计[[#This Row],[作者]],1)-1),"")</f>
        <v/>
      </c>
      <c r="J774" s="261" t="str">
        <f>IFERROR(MID(作者统计[[#This Row],[作者]],FIND("(",作者统计[[#This Row],[作者]],1)+1,FIND(")",作者统计[[#This Row],[作者]],1)-FIND("(",作者统计[[#This Row],[作者]],1)-1),"")</f>
        <v/>
      </c>
    </row>
    <row r="775" spans="2:10" ht="18" customHeight="1" x14ac:dyDescent="0.25">
      <c r="B775" s="85"/>
      <c r="C775" s="120"/>
      <c r="D775" s="121"/>
      <c r="E775" s="121"/>
      <c r="F775" s="92"/>
      <c r="G775" s="92"/>
      <c r="H775" s="122"/>
      <c r="I775" s="68" t="str">
        <f>IFERROR(MID(作者统计[[#This Row],[作者]],FIND("[",作者统计[[#This Row],[作者]],1)+1,FIND("]",作者统计[[#This Row],[作者]],1)-FIND("[",作者统计[[#This Row],[作者]],1)-1),"")</f>
        <v/>
      </c>
      <c r="J775" s="68" t="str">
        <f>IFERROR(MID(作者统计[[#This Row],[作者]],FIND("(",作者统计[[#This Row],[作者]],1)+1,FIND(")",作者统计[[#This Row],[作者]],1)-FIND("(",作者统计[[#This Row],[作者]],1)-1),"")</f>
        <v/>
      </c>
    </row>
    <row r="776" spans="2:10" ht="18" customHeight="1" x14ac:dyDescent="0.25">
      <c r="B776" s="256"/>
      <c r="C776" s="257"/>
      <c r="D776" s="258"/>
      <c r="E776" s="258"/>
      <c r="F776" s="259"/>
      <c r="G776" s="259"/>
      <c r="H776" s="260"/>
      <c r="I776" s="261" t="str">
        <f>IFERROR(MID(作者统计[[#This Row],[作者]],FIND("[",作者统计[[#This Row],[作者]],1)+1,FIND("]",作者统计[[#This Row],[作者]],1)-FIND("[",作者统计[[#This Row],[作者]],1)-1),"")</f>
        <v/>
      </c>
      <c r="J776" s="261" t="str">
        <f>IFERROR(MID(作者统计[[#This Row],[作者]],FIND("(",作者统计[[#This Row],[作者]],1)+1,FIND(")",作者统计[[#This Row],[作者]],1)-FIND("(",作者统计[[#This Row],[作者]],1)-1),"")</f>
        <v/>
      </c>
    </row>
    <row r="777" spans="2:10" ht="18" customHeight="1" x14ac:dyDescent="0.25">
      <c r="B777" s="256"/>
      <c r="C777" s="257"/>
      <c r="D777" s="258"/>
      <c r="E777" s="258"/>
      <c r="F777" s="259"/>
      <c r="G777" s="259"/>
      <c r="H777" s="260"/>
      <c r="I777" s="261" t="str">
        <f>IFERROR(MID(作者统计[[#This Row],[作者]],FIND("[",作者统计[[#This Row],[作者]],1)+1,FIND("]",作者统计[[#This Row],[作者]],1)-FIND("[",作者统计[[#This Row],[作者]],1)-1),"")</f>
        <v/>
      </c>
      <c r="J777" s="261" t="str">
        <f>IFERROR(MID(作者统计[[#This Row],[作者]],FIND("(",作者统计[[#This Row],[作者]],1)+1,FIND(")",作者统计[[#This Row],[作者]],1)-FIND("(",作者统计[[#This Row],[作者]],1)-1),"")</f>
        <v/>
      </c>
    </row>
    <row r="778" spans="2:10" ht="18" customHeight="1" x14ac:dyDescent="0.25">
      <c r="B778" s="256"/>
      <c r="C778" s="257"/>
      <c r="D778" s="258"/>
      <c r="E778" s="258"/>
      <c r="F778" s="259"/>
      <c r="G778" s="259"/>
      <c r="H778" s="260"/>
      <c r="I778" s="261" t="str">
        <f>IFERROR(MID(作者统计[[#This Row],[作者]],FIND("[",作者统计[[#This Row],[作者]],1)+1,FIND("]",作者统计[[#This Row],[作者]],1)-FIND("[",作者统计[[#This Row],[作者]],1)-1),"")</f>
        <v/>
      </c>
      <c r="J778" s="261" t="str">
        <f>IFERROR(MID(作者统计[[#This Row],[作者]],FIND("(",作者统计[[#This Row],[作者]],1)+1,FIND(")",作者统计[[#This Row],[作者]],1)-FIND("(",作者统计[[#This Row],[作者]],1)-1),"")</f>
        <v/>
      </c>
    </row>
    <row r="779" spans="2:10" ht="18" customHeight="1" x14ac:dyDescent="0.25">
      <c r="B779" s="256"/>
      <c r="C779" s="257"/>
      <c r="D779" s="258"/>
      <c r="E779" s="258"/>
      <c r="F779" s="259"/>
      <c r="G779" s="259"/>
      <c r="H779" s="260"/>
      <c r="I779" s="261" t="str">
        <f>IFERROR(MID(作者统计[[#This Row],[作者]],FIND("[",作者统计[[#This Row],[作者]],1)+1,FIND("]",作者统计[[#This Row],[作者]],1)-FIND("[",作者统计[[#This Row],[作者]],1)-1),"")</f>
        <v/>
      </c>
      <c r="J779" s="261" t="str">
        <f>IFERROR(MID(作者统计[[#This Row],[作者]],FIND("(",作者统计[[#This Row],[作者]],1)+1,FIND(")",作者统计[[#This Row],[作者]],1)-FIND("(",作者统计[[#This Row],[作者]],1)-1),"")</f>
        <v/>
      </c>
    </row>
    <row r="780" spans="2:10" ht="18" customHeight="1" x14ac:dyDescent="0.25">
      <c r="B780" s="309"/>
      <c r="C780" s="120"/>
      <c r="D780" s="121"/>
      <c r="E780" s="121"/>
      <c r="F780" s="92"/>
      <c r="G780" s="92"/>
      <c r="H780" s="122"/>
      <c r="I780" s="68" t="str">
        <f>IFERROR(MID(作者统计[[#This Row],[作者]],FIND("[",作者统计[[#This Row],[作者]],1)+1,FIND("]",作者统计[[#This Row],[作者]],1)-FIND("[",作者统计[[#This Row],[作者]],1)-1),"")</f>
        <v/>
      </c>
      <c r="J780" s="68" t="str">
        <f>IFERROR(MID(作者统计[[#This Row],[作者]],FIND("(",作者统计[[#This Row],[作者]],1)+1,FIND(")",作者统计[[#This Row],[作者]],1)-FIND("(",作者统计[[#This Row],[作者]],1)-1),"")</f>
        <v/>
      </c>
    </row>
    <row r="781" spans="2:10" ht="18" customHeight="1" x14ac:dyDescent="0.25">
      <c r="B781" s="309"/>
      <c r="C781" s="120"/>
      <c r="D781" s="121"/>
      <c r="E781" s="121"/>
      <c r="F781" s="92"/>
      <c r="G781" s="92"/>
      <c r="H781" s="122"/>
      <c r="I781" s="68" t="str">
        <f>IFERROR(MID(作者统计[[#This Row],[作者]],FIND("[",作者统计[[#This Row],[作者]],1)+1,FIND("]",作者统计[[#This Row],[作者]],1)-FIND("[",作者统计[[#This Row],[作者]],1)-1),"")</f>
        <v/>
      </c>
      <c r="J781" s="68" t="str">
        <f>IFERROR(MID(作者统计[[#This Row],[作者]],FIND("(",作者统计[[#This Row],[作者]],1)+1,FIND(")",作者统计[[#This Row],[作者]],1)-FIND("(",作者统计[[#This Row],[作者]],1)-1),"")</f>
        <v/>
      </c>
    </row>
    <row r="782" spans="2:10" ht="18" customHeight="1" x14ac:dyDescent="0.25">
      <c r="B782" s="85"/>
      <c r="C782" s="120"/>
      <c r="D782" s="121"/>
      <c r="E782" s="121"/>
      <c r="F782" s="92"/>
      <c r="G782" s="92"/>
      <c r="H782" s="122"/>
      <c r="I782" s="68" t="str">
        <f>IFERROR(MID(作者统计[[#This Row],[作者]],FIND("[",作者统计[[#This Row],[作者]],1)+1,FIND("]",作者统计[[#This Row],[作者]],1)-FIND("[",作者统计[[#This Row],[作者]],1)-1),"")</f>
        <v/>
      </c>
      <c r="J782" s="68" t="str">
        <f>IFERROR(MID(作者统计[[#This Row],[作者]],FIND("(",作者统计[[#This Row],[作者]],1)+1,FIND(")",作者统计[[#This Row],[作者]],1)-FIND("(",作者统计[[#This Row],[作者]],1)-1),"")</f>
        <v/>
      </c>
    </row>
    <row r="783" spans="2:10" ht="18" customHeight="1" x14ac:dyDescent="0.25">
      <c r="B783" s="256"/>
      <c r="C783" s="257"/>
      <c r="D783" s="258"/>
      <c r="E783" s="258"/>
      <c r="F783" s="259"/>
      <c r="G783" s="259"/>
      <c r="H783" s="260"/>
      <c r="I783" s="261" t="str">
        <f>IFERROR(MID(作者统计[[#This Row],[作者]],FIND("[",作者统计[[#This Row],[作者]],1)+1,FIND("]",作者统计[[#This Row],[作者]],1)-FIND("[",作者统计[[#This Row],[作者]],1)-1),"")</f>
        <v/>
      </c>
      <c r="J783" s="261" t="str">
        <f>IFERROR(MID(作者统计[[#This Row],[作者]],FIND("(",作者统计[[#This Row],[作者]],1)+1,FIND(")",作者统计[[#This Row],[作者]],1)-FIND("(",作者统计[[#This Row],[作者]],1)-1),"")</f>
        <v/>
      </c>
    </row>
    <row r="784" spans="2:10" ht="18" customHeight="1" x14ac:dyDescent="0.25">
      <c r="B784" s="256"/>
      <c r="C784" s="257"/>
      <c r="D784" s="258"/>
      <c r="E784" s="258"/>
      <c r="F784" s="259"/>
      <c r="G784" s="259"/>
      <c r="H784" s="260"/>
      <c r="I784" s="261" t="str">
        <f>IFERROR(MID(作者统计[[#This Row],[作者]],FIND("[",作者统计[[#This Row],[作者]],1)+1,FIND("]",作者统计[[#This Row],[作者]],1)-FIND("[",作者统计[[#This Row],[作者]],1)-1),"")</f>
        <v/>
      </c>
      <c r="J784" s="261" t="str">
        <f>IFERROR(MID(作者统计[[#This Row],[作者]],FIND("(",作者统计[[#This Row],[作者]],1)+1,FIND(")",作者统计[[#This Row],[作者]],1)-FIND("(",作者统计[[#This Row],[作者]],1)-1),"")</f>
        <v/>
      </c>
    </row>
    <row r="785" spans="2:10" ht="18" customHeight="1" x14ac:dyDescent="0.25">
      <c r="B785" s="256"/>
      <c r="C785" s="257"/>
      <c r="D785" s="258"/>
      <c r="E785" s="258"/>
      <c r="F785" s="259"/>
      <c r="G785" s="259"/>
      <c r="H785" s="260"/>
      <c r="I785" s="261" t="str">
        <f>IFERROR(MID(作者统计[[#This Row],[作者]],FIND("[",作者统计[[#This Row],[作者]],1)+1,FIND("]",作者统计[[#This Row],[作者]],1)-FIND("[",作者统计[[#This Row],[作者]],1)-1),"")</f>
        <v/>
      </c>
      <c r="J785" s="261" t="str">
        <f>IFERROR(MID(作者统计[[#This Row],[作者]],FIND("(",作者统计[[#This Row],[作者]],1)+1,FIND(")",作者统计[[#This Row],[作者]],1)-FIND("(",作者统计[[#This Row],[作者]],1)-1),"")</f>
        <v/>
      </c>
    </row>
    <row r="786" spans="2:10" ht="18" customHeight="1" x14ac:dyDescent="0.25">
      <c r="B786" s="256"/>
      <c r="C786" s="257"/>
      <c r="D786" s="258"/>
      <c r="E786" s="258"/>
      <c r="F786" s="259"/>
      <c r="G786" s="259"/>
      <c r="H786" s="260"/>
      <c r="I786" s="261" t="str">
        <f>IFERROR(MID(作者统计[[#This Row],[作者]],FIND("[",作者统计[[#This Row],[作者]],1)+1,FIND("]",作者统计[[#This Row],[作者]],1)-FIND("[",作者统计[[#This Row],[作者]],1)-1),"")</f>
        <v/>
      </c>
      <c r="J786" s="261" t="str">
        <f>IFERROR(MID(作者统计[[#This Row],[作者]],FIND("(",作者统计[[#This Row],[作者]],1)+1,FIND(")",作者统计[[#This Row],[作者]],1)-FIND("(",作者统计[[#This Row],[作者]],1)-1),"")</f>
        <v/>
      </c>
    </row>
    <row r="787" spans="2:10" ht="18" customHeight="1" x14ac:dyDescent="0.25">
      <c r="B787" s="309"/>
      <c r="C787" s="120"/>
      <c r="D787" s="121"/>
      <c r="E787" s="121"/>
      <c r="F787" s="92"/>
      <c r="G787" s="92"/>
      <c r="H787" s="122"/>
      <c r="I787" s="68" t="str">
        <f>IFERROR(MID(作者统计[[#This Row],[作者]],FIND("[",作者统计[[#This Row],[作者]],1)+1,FIND("]",作者统计[[#This Row],[作者]],1)-FIND("[",作者统计[[#This Row],[作者]],1)-1),"")</f>
        <v/>
      </c>
      <c r="J787" s="68" t="str">
        <f>IFERROR(MID(作者统计[[#This Row],[作者]],FIND("(",作者统计[[#This Row],[作者]],1)+1,FIND(")",作者统计[[#This Row],[作者]],1)-FIND("(",作者统计[[#This Row],[作者]],1)-1),"")</f>
        <v/>
      </c>
    </row>
    <row r="788" spans="2:10" ht="18" customHeight="1" x14ac:dyDescent="0.25">
      <c r="B788" s="309"/>
      <c r="C788" s="120"/>
      <c r="D788" s="121"/>
      <c r="E788" s="121"/>
      <c r="F788" s="92"/>
      <c r="G788" s="92"/>
      <c r="H788" s="122"/>
      <c r="I788" s="68" t="str">
        <f>IFERROR(MID(作者统计[[#This Row],[作者]],FIND("[",作者统计[[#This Row],[作者]],1)+1,FIND("]",作者统计[[#This Row],[作者]],1)-FIND("[",作者统计[[#This Row],[作者]],1)-1),"")</f>
        <v/>
      </c>
      <c r="J788" s="68" t="str">
        <f>IFERROR(MID(作者统计[[#This Row],[作者]],FIND("(",作者统计[[#This Row],[作者]],1)+1,FIND(")",作者统计[[#This Row],[作者]],1)-FIND("(",作者统计[[#This Row],[作者]],1)-1),"")</f>
        <v/>
      </c>
    </row>
    <row r="789" spans="2:10" ht="18" customHeight="1" x14ac:dyDescent="0.25">
      <c r="B789" s="309"/>
      <c r="C789" s="120"/>
      <c r="D789" s="121"/>
      <c r="E789" s="121"/>
      <c r="F789" s="92"/>
      <c r="G789" s="92"/>
      <c r="H789" s="122"/>
      <c r="I789" s="68" t="str">
        <f>IFERROR(MID(作者统计[[#This Row],[作者]],FIND("[",作者统计[[#This Row],[作者]],1)+1,FIND("]",作者统计[[#This Row],[作者]],1)-FIND("[",作者统计[[#This Row],[作者]],1)-1),"")</f>
        <v/>
      </c>
      <c r="J789" s="68" t="str">
        <f>IFERROR(MID(作者统计[[#This Row],[作者]],FIND("(",作者统计[[#This Row],[作者]],1)+1,FIND(")",作者统计[[#This Row],[作者]],1)-FIND("(",作者统计[[#This Row],[作者]],1)-1),"")</f>
        <v/>
      </c>
    </row>
    <row r="790" spans="2:10" ht="18" customHeight="1" x14ac:dyDescent="0.25">
      <c r="B790" s="256"/>
      <c r="C790" s="257"/>
      <c r="D790" s="258"/>
      <c r="E790" s="258"/>
      <c r="F790" s="259"/>
      <c r="G790" s="259"/>
      <c r="H790" s="260"/>
      <c r="I790" s="261" t="str">
        <f>IFERROR(MID(作者统计[[#This Row],[作者]],FIND("[",作者统计[[#This Row],[作者]],1)+1,FIND("]",作者统计[[#This Row],[作者]],1)-FIND("[",作者统计[[#This Row],[作者]],1)-1),"")</f>
        <v/>
      </c>
      <c r="J790" s="261" t="str">
        <f>IFERROR(MID(作者统计[[#This Row],[作者]],FIND("(",作者统计[[#This Row],[作者]],1)+1,FIND(")",作者统计[[#This Row],[作者]],1)-FIND("(",作者统计[[#This Row],[作者]],1)-1),"")</f>
        <v/>
      </c>
    </row>
    <row r="791" spans="2:10" ht="18" customHeight="1" x14ac:dyDescent="0.25">
      <c r="B791" s="309"/>
      <c r="C791" s="120"/>
      <c r="D791" s="121"/>
      <c r="E791" s="121"/>
      <c r="F791" s="92"/>
      <c r="G791" s="92"/>
      <c r="H791" s="122"/>
      <c r="I791" s="68" t="str">
        <f>IFERROR(MID(作者统计[[#This Row],[作者]],FIND("[",作者统计[[#This Row],[作者]],1)+1,FIND("]",作者统计[[#This Row],[作者]],1)-FIND("[",作者统计[[#This Row],[作者]],1)-1),"")</f>
        <v/>
      </c>
      <c r="J791" s="68" t="str">
        <f>IFERROR(MID(作者统计[[#This Row],[作者]],FIND("(",作者统计[[#This Row],[作者]],1)+1,FIND(")",作者统计[[#This Row],[作者]],1)-FIND("(",作者统计[[#This Row],[作者]],1)-1),"")</f>
        <v/>
      </c>
    </row>
    <row r="792" spans="2:10" ht="18" customHeight="1" x14ac:dyDescent="0.25">
      <c r="B792" s="309"/>
      <c r="C792" s="120"/>
      <c r="D792" s="121"/>
      <c r="E792" s="121"/>
      <c r="F792" s="92"/>
      <c r="G792" s="92"/>
      <c r="H792" s="122"/>
      <c r="I792" s="68" t="str">
        <f>IFERROR(MID(作者统计[[#This Row],[作者]],FIND("[",作者统计[[#This Row],[作者]],1)+1,FIND("]",作者统计[[#This Row],[作者]],1)-FIND("[",作者统计[[#This Row],[作者]],1)-1),"")</f>
        <v/>
      </c>
      <c r="J792" s="68" t="str">
        <f>IFERROR(MID(作者统计[[#This Row],[作者]],FIND("(",作者统计[[#This Row],[作者]],1)+1,FIND(")",作者统计[[#This Row],[作者]],1)-FIND("(",作者统计[[#This Row],[作者]],1)-1),"")</f>
        <v/>
      </c>
    </row>
    <row r="793" spans="2:10" ht="18" customHeight="1" x14ac:dyDescent="0.25">
      <c r="B793" s="85"/>
      <c r="C793" s="120"/>
      <c r="D793" s="121"/>
      <c r="E793" s="121"/>
      <c r="F793" s="92"/>
      <c r="G793" s="92"/>
      <c r="H793" s="122"/>
      <c r="I793" s="68" t="str">
        <f>IFERROR(MID(作者统计[[#This Row],[作者]],FIND("[",作者统计[[#This Row],[作者]],1)+1,FIND("]",作者统计[[#This Row],[作者]],1)-FIND("[",作者统计[[#This Row],[作者]],1)-1),"")</f>
        <v/>
      </c>
      <c r="J793" s="68" t="str">
        <f>IFERROR(MID(作者统计[[#This Row],[作者]],FIND("(",作者统计[[#This Row],[作者]],1)+1,FIND(")",作者统计[[#This Row],[作者]],1)-FIND("(",作者统计[[#This Row],[作者]],1)-1),"")</f>
        <v/>
      </c>
    </row>
    <row r="794" spans="2:10" ht="18" customHeight="1" x14ac:dyDescent="0.25">
      <c r="B794" s="256"/>
      <c r="C794" s="257"/>
      <c r="D794" s="258"/>
      <c r="E794" s="258"/>
      <c r="F794" s="259"/>
      <c r="G794" s="259"/>
      <c r="H794" s="260"/>
      <c r="I794" s="261" t="str">
        <f>IFERROR(MID(作者统计[[#This Row],[作者]],FIND("[",作者统计[[#This Row],[作者]],1)+1,FIND("]",作者统计[[#This Row],[作者]],1)-FIND("[",作者统计[[#This Row],[作者]],1)-1),"")</f>
        <v/>
      </c>
      <c r="J794" s="261" t="str">
        <f>IFERROR(MID(作者统计[[#This Row],[作者]],FIND("(",作者统计[[#This Row],[作者]],1)+1,FIND(")",作者统计[[#This Row],[作者]],1)-FIND("(",作者统计[[#This Row],[作者]],1)-1),"")</f>
        <v/>
      </c>
    </row>
    <row r="795" spans="2:10" ht="18" customHeight="1" x14ac:dyDescent="0.25">
      <c r="B795" s="256"/>
      <c r="C795" s="257"/>
      <c r="D795" s="258"/>
      <c r="E795" s="258"/>
      <c r="F795" s="259"/>
      <c r="G795" s="259"/>
      <c r="H795" s="260"/>
      <c r="I795" s="261" t="str">
        <f>IFERROR(MID(作者统计[[#This Row],[作者]],FIND("[",作者统计[[#This Row],[作者]],1)+1,FIND("]",作者统计[[#This Row],[作者]],1)-FIND("[",作者统计[[#This Row],[作者]],1)-1),"")</f>
        <v/>
      </c>
      <c r="J795" s="261" t="str">
        <f>IFERROR(MID(作者统计[[#This Row],[作者]],FIND("(",作者统计[[#This Row],[作者]],1)+1,FIND(")",作者统计[[#This Row],[作者]],1)-FIND("(",作者统计[[#This Row],[作者]],1)-1),"")</f>
        <v/>
      </c>
    </row>
    <row r="796" spans="2:10" ht="18" customHeight="1" x14ac:dyDescent="0.25">
      <c r="B796" s="256"/>
      <c r="C796" s="257"/>
      <c r="D796" s="258"/>
      <c r="E796" s="258"/>
      <c r="F796" s="259"/>
      <c r="G796" s="259"/>
      <c r="H796" s="260"/>
      <c r="I796" s="261" t="str">
        <f>IFERROR(MID(作者统计[[#This Row],[作者]],FIND("[",作者统计[[#This Row],[作者]],1)+1,FIND("]",作者统计[[#This Row],[作者]],1)-FIND("[",作者统计[[#This Row],[作者]],1)-1),"")</f>
        <v/>
      </c>
      <c r="J796" s="261" t="str">
        <f>IFERROR(MID(作者统计[[#This Row],[作者]],FIND("(",作者统计[[#This Row],[作者]],1)+1,FIND(")",作者统计[[#This Row],[作者]],1)-FIND("(",作者统计[[#This Row],[作者]],1)-1),"")</f>
        <v/>
      </c>
    </row>
    <row r="797" spans="2:10" ht="18" customHeight="1" x14ac:dyDescent="0.25">
      <c r="B797" s="256"/>
      <c r="C797" s="257"/>
      <c r="D797" s="258"/>
      <c r="E797" s="258"/>
      <c r="F797" s="259"/>
      <c r="G797" s="259"/>
      <c r="H797" s="260"/>
      <c r="I797" s="261" t="str">
        <f>IFERROR(MID(作者统计[[#This Row],[作者]],FIND("[",作者统计[[#This Row],[作者]],1)+1,FIND("]",作者统计[[#This Row],[作者]],1)-FIND("[",作者统计[[#This Row],[作者]],1)-1),"")</f>
        <v/>
      </c>
      <c r="J797" s="261" t="str">
        <f>IFERROR(MID(作者统计[[#This Row],[作者]],FIND("(",作者统计[[#This Row],[作者]],1)+1,FIND(")",作者统计[[#This Row],[作者]],1)-FIND("(",作者统计[[#This Row],[作者]],1)-1),"")</f>
        <v/>
      </c>
    </row>
    <row r="798" spans="2:10" ht="18" customHeight="1" x14ac:dyDescent="0.25">
      <c r="B798" s="309"/>
      <c r="C798" s="120"/>
      <c r="D798" s="121"/>
      <c r="E798" s="121"/>
      <c r="F798" s="92"/>
      <c r="G798" s="92"/>
      <c r="H798" s="122"/>
      <c r="I798" s="68" t="str">
        <f>IFERROR(MID(作者统计[[#This Row],[作者]],FIND("[",作者统计[[#This Row],[作者]],1)+1,FIND("]",作者统计[[#This Row],[作者]],1)-FIND("[",作者统计[[#This Row],[作者]],1)-1),"")</f>
        <v/>
      </c>
      <c r="J798" s="68" t="str">
        <f>IFERROR(MID(作者统计[[#This Row],[作者]],FIND("(",作者统计[[#This Row],[作者]],1)+1,FIND(")",作者统计[[#This Row],[作者]],1)-FIND("(",作者统计[[#This Row],[作者]],1)-1),"")</f>
        <v/>
      </c>
    </row>
    <row r="799" spans="2:10" ht="18" customHeight="1" x14ac:dyDescent="0.25">
      <c r="B799" s="309"/>
      <c r="C799" s="120"/>
      <c r="D799" s="121"/>
      <c r="E799" s="121"/>
      <c r="F799" s="92"/>
      <c r="G799" s="92"/>
      <c r="H799" s="122"/>
      <c r="I799" s="68" t="str">
        <f>IFERROR(MID(作者统计[[#This Row],[作者]],FIND("[",作者统计[[#This Row],[作者]],1)+1,FIND("]",作者统计[[#This Row],[作者]],1)-FIND("[",作者统计[[#This Row],[作者]],1)-1),"")</f>
        <v/>
      </c>
      <c r="J799" s="68" t="str">
        <f>IFERROR(MID(作者统计[[#This Row],[作者]],FIND("(",作者统计[[#This Row],[作者]],1)+1,FIND(")",作者统计[[#This Row],[作者]],1)-FIND("(",作者统计[[#This Row],[作者]],1)-1),"")</f>
        <v/>
      </c>
    </row>
    <row r="800" spans="2:10" ht="18" customHeight="1" x14ac:dyDescent="0.25">
      <c r="B800" s="85"/>
      <c r="C800" s="120"/>
      <c r="D800" s="121"/>
      <c r="E800" s="121"/>
      <c r="F800" s="92"/>
      <c r="G800" s="92"/>
      <c r="H800" s="122"/>
      <c r="I800" s="68" t="str">
        <f>IFERROR(MID(作者统计[[#This Row],[作者]],FIND("[",作者统计[[#This Row],[作者]],1)+1,FIND("]",作者统计[[#This Row],[作者]],1)-FIND("[",作者统计[[#This Row],[作者]],1)-1),"")</f>
        <v/>
      </c>
      <c r="J800" s="68" t="str">
        <f>IFERROR(MID(作者统计[[#This Row],[作者]],FIND("(",作者统计[[#This Row],[作者]],1)+1,FIND(")",作者统计[[#This Row],[作者]],1)-FIND("(",作者统计[[#This Row],[作者]],1)-1),"")</f>
        <v/>
      </c>
    </row>
    <row r="801" spans="2:10" ht="18" customHeight="1" x14ac:dyDescent="0.25">
      <c r="B801" s="256"/>
      <c r="C801" s="257"/>
      <c r="D801" s="258"/>
      <c r="E801" s="258"/>
      <c r="F801" s="259"/>
      <c r="G801" s="259"/>
      <c r="H801" s="260"/>
      <c r="I801" s="261" t="str">
        <f>IFERROR(MID(作者统计[[#This Row],[作者]],FIND("[",作者统计[[#This Row],[作者]],1)+1,FIND("]",作者统计[[#This Row],[作者]],1)-FIND("[",作者统计[[#This Row],[作者]],1)-1),"")</f>
        <v/>
      </c>
      <c r="J801" s="261" t="str">
        <f>IFERROR(MID(作者统计[[#This Row],[作者]],FIND("(",作者统计[[#This Row],[作者]],1)+1,FIND(")",作者统计[[#This Row],[作者]],1)-FIND("(",作者统计[[#This Row],[作者]],1)-1),"")</f>
        <v/>
      </c>
    </row>
    <row r="802" spans="2:10" ht="18" customHeight="1" x14ac:dyDescent="0.25">
      <c r="B802" s="85"/>
      <c r="C802" s="120"/>
      <c r="D802" s="121"/>
      <c r="E802" s="121"/>
      <c r="F802" s="92"/>
      <c r="G802" s="92"/>
      <c r="H802" s="122"/>
      <c r="I802" s="68" t="str">
        <f>IFERROR(MID(作者统计[[#This Row],[作者]],FIND("[",作者统计[[#This Row],[作者]],1)+1,FIND("]",作者统计[[#This Row],[作者]],1)-FIND("[",作者统计[[#This Row],[作者]],1)-1),"")</f>
        <v/>
      </c>
      <c r="J802" s="68" t="str">
        <f>IFERROR(MID(作者统计[[#This Row],[作者]],FIND("(",作者统计[[#This Row],[作者]],1)+1,FIND(")",作者统计[[#This Row],[作者]],1)-FIND("(",作者统计[[#This Row],[作者]],1)-1),"")</f>
        <v/>
      </c>
    </row>
    <row r="803" spans="2:10" ht="18" customHeight="1" x14ac:dyDescent="0.25">
      <c r="B803" s="85"/>
      <c r="C803" s="120"/>
      <c r="D803" s="121"/>
      <c r="E803" s="121"/>
      <c r="F803" s="92"/>
      <c r="G803" s="92"/>
      <c r="H803" s="122"/>
      <c r="I803" s="68" t="str">
        <f>IFERROR(MID(作者统计[[#This Row],[作者]],FIND("[",作者统计[[#This Row],[作者]],1)+1,FIND("]",作者统计[[#This Row],[作者]],1)-FIND("[",作者统计[[#This Row],[作者]],1)-1),"")</f>
        <v/>
      </c>
      <c r="J803" s="68" t="str">
        <f>IFERROR(MID(作者统计[[#This Row],[作者]],FIND("(",作者统计[[#This Row],[作者]],1)+1,FIND(")",作者统计[[#This Row],[作者]],1)-FIND("(",作者统计[[#This Row],[作者]],1)-1),"")</f>
        <v/>
      </c>
    </row>
    <row r="804" spans="2:10" ht="18" customHeight="1" x14ac:dyDescent="0.25">
      <c r="B804" s="256"/>
      <c r="C804" s="257"/>
      <c r="D804" s="258"/>
      <c r="E804" s="258"/>
      <c r="F804" s="259"/>
      <c r="G804" s="259"/>
      <c r="H804" s="260"/>
      <c r="I804" s="261" t="str">
        <f>IFERROR(MID(作者统计[[#This Row],[作者]],FIND("[",作者统计[[#This Row],[作者]],1)+1,FIND("]",作者统计[[#This Row],[作者]],1)-FIND("[",作者统计[[#This Row],[作者]],1)-1),"")</f>
        <v/>
      </c>
      <c r="J804" s="261" t="str">
        <f>IFERROR(MID(作者统计[[#This Row],[作者]],FIND("(",作者统计[[#This Row],[作者]],1)+1,FIND(")",作者统计[[#This Row],[作者]],1)-FIND("(",作者统计[[#This Row],[作者]],1)-1),"")</f>
        <v/>
      </c>
    </row>
    <row r="805" spans="2:10" ht="18" customHeight="1" x14ac:dyDescent="0.25">
      <c r="B805" s="256"/>
      <c r="C805" s="257"/>
      <c r="D805" s="258"/>
      <c r="E805" s="258"/>
      <c r="F805" s="259"/>
      <c r="G805" s="259"/>
      <c r="H805" s="260"/>
      <c r="I805" s="261" t="str">
        <f>IFERROR(MID(作者统计[[#This Row],[作者]],FIND("[",作者统计[[#This Row],[作者]],1)+1,FIND("]",作者统计[[#This Row],[作者]],1)-FIND("[",作者统计[[#This Row],[作者]],1)-1),"")</f>
        <v/>
      </c>
      <c r="J805" s="261" t="str">
        <f>IFERROR(MID(作者统计[[#This Row],[作者]],FIND("(",作者统计[[#This Row],[作者]],1)+1,FIND(")",作者统计[[#This Row],[作者]],1)-FIND("(",作者统计[[#This Row],[作者]],1)-1),"")</f>
        <v/>
      </c>
    </row>
    <row r="806" spans="2:10" ht="18" customHeight="1" x14ac:dyDescent="0.25">
      <c r="B806" s="85"/>
      <c r="C806" s="120"/>
      <c r="D806" s="121"/>
      <c r="E806" s="121"/>
      <c r="F806" s="92"/>
      <c r="G806" s="92"/>
      <c r="H806" s="122"/>
      <c r="I806" s="68" t="str">
        <f>IFERROR(MID(作者统计[[#This Row],[作者]],FIND("[",作者统计[[#This Row],[作者]],1)+1,FIND("]",作者统计[[#This Row],[作者]],1)-FIND("[",作者统计[[#This Row],[作者]],1)-1),"")</f>
        <v/>
      </c>
      <c r="J806" s="68" t="str">
        <f>IFERROR(MID(作者统计[[#This Row],[作者]],FIND("(",作者统计[[#This Row],[作者]],1)+1,FIND(")",作者统计[[#This Row],[作者]],1)-FIND("(",作者统计[[#This Row],[作者]],1)-1),"")</f>
        <v/>
      </c>
    </row>
    <row r="807" spans="2:10" ht="18" customHeight="1" x14ac:dyDescent="0.25">
      <c r="B807" s="309"/>
      <c r="C807" s="120"/>
      <c r="D807" s="121"/>
      <c r="E807" s="121"/>
      <c r="F807" s="92"/>
      <c r="G807" s="92"/>
      <c r="H807" s="123"/>
      <c r="I807" s="68" t="str">
        <f>IFERROR(MID(作者统计[[#This Row],[作者]],FIND("[",作者统计[[#This Row],[作者]],1)+1,FIND("]",作者统计[[#This Row],[作者]],1)-FIND("[",作者统计[[#This Row],[作者]],1)-1),"")</f>
        <v/>
      </c>
      <c r="J807" s="68" t="str">
        <f>IFERROR(MID(作者统计[[#This Row],[作者]],FIND("(",作者统计[[#This Row],[作者]],1)+1,FIND(")",作者统计[[#This Row],[作者]],1)-FIND("(",作者统计[[#This Row],[作者]],1)-1),"")</f>
        <v/>
      </c>
    </row>
    <row r="808" spans="2:10" ht="18" customHeight="1" x14ac:dyDescent="0.25">
      <c r="B808" s="85"/>
      <c r="C808" s="120"/>
      <c r="D808" s="121"/>
      <c r="E808" s="121"/>
      <c r="F808" s="92"/>
      <c r="G808" s="92"/>
      <c r="H808" s="122"/>
      <c r="I808" s="68" t="str">
        <f>IFERROR(MID(作者统计[[#This Row],[作者]],FIND("[",作者统计[[#This Row],[作者]],1)+1,FIND("]",作者统计[[#This Row],[作者]],1)-FIND("[",作者统计[[#This Row],[作者]],1)-1),"")</f>
        <v/>
      </c>
      <c r="J808" s="68" t="str">
        <f>IFERROR(MID(作者统计[[#This Row],[作者]],FIND("(",作者统计[[#This Row],[作者]],1)+1,FIND(")",作者统计[[#This Row],[作者]],1)-FIND("(",作者统计[[#This Row],[作者]],1)-1),"")</f>
        <v/>
      </c>
    </row>
    <row r="809" spans="2:10" ht="18" customHeight="1" x14ac:dyDescent="0.25">
      <c r="B809" s="309"/>
      <c r="C809" s="120"/>
      <c r="D809" s="121"/>
      <c r="E809" s="121"/>
      <c r="F809" s="92"/>
      <c r="G809" s="92"/>
      <c r="H809" s="122"/>
      <c r="I809" s="68" t="str">
        <f>IFERROR(MID(作者统计[[#This Row],[作者]],FIND("[",作者统计[[#This Row],[作者]],1)+1,FIND("]",作者统计[[#This Row],[作者]],1)-FIND("[",作者统计[[#This Row],[作者]],1)-1),"")</f>
        <v/>
      </c>
      <c r="J809" s="68" t="str">
        <f>IFERROR(MID(作者统计[[#This Row],[作者]],FIND("(",作者统计[[#This Row],[作者]],1)+1,FIND(")",作者统计[[#This Row],[作者]],1)-FIND("(",作者统计[[#This Row],[作者]],1)-1),"")</f>
        <v/>
      </c>
    </row>
    <row r="810" spans="2:10" ht="18" customHeight="1" x14ac:dyDescent="0.25">
      <c r="B810" s="256"/>
      <c r="C810" s="257"/>
      <c r="D810" s="258"/>
      <c r="E810" s="258"/>
      <c r="F810" s="259"/>
      <c r="G810" s="259"/>
      <c r="H810" s="260"/>
      <c r="I810" s="261" t="str">
        <f>IFERROR(MID(作者统计[[#This Row],[作者]],FIND("[",作者统计[[#This Row],[作者]],1)+1,FIND("]",作者统计[[#This Row],[作者]],1)-FIND("[",作者统计[[#This Row],[作者]],1)-1),"")</f>
        <v/>
      </c>
      <c r="J810" s="261" t="str">
        <f>IFERROR(MID(作者统计[[#This Row],[作者]],FIND("(",作者统计[[#This Row],[作者]],1)+1,FIND(")",作者统计[[#This Row],[作者]],1)-FIND("(",作者统计[[#This Row],[作者]],1)-1),"")</f>
        <v/>
      </c>
    </row>
    <row r="811" spans="2:10" ht="18" customHeight="1" x14ac:dyDescent="0.25">
      <c r="B811" s="256"/>
      <c r="C811" s="257"/>
      <c r="D811" s="258"/>
      <c r="E811" s="258"/>
      <c r="F811" s="259"/>
      <c r="G811" s="259"/>
      <c r="H811" s="260"/>
      <c r="I811" s="261" t="str">
        <f>IFERROR(MID(作者统计[[#This Row],[作者]],FIND("[",作者统计[[#This Row],[作者]],1)+1,FIND("]",作者统计[[#This Row],[作者]],1)-FIND("[",作者统计[[#This Row],[作者]],1)-1),"")</f>
        <v/>
      </c>
      <c r="J811" s="261" t="str">
        <f>IFERROR(MID(作者统计[[#This Row],[作者]],FIND("(",作者统计[[#This Row],[作者]],1)+1,FIND(")",作者统计[[#This Row],[作者]],1)-FIND("(",作者统计[[#This Row],[作者]],1)-1),"")</f>
        <v/>
      </c>
    </row>
    <row r="812" spans="2:10" ht="18" customHeight="1" x14ac:dyDescent="0.25">
      <c r="B812" s="309"/>
      <c r="C812" s="120"/>
      <c r="D812" s="121"/>
      <c r="E812" s="121"/>
      <c r="F812" s="92"/>
      <c r="G812" s="92"/>
      <c r="H812" s="122"/>
      <c r="I812" s="68" t="str">
        <f>IFERROR(MID(作者统计[[#This Row],[作者]],FIND("[",作者统计[[#This Row],[作者]],1)+1,FIND("]",作者统计[[#This Row],[作者]],1)-FIND("[",作者统计[[#This Row],[作者]],1)-1),"")</f>
        <v/>
      </c>
      <c r="J812" s="68" t="str">
        <f>IFERROR(MID(作者统计[[#This Row],[作者]],FIND("(",作者统计[[#This Row],[作者]],1)+1,FIND(")",作者统计[[#This Row],[作者]],1)-FIND("(",作者统计[[#This Row],[作者]],1)-1),"")</f>
        <v/>
      </c>
    </row>
    <row r="813" spans="2:10" ht="18" customHeight="1" x14ac:dyDescent="0.25">
      <c r="B813" s="85"/>
      <c r="C813" s="120"/>
      <c r="D813" s="121"/>
      <c r="E813" s="121"/>
      <c r="F813" s="92"/>
      <c r="G813" s="92"/>
      <c r="H813" s="122"/>
      <c r="I813" s="68" t="str">
        <f>IFERROR(MID(作者统计[[#This Row],[作者]],FIND("[",作者统计[[#This Row],[作者]],1)+1,FIND("]",作者统计[[#This Row],[作者]],1)-FIND("[",作者统计[[#This Row],[作者]],1)-1),"")</f>
        <v/>
      </c>
      <c r="J813" s="68" t="str">
        <f>IFERROR(MID(作者统计[[#This Row],[作者]],FIND("(",作者统计[[#This Row],[作者]],1)+1,FIND(")",作者统计[[#This Row],[作者]],1)-FIND("(",作者统计[[#This Row],[作者]],1)-1),"")</f>
        <v/>
      </c>
    </row>
    <row r="814" spans="2:10" ht="18" customHeight="1" x14ac:dyDescent="0.25">
      <c r="B814" s="85"/>
      <c r="C814" s="120"/>
      <c r="D814" s="121"/>
      <c r="E814" s="121"/>
      <c r="F814" s="92"/>
      <c r="G814" s="92"/>
      <c r="H814" s="122"/>
      <c r="I814" s="68" t="str">
        <f>IFERROR(MID(作者统计[[#This Row],[作者]],FIND("[",作者统计[[#This Row],[作者]],1)+1,FIND("]",作者统计[[#This Row],[作者]],1)-FIND("[",作者统计[[#This Row],[作者]],1)-1),"")</f>
        <v/>
      </c>
      <c r="J814" s="68" t="str">
        <f>IFERROR(MID(作者统计[[#This Row],[作者]],FIND("(",作者统计[[#This Row],[作者]],1)+1,FIND(")",作者统计[[#This Row],[作者]],1)-FIND("(",作者统计[[#This Row],[作者]],1)-1),"")</f>
        <v/>
      </c>
    </row>
    <row r="815" spans="2:10" ht="18" customHeight="1" x14ac:dyDescent="0.25">
      <c r="B815" s="85"/>
      <c r="C815" s="120"/>
      <c r="D815" s="121"/>
      <c r="E815" s="121"/>
      <c r="F815" s="92"/>
      <c r="G815" s="92"/>
      <c r="H815" s="122"/>
      <c r="I815" s="68" t="str">
        <f>IFERROR(MID(作者统计[[#This Row],[作者]],FIND("[",作者统计[[#This Row],[作者]],1)+1,FIND("]",作者统计[[#This Row],[作者]],1)-FIND("[",作者统计[[#This Row],[作者]],1)-1),"")</f>
        <v/>
      </c>
      <c r="J815" s="68" t="str">
        <f>IFERROR(MID(作者统计[[#This Row],[作者]],FIND("(",作者统计[[#This Row],[作者]],1)+1,FIND(")",作者统计[[#This Row],[作者]],1)-FIND("(",作者统计[[#This Row],[作者]],1)-1),"")</f>
        <v/>
      </c>
    </row>
    <row r="816" spans="2:10" ht="18" customHeight="1" x14ac:dyDescent="0.25">
      <c r="B816" s="85"/>
      <c r="C816" s="120"/>
      <c r="D816" s="121"/>
      <c r="E816" s="121"/>
      <c r="F816" s="92"/>
      <c r="G816" s="92"/>
      <c r="H816" s="122"/>
      <c r="I816" s="68" t="str">
        <f>IFERROR(MID(作者统计[[#This Row],[作者]],FIND("[",作者统计[[#This Row],[作者]],1)+1,FIND("]",作者统计[[#This Row],[作者]],1)-FIND("[",作者统计[[#This Row],[作者]],1)-1),"")</f>
        <v/>
      </c>
      <c r="J816" s="68" t="str">
        <f>IFERROR(MID(作者统计[[#This Row],[作者]],FIND("(",作者统计[[#This Row],[作者]],1)+1,FIND(")",作者统计[[#This Row],[作者]],1)-FIND("(",作者统计[[#This Row],[作者]],1)-1),"")</f>
        <v/>
      </c>
    </row>
    <row r="817" spans="2:10" ht="18" customHeight="1" x14ac:dyDescent="0.25">
      <c r="B817" s="256"/>
      <c r="C817" s="257"/>
      <c r="D817" s="258"/>
      <c r="E817" s="258"/>
      <c r="F817" s="259"/>
      <c r="G817" s="259"/>
      <c r="H817" s="260"/>
      <c r="I817" s="261" t="str">
        <f>IFERROR(MID(作者统计[[#This Row],[作者]],FIND("[",作者统计[[#This Row],[作者]],1)+1,FIND("]",作者统计[[#This Row],[作者]],1)-FIND("[",作者统计[[#This Row],[作者]],1)-1),"")</f>
        <v/>
      </c>
      <c r="J817" s="261" t="str">
        <f>IFERROR(MID(作者统计[[#This Row],[作者]],FIND("(",作者统计[[#This Row],[作者]],1)+1,FIND(")",作者统计[[#This Row],[作者]],1)-FIND("(",作者统计[[#This Row],[作者]],1)-1),"")</f>
        <v/>
      </c>
    </row>
    <row r="818" spans="2:10" ht="18" customHeight="1" x14ac:dyDescent="0.25">
      <c r="B818" s="256"/>
      <c r="C818" s="257"/>
      <c r="D818" s="258"/>
      <c r="E818" s="258"/>
      <c r="F818" s="259"/>
      <c r="G818" s="259"/>
      <c r="H818" s="260"/>
      <c r="I818" s="261" t="str">
        <f>IFERROR(MID(作者统计[[#This Row],[作者]],FIND("[",作者统计[[#This Row],[作者]],1)+1,FIND("]",作者统计[[#This Row],[作者]],1)-FIND("[",作者统计[[#This Row],[作者]],1)-1),"")</f>
        <v/>
      </c>
      <c r="J818" s="261" t="str">
        <f>IFERROR(MID(作者统计[[#This Row],[作者]],FIND("(",作者统计[[#This Row],[作者]],1)+1,FIND(")",作者统计[[#This Row],[作者]],1)-FIND("(",作者统计[[#This Row],[作者]],1)-1),"")</f>
        <v/>
      </c>
    </row>
    <row r="819" spans="2:10" ht="18" customHeight="1" x14ac:dyDescent="0.25">
      <c r="B819" s="85"/>
      <c r="C819" s="120"/>
      <c r="D819" s="121"/>
      <c r="E819" s="121"/>
      <c r="F819" s="92"/>
      <c r="G819" s="92"/>
      <c r="H819" s="122"/>
      <c r="I819" s="68" t="str">
        <f>IFERROR(MID(作者统计[[#This Row],[作者]],FIND("[",作者统计[[#This Row],[作者]],1)+1,FIND("]",作者统计[[#This Row],[作者]],1)-FIND("[",作者统计[[#This Row],[作者]],1)-1),"")</f>
        <v/>
      </c>
      <c r="J819" s="68" t="str">
        <f>IFERROR(MID(作者统计[[#This Row],[作者]],FIND("(",作者统计[[#This Row],[作者]],1)+1,FIND(")",作者统计[[#This Row],[作者]],1)-FIND("(",作者统计[[#This Row],[作者]],1)-1),"")</f>
        <v/>
      </c>
    </row>
    <row r="820" spans="2:10" ht="18" customHeight="1" x14ac:dyDescent="0.25">
      <c r="B820" s="85"/>
      <c r="C820" s="120"/>
      <c r="D820" s="121"/>
      <c r="E820" s="121"/>
      <c r="F820" s="92"/>
      <c r="G820" s="92"/>
      <c r="H820" s="122"/>
      <c r="I820" s="68" t="str">
        <f>IFERROR(MID(作者统计[[#This Row],[作者]],FIND("[",作者统计[[#This Row],[作者]],1)+1,FIND("]",作者统计[[#This Row],[作者]],1)-FIND("[",作者统计[[#This Row],[作者]],1)-1),"")</f>
        <v/>
      </c>
      <c r="J820" s="68" t="str">
        <f>IFERROR(MID(作者统计[[#This Row],[作者]],FIND("(",作者统计[[#This Row],[作者]],1)+1,FIND(")",作者统计[[#This Row],[作者]],1)-FIND("(",作者统计[[#This Row],[作者]],1)-1),"")</f>
        <v/>
      </c>
    </row>
    <row r="821" spans="2:10" ht="18" customHeight="1" x14ac:dyDescent="0.25">
      <c r="B821" s="85"/>
      <c r="C821" s="120"/>
      <c r="D821" s="121"/>
      <c r="E821" s="121"/>
      <c r="F821" s="92"/>
      <c r="G821" s="92"/>
      <c r="H821" s="122"/>
      <c r="I821" s="68" t="str">
        <f>IFERROR(MID(作者统计[[#This Row],[作者]],FIND("[",作者统计[[#This Row],[作者]],1)+1,FIND("]",作者统计[[#This Row],[作者]],1)-FIND("[",作者统计[[#This Row],[作者]],1)-1),"")</f>
        <v/>
      </c>
      <c r="J821" s="68" t="str">
        <f>IFERROR(MID(作者统计[[#This Row],[作者]],FIND("(",作者统计[[#This Row],[作者]],1)+1,FIND(")",作者统计[[#This Row],[作者]],1)-FIND("(",作者统计[[#This Row],[作者]],1)-1),"")</f>
        <v/>
      </c>
    </row>
    <row r="822" spans="2:10" ht="18" customHeight="1" x14ac:dyDescent="0.25">
      <c r="B822" s="256"/>
      <c r="C822" s="257"/>
      <c r="D822" s="258"/>
      <c r="E822" s="258"/>
      <c r="F822" s="259"/>
      <c r="G822" s="259"/>
      <c r="H822" s="260"/>
      <c r="I822" s="261" t="str">
        <f>IFERROR(MID(作者统计[[#This Row],[作者]],FIND("[",作者统计[[#This Row],[作者]],1)+1,FIND("]",作者统计[[#This Row],[作者]],1)-FIND("[",作者统计[[#This Row],[作者]],1)-1),"")</f>
        <v/>
      </c>
      <c r="J822" s="261" t="str">
        <f>IFERROR(MID(作者统计[[#This Row],[作者]],FIND("(",作者统计[[#This Row],[作者]],1)+1,FIND(")",作者统计[[#This Row],[作者]],1)-FIND("(",作者统计[[#This Row],[作者]],1)-1),"")</f>
        <v/>
      </c>
    </row>
    <row r="823" spans="2:10" ht="18" customHeight="1" x14ac:dyDescent="0.25">
      <c r="B823" s="256"/>
      <c r="C823" s="257"/>
      <c r="D823" s="258"/>
      <c r="E823" s="258"/>
      <c r="F823" s="259"/>
      <c r="G823" s="259"/>
      <c r="H823" s="260"/>
      <c r="I823" s="261" t="str">
        <f>IFERROR(MID(作者统计[[#This Row],[作者]],FIND("[",作者统计[[#This Row],[作者]],1)+1,FIND("]",作者统计[[#This Row],[作者]],1)-FIND("[",作者统计[[#This Row],[作者]],1)-1),"")</f>
        <v/>
      </c>
      <c r="J823" s="261" t="str">
        <f>IFERROR(MID(作者统计[[#This Row],[作者]],FIND("(",作者统计[[#This Row],[作者]],1)+1,FIND(")",作者统计[[#This Row],[作者]],1)-FIND("(",作者统计[[#This Row],[作者]],1)-1),"")</f>
        <v/>
      </c>
    </row>
    <row r="824" spans="2:10" ht="18" customHeight="1" x14ac:dyDescent="0.25">
      <c r="B824" s="309"/>
      <c r="C824" s="120"/>
      <c r="D824" s="121"/>
      <c r="E824" s="121"/>
      <c r="F824" s="92"/>
      <c r="G824" s="92"/>
      <c r="H824" s="122"/>
      <c r="I824" s="68" t="str">
        <f>IFERROR(MID(作者统计[[#This Row],[作者]],FIND("[",作者统计[[#This Row],[作者]],1)+1,FIND("]",作者统计[[#This Row],[作者]],1)-FIND("[",作者统计[[#This Row],[作者]],1)-1),"")</f>
        <v/>
      </c>
      <c r="J824" s="68" t="str">
        <f>IFERROR(MID(作者统计[[#This Row],[作者]],FIND("(",作者统计[[#This Row],[作者]],1)+1,FIND(")",作者统计[[#This Row],[作者]],1)-FIND("(",作者统计[[#This Row],[作者]],1)-1),"")</f>
        <v/>
      </c>
    </row>
    <row r="825" spans="2:10" ht="18" customHeight="1" x14ac:dyDescent="0.25">
      <c r="B825" s="309"/>
      <c r="C825" s="120"/>
      <c r="D825" s="121"/>
      <c r="E825" s="121"/>
      <c r="F825" s="92"/>
      <c r="G825" s="92"/>
      <c r="H825" s="122"/>
      <c r="I825" s="68" t="str">
        <f>IFERROR(MID(作者统计[[#This Row],[作者]],FIND("[",作者统计[[#This Row],[作者]],1)+1,FIND("]",作者统计[[#This Row],[作者]],1)-FIND("[",作者统计[[#This Row],[作者]],1)-1),"")</f>
        <v/>
      </c>
      <c r="J825" s="68" t="str">
        <f>IFERROR(MID(作者统计[[#This Row],[作者]],FIND("(",作者统计[[#This Row],[作者]],1)+1,FIND(")",作者统计[[#This Row],[作者]],1)-FIND("(",作者统计[[#This Row],[作者]],1)-1),"")</f>
        <v/>
      </c>
    </row>
    <row r="826" spans="2:10" ht="18" customHeight="1" x14ac:dyDescent="0.25">
      <c r="B826" s="309"/>
      <c r="C826" s="120"/>
      <c r="D826" s="121"/>
      <c r="E826" s="121"/>
      <c r="F826" s="92"/>
      <c r="G826" s="92"/>
      <c r="H826" s="122"/>
      <c r="I826" s="68" t="str">
        <f>IFERROR(MID(作者统计[[#This Row],[作者]],FIND("[",作者统计[[#This Row],[作者]],1)+1,FIND("]",作者统计[[#This Row],[作者]],1)-FIND("[",作者统计[[#This Row],[作者]],1)-1),"")</f>
        <v/>
      </c>
      <c r="J826" s="68" t="str">
        <f>IFERROR(MID(作者统计[[#This Row],[作者]],FIND("(",作者统计[[#This Row],[作者]],1)+1,FIND(")",作者统计[[#This Row],[作者]],1)-FIND("(",作者统计[[#This Row],[作者]],1)-1),"")</f>
        <v/>
      </c>
    </row>
    <row r="827" spans="2:10" ht="18" customHeight="1" x14ac:dyDescent="0.25">
      <c r="B827" s="309"/>
      <c r="C827" s="120"/>
      <c r="D827" s="121"/>
      <c r="E827" s="121"/>
      <c r="F827" s="92"/>
      <c r="G827" s="92"/>
      <c r="H827" s="122"/>
      <c r="I827" s="68" t="str">
        <f>IFERROR(MID(作者统计[[#This Row],[作者]],FIND("[",作者统计[[#This Row],[作者]],1)+1,FIND("]",作者统计[[#This Row],[作者]],1)-FIND("[",作者统计[[#This Row],[作者]],1)-1),"")</f>
        <v/>
      </c>
      <c r="J827" s="68" t="str">
        <f>IFERROR(MID(作者统计[[#This Row],[作者]],FIND("(",作者统计[[#This Row],[作者]],1)+1,FIND(")",作者统计[[#This Row],[作者]],1)-FIND("(",作者统计[[#This Row],[作者]],1)-1),"")</f>
        <v/>
      </c>
    </row>
    <row r="828" spans="2:10" ht="18" customHeight="1" x14ac:dyDescent="0.25">
      <c r="B828" s="309"/>
      <c r="C828" s="120"/>
      <c r="D828" s="121"/>
      <c r="E828" s="121"/>
      <c r="F828" s="92"/>
      <c r="G828" s="92"/>
      <c r="H828" s="122"/>
      <c r="I828" s="68" t="str">
        <f>IFERROR(MID(作者统计[[#This Row],[作者]],FIND("[",作者统计[[#This Row],[作者]],1)+1,FIND("]",作者统计[[#This Row],[作者]],1)-FIND("[",作者统计[[#This Row],[作者]],1)-1),"")</f>
        <v/>
      </c>
      <c r="J828" s="68" t="str">
        <f>IFERROR(MID(作者统计[[#This Row],[作者]],FIND("(",作者统计[[#This Row],[作者]],1)+1,FIND(")",作者统计[[#This Row],[作者]],1)-FIND("(",作者统计[[#This Row],[作者]],1)-1),"")</f>
        <v/>
      </c>
    </row>
    <row r="829" spans="2:10" ht="18" customHeight="1" x14ac:dyDescent="0.25">
      <c r="B829" s="256"/>
      <c r="C829" s="257"/>
      <c r="D829" s="258"/>
      <c r="E829" s="258"/>
      <c r="F829" s="259"/>
      <c r="G829" s="259"/>
      <c r="H829" s="260"/>
      <c r="I829" s="261" t="str">
        <f>IFERROR(MID(作者统计[[#This Row],[作者]],FIND("[",作者统计[[#This Row],[作者]],1)+1,FIND("]",作者统计[[#This Row],[作者]],1)-FIND("[",作者统计[[#This Row],[作者]],1)-1),"")</f>
        <v/>
      </c>
      <c r="J829" s="261" t="str">
        <f>IFERROR(MID(作者统计[[#This Row],[作者]],FIND("(",作者统计[[#This Row],[作者]],1)+1,FIND(")",作者统计[[#This Row],[作者]],1)-FIND("(",作者统计[[#This Row],[作者]],1)-1),"")</f>
        <v/>
      </c>
    </row>
    <row r="830" spans="2:10" ht="18" customHeight="1" x14ac:dyDescent="0.25">
      <c r="B830" s="256"/>
      <c r="C830" s="257"/>
      <c r="D830" s="258"/>
      <c r="E830" s="258"/>
      <c r="F830" s="259"/>
      <c r="G830" s="259"/>
      <c r="H830" s="260"/>
      <c r="I830" s="261" t="str">
        <f>IFERROR(MID(作者统计[[#This Row],[作者]],FIND("[",作者统计[[#This Row],[作者]],1)+1,FIND("]",作者统计[[#This Row],[作者]],1)-FIND("[",作者统计[[#This Row],[作者]],1)-1),"")</f>
        <v/>
      </c>
      <c r="J830" s="261" t="str">
        <f>IFERROR(MID(作者统计[[#This Row],[作者]],FIND("(",作者统计[[#This Row],[作者]],1)+1,FIND(")",作者统计[[#This Row],[作者]],1)-FIND("(",作者统计[[#This Row],[作者]],1)-1),"")</f>
        <v/>
      </c>
    </row>
    <row r="831" spans="2:10" ht="18" customHeight="1" x14ac:dyDescent="0.25">
      <c r="B831" s="256"/>
      <c r="C831" s="257"/>
      <c r="D831" s="258"/>
      <c r="E831" s="258"/>
      <c r="F831" s="259"/>
      <c r="G831" s="259"/>
      <c r="H831" s="260"/>
      <c r="I831" s="261" t="str">
        <f>IFERROR(MID(作者统计[[#This Row],[作者]],FIND("[",作者统计[[#This Row],[作者]],1)+1,FIND("]",作者统计[[#This Row],[作者]],1)-FIND("[",作者统计[[#This Row],[作者]],1)-1),"")</f>
        <v/>
      </c>
      <c r="J831" s="261" t="str">
        <f>IFERROR(MID(作者统计[[#This Row],[作者]],FIND("(",作者统计[[#This Row],[作者]],1)+1,FIND(")",作者统计[[#This Row],[作者]],1)-FIND("(",作者统计[[#This Row],[作者]],1)-1),"")</f>
        <v/>
      </c>
    </row>
    <row r="832" spans="2:10" ht="18" customHeight="1" x14ac:dyDescent="0.25">
      <c r="B832" s="256"/>
      <c r="C832" s="257"/>
      <c r="D832" s="258"/>
      <c r="E832" s="258"/>
      <c r="F832" s="259"/>
      <c r="G832" s="259"/>
      <c r="H832" s="260"/>
      <c r="I832" s="261" t="str">
        <f>IFERROR(MID(作者统计[[#This Row],[作者]],FIND("[",作者统计[[#This Row],[作者]],1)+1,FIND("]",作者统计[[#This Row],[作者]],1)-FIND("[",作者统计[[#This Row],[作者]],1)-1),"")</f>
        <v/>
      </c>
      <c r="J832" s="261" t="str">
        <f>IFERROR(MID(作者统计[[#This Row],[作者]],FIND("(",作者统计[[#This Row],[作者]],1)+1,FIND(")",作者统计[[#This Row],[作者]],1)-FIND("(",作者统计[[#This Row],[作者]],1)-1),"")</f>
        <v/>
      </c>
    </row>
    <row r="833" spans="2:10" ht="18" customHeight="1" x14ac:dyDescent="0.25">
      <c r="B833" s="309"/>
      <c r="C833" s="120"/>
      <c r="D833" s="121"/>
      <c r="E833" s="121"/>
      <c r="F833" s="92"/>
      <c r="G833" s="92"/>
      <c r="H833" s="122"/>
      <c r="I833" s="68" t="str">
        <f>IFERROR(MID(作者统计[[#This Row],[作者]],FIND("[",作者统计[[#This Row],[作者]],1)+1,FIND("]",作者统计[[#This Row],[作者]],1)-FIND("[",作者统计[[#This Row],[作者]],1)-1),"")</f>
        <v/>
      </c>
      <c r="J833" s="68" t="str">
        <f>IFERROR(MID(作者统计[[#This Row],[作者]],FIND("(",作者统计[[#This Row],[作者]],1)+1,FIND(")",作者统计[[#This Row],[作者]],1)-FIND("(",作者统计[[#This Row],[作者]],1)-1),"")</f>
        <v/>
      </c>
    </row>
    <row r="834" spans="2:10" ht="18" customHeight="1" x14ac:dyDescent="0.25">
      <c r="B834" s="256"/>
      <c r="C834" s="257"/>
      <c r="D834" s="258"/>
      <c r="E834" s="258"/>
      <c r="F834" s="259"/>
      <c r="G834" s="259"/>
      <c r="H834" s="260"/>
      <c r="I834" s="261" t="str">
        <f>IFERROR(MID(作者统计[[#This Row],[作者]],FIND("[",作者统计[[#This Row],[作者]],1)+1,FIND("]",作者统计[[#This Row],[作者]],1)-FIND("[",作者统计[[#This Row],[作者]],1)-1),"")</f>
        <v/>
      </c>
      <c r="J8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835" spans="2:10" ht="18" customHeight="1" x14ac:dyDescent="0.25">
      <c r="B835" s="85"/>
      <c r="C835" s="120"/>
      <c r="D835" s="121"/>
      <c r="E835" s="121"/>
      <c r="F835" s="92"/>
      <c r="G835" s="92"/>
      <c r="H835" s="122"/>
      <c r="I835" s="68" t="str">
        <f>IFERROR(MID(作者统计[[#This Row],[作者]],FIND("[",作者统计[[#This Row],[作者]],1)+1,FIND("]",作者统计[[#This Row],[作者]],1)-FIND("[",作者统计[[#This Row],[作者]],1)-1),"")</f>
        <v/>
      </c>
      <c r="J835" s="68" t="str">
        <f>IFERROR(MID(作者统计[[#This Row],[作者]],FIND("(",作者统计[[#This Row],[作者]],1)+1,FIND(")",作者统计[[#This Row],[作者]],1)-FIND("(",作者统计[[#This Row],[作者]],1)-1),"")</f>
        <v/>
      </c>
    </row>
    <row r="836" spans="2:10" ht="18" customHeight="1" x14ac:dyDescent="0.25">
      <c r="B836" s="85"/>
      <c r="C836" s="120"/>
      <c r="D836" s="121"/>
      <c r="E836" s="121"/>
      <c r="F836" s="92"/>
      <c r="G836" s="92"/>
      <c r="H836" s="123"/>
      <c r="I836" s="68" t="str">
        <f>IFERROR(MID(作者统计[[#This Row],[作者]],FIND("[",作者统计[[#This Row],[作者]],1)+1,FIND("]",作者统计[[#This Row],[作者]],1)-FIND("[",作者统计[[#This Row],[作者]],1)-1),"")</f>
        <v/>
      </c>
      <c r="J836" s="68" t="str">
        <f>IFERROR(MID(作者统计[[#This Row],[作者]],FIND("(",作者统计[[#This Row],[作者]],1)+1,FIND(")",作者统计[[#This Row],[作者]],1)-FIND("(",作者统计[[#This Row],[作者]],1)-1),"")</f>
        <v/>
      </c>
    </row>
    <row r="837" spans="2:10" ht="18" customHeight="1" x14ac:dyDescent="0.25">
      <c r="B837" s="256"/>
      <c r="C837" s="257"/>
      <c r="D837" s="258"/>
      <c r="E837" s="258"/>
      <c r="F837" s="259"/>
      <c r="G837" s="259"/>
      <c r="H837" s="260"/>
      <c r="I837" s="261" t="str">
        <f>IFERROR(MID(作者统计[[#This Row],[作者]],FIND("[",作者统计[[#This Row],[作者]],1)+1,FIND("]",作者统计[[#This Row],[作者]],1)-FIND("[",作者统计[[#This Row],[作者]],1)-1),"")</f>
        <v/>
      </c>
      <c r="J837" s="261" t="str">
        <f>IFERROR(MID(作者统计[[#This Row],[作者]],FIND("(",作者统计[[#This Row],[作者]],1)+1,FIND(")",作者统计[[#This Row],[作者]],1)-FIND("(",作者统计[[#This Row],[作者]],1)-1),"")</f>
        <v/>
      </c>
    </row>
    <row r="838" spans="2:10" ht="18" customHeight="1" x14ac:dyDescent="0.25">
      <c r="B838" s="256"/>
      <c r="C838" s="257"/>
      <c r="D838" s="258"/>
      <c r="E838" s="258"/>
      <c r="F838" s="259"/>
      <c r="G838" s="259"/>
      <c r="H838" s="260"/>
      <c r="I838" s="261" t="str">
        <f>IFERROR(MID(作者统计[[#This Row],[作者]],FIND("[",作者统计[[#This Row],[作者]],1)+1,FIND("]",作者统计[[#This Row],[作者]],1)-FIND("[",作者统计[[#This Row],[作者]],1)-1),"")</f>
        <v/>
      </c>
      <c r="J838" s="261" t="str">
        <f>IFERROR(MID(作者统计[[#This Row],[作者]],FIND("(",作者统计[[#This Row],[作者]],1)+1,FIND(")",作者统计[[#This Row],[作者]],1)-FIND("(",作者统计[[#This Row],[作者]],1)-1),"")</f>
        <v/>
      </c>
    </row>
    <row r="839" spans="2:10" ht="18" customHeight="1" x14ac:dyDescent="0.25">
      <c r="B839" s="256"/>
      <c r="C839" s="257"/>
      <c r="D839" s="258"/>
      <c r="E839" s="258"/>
      <c r="F839" s="259"/>
      <c r="G839" s="259"/>
      <c r="H839" s="260"/>
      <c r="I839" s="261" t="str">
        <f>IFERROR(MID(作者统计[[#This Row],[作者]],FIND("[",作者统计[[#This Row],[作者]],1)+1,FIND("]",作者统计[[#This Row],[作者]],1)-FIND("[",作者统计[[#This Row],[作者]],1)-1),"")</f>
        <v/>
      </c>
      <c r="J839" s="261" t="str">
        <f>IFERROR(MID(作者统计[[#This Row],[作者]],FIND("(",作者统计[[#This Row],[作者]],1)+1,FIND(")",作者统计[[#This Row],[作者]],1)-FIND("(",作者统计[[#This Row],[作者]],1)-1),"")</f>
        <v/>
      </c>
    </row>
    <row r="840" spans="2:10" ht="18" customHeight="1" x14ac:dyDescent="0.25">
      <c r="B840" s="85"/>
      <c r="C840" s="120"/>
      <c r="D840" s="121"/>
      <c r="E840" s="121"/>
      <c r="F840" s="92"/>
      <c r="G840" s="92"/>
      <c r="H840" s="122"/>
      <c r="I840" s="68" t="str">
        <f>IFERROR(MID(作者统计[[#This Row],[作者]],FIND("[",作者统计[[#This Row],[作者]],1)+1,FIND("]",作者统计[[#This Row],[作者]],1)-FIND("[",作者统计[[#This Row],[作者]],1)-1),"")</f>
        <v/>
      </c>
      <c r="J840" s="68" t="str">
        <f>IFERROR(MID(作者统计[[#This Row],[作者]],FIND("(",作者统计[[#This Row],[作者]],1)+1,FIND(")",作者统计[[#This Row],[作者]],1)-FIND("(",作者统计[[#This Row],[作者]],1)-1),"")</f>
        <v/>
      </c>
    </row>
    <row r="841" spans="2:10" ht="18" customHeight="1" x14ac:dyDescent="0.25">
      <c r="B841" s="309"/>
      <c r="C841" s="120"/>
      <c r="D841" s="121"/>
      <c r="E841" s="121"/>
      <c r="F841" s="92"/>
      <c r="G841" s="92"/>
      <c r="H841" s="122"/>
      <c r="I841" s="68" t="str">
        <f>IFERROR(MID(作者统计[[#This Row],[作者]],FIND("[",作者统计[[#This Row],[作者]],1)+1,FIND("]",作者统计[[#This Row],[作者]],1)-FIND("[",作者统计[[#This Row],[作者]],1)-1),"")</f>
        <v/>
      </c>
      <c r="J841" s="68" t="str">
        <f>IFERROR(MID(作者统计[[#This Row],[作者]],FIND("(",作者统计[[#This Row],[作者]],1)+1,FIND(")",作者统计[[#This Row],[作者]],1)-FIND("(",作者统计[[#This Row],[作者]],1)-1),"")</f>
        <v/>
      </c>
    </row>
    <row r="842" spans="2:10" ht="18" customHeight="1" x14ac:dyDescent="0.25">
      <c r="B842" s="309"/>
      <c r="C842" s="120"/>
      <c r="D842" s="121"/>
      <c r="E842" s="121"/>
      <c r="F842" s="92"/>
      <c r="G842" s="92"/>
      <c r="H842" s="122"/>
      <c r="I842" s="68" t="str">
        <f>IFERROR(MID(作者统计[[#This Row],[作者]],FIND("[",作者统计[[#This Row],[作者]],1)+1,FIND("]",作者统计[[#This Row],[作者]],1)-FIND("[",作者统计[[#This Row],[作者]],1)-1),"")</f>
        <v/>
      </c>
      <c r="J842" s="68" t="str">
        <f>IFERROR(MID(作者统计[[#This Row],[作者]],FIND("(",作者统计[[#This Row],[作者]],1)+1,FIND(")",作者统计[[#This Row],[作者]],1)-FIND("(",作者统计[[#This Row],[作者]],1)-1),"")</f>
        <v/>
      </c>
    </row>
    <row r="843" spans="2:10" ht="18" customHeight="1" x14ac:dyDescent="0.25">
      <c r="B843" s="309"/>
      <c r="C843" s="120"/>
      <c r="D843" s="121"/>
      <c r="E843" s="121"/>
      <c r="F843" s="92"/>
      <c r="G843" s="92"/>
      <c r="H843" s="122"/>
      <c r="I843" s="68" t="str">
        <f>IFERROR(MID(作者统计[[#This Row],[作者]],FIND("[",作者统计[[#This Row],[作者]],1)+1,FIND("]",作者统计[[#This Row],[作者]],1)-FIND("[",作者统计[[#This Row],[作者]],1)-1),"")</f>
        <v/>
      </c>
      <c r="J843" s="68" t="str">
        <f>IFERROR(MID(作者统计[[#This Row],[作者]],FIND("(",作者统计[[#This Row],[作者]],1)+1,FIND(")",作者统计[[#This Row],[作者]],1)-FIND("(",作者统计[[#This Row],[作者]],1)-1),"")</f>
        <v/>
      </c>
    </row>
    <row r="844" spans="2:10" ht="18" customHeight="1" x14ac:dyDescent="0.25">
      <c r="B844" s="85"/>
      <c r="C844" s="120"/>
      <c r="D844" s="121"/>
      <c r="E844" s="121"/>
      <c r="F844" s="92"/>
      <c r="G844" s="92"/>
      <c r="H844" s="122"/>
      <c r="I844" s="68" t="str">
        <f>IFERROR(MID(作者统计[[#This Row],[作者]],FIND("[",作者统计[[#This Row],[作者]],1)+1,FIND("]",作者统计[[#This Row],[作者]],1)-FIND("[",作者统计[[#This Row],[作者]],1)-1),"")</f>
        <v/>
      </c>
      <c r="J844" s="68" t="str">
        <f>IFERROR(MID(作者统计[[#This Row],[作者]],FIND("(",作者统计[[#This Row],[作者]],1)+1,FIND(")",作者统计[[#This Row],[作者]],1)-FIND("(",作者统计[[#This Row],[作者]],1)-1),"")</f>
        <v/>
      </c>
    </row>
    <row r="845" spans="2:10" ht="18" customHeight="1" x14ac:dyDescent="0.25">
      <c r="B845" s="256"/>
      <c r="C845" s="257"/>
      <c r="D845" s="258"/>
      <c r="E845" s="258"/>
      <c r="F845" s="259"/>
      <c r="G845" s="259"/>
      <c r="H845" s="260"/>
      <c r="I845" s="261" t="str">
        <f>IFERROR(MID(作者统计[[#This Row],[作者]],FIND("[",作者统计[[#This Row],[作者]],1)+1,FIND("]",作者统计[[#This Row],[作者]],1)-FIND("[",作者统计[[#This Row],[作者]],1)-1),"")</f>
        <v/>
      </c>
      <c r="J845" s="261" t="str">
        <f>IFERROR(MID(作者统计[[#This Row],[作者]],FIND("(",作者统计[[#This Row],[作者]],1)+1,FIND(")",作者统计[[#This Row],[作者]],1)-FIND("(",作者统计[[#This Row],[作者]],1)-1),"")</f>
        <v/>
      </c>
    </row>
    <row r="846" spans="2:10" ht="18" customHeight="1" x14ac:dyDescent="0.25">
      <c r="B846" s="85"/>
      <c r="C846" s="120"/>
      <c r="D846" s="121"/>
      <c r="E846" s="121"/>
      <c r="F846" s="92"/>
      <c r="G846" s="92"/>
      <c r="H846" s="122"/>
      <c r="I846" s="68" t="str">
        <f>IFERROR(MID(作者统计[[#This Row],[作者]],FIND("[",作者统计[[#This Row],[作者]],1)+1,FIND("]",作者统计[[#This Row],[作者]],1)-FIND("[",作者统计[[#This Row],[作者]],1)-1),"")</f>
        <v/>
      </c>
      <c r="J846" s="68" t="str">
        <f>IFERROR(MID(作者统计[[#This Row],[作者]],FIND("(",作者统计[[#This Row],[作者]],1)+1,FIND(")",作者统计[[#This Row],[作者]],1)-FIND("(",作者统计[[#This Row],[作者]],1)-1),"")</f>
        <v/>
      </c>
    </row>
    <row r="847" spans="2:10" ht="18" customHeight="1" x14ac:dyDescent="0.25">
      <c r="B847" s="309"/>
      <c r="C847" s="120"/>
      <c r="D847" s="121"/>
      <c r="E847" s="121"/>
      <c r="F847" s="92"/>
      <c r="G847" s="92"/>
      <c r="H847" s="122"/>
      <c r="I847" s="68" t="str">
        <f>IFERROR(MID(作者统计[[#This Row],[作者]],FIND("[",作者统计[[#This Row],[作者]],1)+1,FIND("]",作者统计[[#This Row],[作者]],1)-FIND("[",作者统计[[#This Row],[作者]],1)-1),"")</f>
        <v/>
      </c>
      <c r="J847" s="68" t="str">
        <f>IFERROR(MID(作者统计[[#This Row],[作者]],FIND("(",作者统计[[#This Row],[作者]],1)+1,FIND(")",作者统计[[#This Row],[作者]],1)-FIND("(",作者统计[[#This Row],[作者]],1)-1),"")</f>
        <v/>
      </c>
    </row>
    <row r="848" spans="2:10" ht="18" customHeight="1" x14ac:dyDescent="0.25">
      <c r="B848" s="309"/>
      <c r="C848" s="120"/>
      <c r="D848" s="121"/>
      <c r="E848" s="121"/>
      <c r="F848" s="92"/>
      <c r="G848" s="92"/>
      <c r="H848" s="122"/>
      <c r="I848" s="68" t="str">
        <f>IFERROR(MID(作者统计[[#This Row],[作者]],FIND("[",作者统计[[#This Row],[作者]],1)+1,FIND("]",作者统计[[#This Row],[作者]],1)-FIND("[",作者统计[[#This Row],[作者]],1)-1),"")</f>
        <v/>
      </c>
      <c r="J848" s="68" t="str">
        <f>IFERROR(MID(作者统计[[#This Row],[作者]],FIND("(",作者统计[[#This Row],[作者]],1)+1,FIND(")",作者统计[[#This Row],[作者]],1)-FIND("(",作者统计[[#This Row],[作者]],1)-1),"")</f>
        <v/>
      </c>
    </row>
    <row r="849" spans="2:10" ht="18" customHeight="1" x14ac:dyDescent="0.25">
      <c r="B849" s="256"/>
      <c r="C849" s="257"/>
      <c r="D849" s="258"/>
      <c r="E849" s="258"/>
      <c r="F849" s="259"/>
      <c r="G849" s="259"/>
      <c r="H849" s="260"/>
      <c r="I849" s="261" t="str">
        <f>IFERROR(MID(作者统计[[#This Row],[作者]],FIND("[",作者统计[[#This Row],[作者]],1)+1,FIND("]",作者统计[[#This Row],[作者]],1)-FIND("[",作者统计[[#This Row],[作者]],1)-1),"")</f>
        <v/>
      </c>
      <c r="J849" s="261" t="str">
        <f>IFERROR(MID(作者统计[[#This Row],[作者]],FIND("(",作者统计[[#This Row],[作者]],1)+1,FIND(")",作者统计[[#This Row],[作者]],1)-FIND("(",作者统计[[#This Row],[作者]],1)-1),"")</f>
        <v/>
      </c>
    </row>
    <row r="850" spans="2:10" ht="18" customHeight="1" x14ac:dyDescent="0.25">
      <c r="B850" s="85"/>
      <c r="C850" s="120"/>
      <c r="D850" s="121"/>
      <c r="E850" s="121"/>
      <c r="F850" s="92"/>
      <c r="G850" s="92"/>
      <c r="H850" s="122"/>
      <c r="I850" s="68" t="str">
        <f>IFERROR(MID(作者统计[[#This Row],[作者]],FIND("[",作者统计[[#This Row],[作者]],1)+1,FIND("]",作者统计[[#This Row],[作者]],1)-FIND("[",作者统计[[#This Row],[作者]],1)-1),"")</f>
        <v/>
      </c>
      <c r="J850" s="68" t="str">
        <f>IFERROR(MID(作者统计[[#This Row],[作者]],FIND("(",作者统计[[#This Row],[作者]],1)+1,FIND(")",作者统计[[#This Row],[作者]],1)-FIND("(",作者统计[[#This Row],[作者]],1)-1),"")</f>
        <v/>
      </c>
    </row>
    <row r="851" spans="2:10" ht="18" customHeight="1" x14ac:dyDescent="0.25">
      <c r="B851" s="256"/>
      <c r="C851" s="257"/>
      <c r="D851" s="258"/>
      <c r="E851" s="258"/>
      <c r="F851" s="259"/>
      <c r="G851" s="259"/>
      <c r="H851" s="260"/>
      <c r="I851" s="261" t="str">
        <f>IFERROR(MID(作者统计[[#This Row],[作者]],FIND("[",作者统计[[#This Row],[作者]],1)+1,FIND("]",作者统计[[#This Row],[作者]],1)-FIND("[",作者统计[[#This Row],[作者]],1)-1),"")</f>
        <v/>
      </c>
      <c r="J851" s="261" t="str">
        <f>IFERROR(MID(作者统计[[#This Row],[作者]],FIND("(",作者统计[[#This Row],[作者]],1)+1,FIND(")",作者统计[[#This Row],[作者]],1)-FIND("(",作者统计[[#This Row],[作者]],1)-1),"")</f>
        <v/>
      </c>
    </row>
    <row r="852" spans="2:10" ht="18" customHeight="1" x14ac:dyDescent="0.25">
      <c r="B852" s="256"/>
      <c r="C852" s="257"/>
      <c r="D852" s="258"/>
      <c r="E852" s="258"/>
      <c r="F852" s="259"/>
      <c r="G852" s="259"/>
      <c r="H852" s="260"/>
      <c r="I852" s="261" t="str">
        <f>IFERROR(MID(作者统计[[#This Row],[作者]],FIND("[",作者统计[[#This Row],[作者]],1)+1,FIND("]",作者统计[[#This Row],[作者]],1)-FIND("[",作者统计[[#This Row],[作者]],1)-1),"")</f>
        <v/>
      </c>
      <c r="J852" s="261" t="str">
        <f>IFERROR(MID(作者统计[[#This Row],[作者]],FIND("(",作者统计[[#This Row],[作者]],1)+1,FIND(")",作者统计[[#This Row],[作者]],1)-FIND("(",作者统计[[#This Row],[作者]],1)-1),"")</f>
        <v/>
      </c>
    </row>
    <row r="853" spans="2:10" ht="18" customHeight="1" x14ac:dyDescent="0.25">
      <c r="B853" s="85"/>
      <c r="C853" s="120"/>
      <c r="D853" s="121"/>
      <c r="E853" s="121"/>
      <c r="F853" s="92"/>
      <c r="G853" s="92"/>
      <c r="H853" s="122"/>
      <c r="I853" s="68" t="str">
        <f>IFERROR(MID(作者统计[[#This Row],[作者]],FIND("[",作者统计[[#This Row],[作者]],1)+1,FIND("]",作者统计[[#This Row],[作者]],1)-FIND("[",作者统计[[#This Row],[作者]],1)-1),"")</f>
        <v/>
      </c>
      <c r="J853" s="68" t="str">
        <f>IFERROR(MID(作者统计[[#This Row],[作者]],FIND("(",作者统计[[#This Row],[作者]],1)+1,FIND(")",作者统计[[#This Row],[作者]],1)-FIND("(",作者统计[[#This Row],[作者]],1)-1),"")</f>
        <v/>
      </c>
    </row>
    <row r="854" spans="2:10" ht="18" customHeight="1" x14ac:dyDescent="0.25">
      <c r="B854" s="256"/>
      <c r="C854" s="257"/>
      <c r="D854" s="258"/>
      <c r="E854" s="258"/>
      <c r="F854" s="259"/>
      <c r="G854" s="259"/>
      <c r="H854" s="260"/>
      <c r="I854" s="261" t="str">
        <f>IFERROR(MID(作者统计[[#This Row],[作者]],FIND("[",作者统计[[#This Row],[作者]],1)+1,FIND("]",作者统计[[#This Row],[作者]],1)-FIND("[",作者统计[[#This Row],[作者]],1)-1),"")</f>
        <v/>
      </c>
      <c r="J854" s="261" t="str">
        <f>IFERROR(MID(作者统计[[#This Row],[作者]],FIND("(",作者统计[[#This Row],[作者]],1)+1,FIND(")",作者统计[[#This Row],[作者]],1)-FIND("(",作者统计[[#This Row],[作者]],1)-1),"")</f>
        <v/>
      </c>
    </row>
    <row r="855" spans="2:10" ht="18" customHeight="1" x14ac:dyDescent="0.25">
      <c r="B855" s="309"/>
      <c r="C855" s="120"/>
      <c r="D855" s="121"/>
      <c r="E855" s="121"/>
      <c r="F855" s="92"/>
      <c r="G855" s="92"/>
      <c r="H855" s="122"/>
      <c r="I855" s="68" t="str">
        <f>IFERROR(MID(作者统计[[#This Row],[作者]],FIND("[",作者统计[[#This Row],[作者]],1)+1,FIND("]",作者统计[[#This Row],[作者]],1)-FIND("[",作者统计[[#This Row],[作者]],1)-1),"")</f>
        <v/>
      </c>
      <c r="J855" s="68" t="str">
        <f>IFERROR(MID(作者统计[[#This Row],[作者]],FIND("(",作者统计[[#This Row],[作者]],1)+1,FIND(")",作者统计[[#This Row],[作者]],1)-FIND("(",作者统计[[#This Row],[作者]],1)-1),"")</f>
        <v/>
      </c>
    </row>
    <row r="856" spans="2:10" ht="18" customHeight="1" x14ac:dyDescent="0.25">
      <c r="B856" s="309"/>
      <c r="C856" s="120"/>
      <c r="D856" s="121"/>
      <c r="E856" s="121"/>
      <c r="F856" s="92"/>
      <c r="G856" s="92"/>
      <c r="H856" s="122"/>
      <c r="I856" s="68" t="str">
        <f>IFERROR(MID(作者统计[[#This Row],[作者]],FIND("[",作者统计[[#This Row],[作者]],1)+1,FIND("]",作者统计[[#This Row],[作者]],1)-FIND("[",作者统计[[#This Row],[作者]],1)-1),"")</f>
        <v/>
      </c>
      <c r="J856" s="68" t="str">
        <f>IFERROR(MID(作者统计[[#This Row],[作者]],FIND("(",作者统计[[#This Row],[作者]],1)+1,FIND(")",作者统计[[#This Row],[作者]],1)-FIND("(",作者统计[[#This Row],[作者]],1)-1),"")</f>
        <v/>
      </c>
    </row>
    <row r="857" spans="2:10" ht="18" customHeight="1" x14ac:dyDescent="0.25">
      <c r="B857" s="256"/>
      <c r="C857" s="257"/>
      <c r="D857" s="258"/>
      <c r="E857" s="258"/>
      <c r="F857" s="259"/>
      <c r="G857" s="259"/>
      <c r="H857" s="260"/>
      <c r="I857" s="261" t="str">
        <f>IFERROR(MID(作者统计[[#This Row],[作者]],FIND("[",作者统计[[#This Row],[作者]],1)+1,FIND("]",作者统计[[#This Row],[作者]],1)-FIND("[",作者统计[[#This Row],[作者]],1)-1),"")</f>
        <v/>
      </c>
      <c r="J857" s="261" t="str">
        <f>IFERROR(MID(作者统计[[#This Row],[作者]],FIND("(",作者统计[[#This Row],[作者]],1)+1,FIND(")",作者统计[[#This Row],[作者]],1)-FIND("(",作者统计[[#This Row],[作者]],1)-1),"")</f>
        <v/>
      </c>
    </row>
    <row r="858" spans="2:10" ht="18" customHeight="1" x14ac:dyDescent="0.25">
      <c r="B858" s="309"/>
      <c r="C858" s="120"/>
      <c r="D858" s="121"/>
      <c r="E858" s="121"/>
      <c r="F858" s="92"/>
      <c r="G858" s="92"/>
      <c r="H858" s="122"/>
      <c r="I858" s="68" t="str">
        <f>IFERROR(MID(作者统计[[#This Row],[作者]],FIND("[",作者统计[[#This Row],[作者]],1)+1,FIND("]",作者统计[[#This Row],[作者]],1)-FIND("[",作者统计[[#This Row],[作者]],1)-1),"")</f>
        <v/>
      </c>
      <c r="J858" s="68" t="str">
        <f>IFERROR(MID(作者统计[[#This Row],[作者]],FIND("(",作者统计[[#This Row],[作者]],1)+1,FIND(")",作者统计[[#This Row],[作者]],1)-FIND("(",作者统计[[#This Row],[作者]],1)-1),"")</f>
        <v/>
      </c>
    </row>
    <row r="859" spans="2:10" ht="18" customHeight="1" x14ac:dyDescent="0.25">
      <c r="B859" s="85"/>
      <c r="C859" s="120"/>
      <c r="D859" s="121"/>
      <c r="E859" s="121"/>
      <c r="F859" s="92"/>
      <c r="G859" s="92"/>
      <c r="H859" s="122"/>
      <c r="I859" s="68" t="str">
        <f>IFERROR(MID(作者统计[[#This Row],[作者]],FIND("[",作者统计[[#This Row],[作者]],1)+1,FIND("]",作者统计[[#This Row],[作者]],1)-FIND("[",作者统计[[#This Row],[作者]],1)-1),"")</f>
        <v/>
      </c>
      <c r="J859" s="68" t="str">
        <f>IFERROR(MID(作者统计[[#This Row],[作者]],FIND("(",作者统计[[#This Row],[作者]],1)+1,FIND(")",作者统计[[#This Row],[作者]],1)-FIND("(",作者统计[[#This Row],[作者]],1)-1),"")</f>
        <v/>
      </c>
    </row>
    <row r="860" spans="2:10" ht="18" customHeight="1" x14ac:dyDescent="0.25">
      <c r="B860" s="256"/>
      <c r="C860" s="257"/>
      <c r="D860" s="258"/>
      <c r="E860" s="258"/>
      <c r="F860" s="259"/>
      <c r="G860" s="259"/>
      <c r="H860" s="260"/>
      <c r="I860" s="261" t="str">
        <f>IFERROR(MID(作者统计[[#This Row],[作者]],FIND("[",作者统计[[#This Row],[作者]],1)+1,FIND("]",作者统计[[#This Row],[作者]],1)-FIND("[",作者统计[[#This Row],[作者]],1)-1),"")</f>
        <v/>
      </c>
      <c r="J860" s="261" t="str">
        <f>IFERROR(MID(作者统计[[#This Row],[作者]],FIND("(",作者统计[[#This Row],[作者]],1)+1,FIND(")",作者统计[[#This Row],[作者]],1)-FIND("(",作者统计[[#This Row],[作者]],1)-1),"")</f>
        <v/>
      </c>
    </row>
    <row r="861" spans="2:10" ht="18" customHeight="1" x14ac:dyDescent="0.25">
      <c r="B861" s="256"/>
      <c r="C861" s="257"/>
      <c r="D861" s="258"/>
      <c r="E861" s="258"/>
      <c r="F861" s="259"/>
      <c r="G861" s="259"/>
      <c r="H861" s="260"/>
      <c r="I861" s="261" t="str">
        <f>IFERROR(MID(作者统计[[#This Row],[作者]],FIND("[",作者统计[[#This Row],[作者]],1)+1,FIND("]",作者统计[[#This Row],[作者]],1)-FIND("[",作者统计[[#This Row],[作者]],1)-1),"")</f>
        <v/>
      </c>
      <c r="J861" s="261" t="str">
        <f>IFERROR(MID(作者统计[[#This Row],[作者]],FIND("(",作者统计[[#This Row],[作者]],1)+1,FIND(")",作者统计[[#This Row],[作者]],1)-FIND("(",作者统计[[#This Row],[作者]],1)-1),"")</f>
        <v/>
      </c>
    </row>
    <row r="862" spans="2:10" ht="18" customHeight="1" x14ac:dyDescent="0.25">
      <c r="B862" s="256"/>
      <c r="C862" s="257"/>
      <c r="D862" s="258"/>
      <c r="E862" s="258"/>
      <c r="F862" s="259"/>
      <c r="G862" s="259"/>
      <c r="H862" s="260"/>
      <c r="I862" s="261" t="str">
        <f>IFERROR(MID(作者统计[[#This Row],[作者]],FIND("[",作者统计[[#This Row],[作者]],1)+1,FIND("]",作者统计[[#This Row],[作者]],1)-FIND("[",作者统计[[#This Row],[作者]],1)-1),"")</f>
        <v/>
      </c>
      <c r="J862" s="261" t="str">
        <f>IFERROR(MID(作者统计[[#This Row],[作者]],FIND("(",作者统计[[#This Row],[作者]],1)+1,FIND(")",作者统计[[#This Row],[作者]],1)-FIND("(",作者统计[[#This Row],[作者]],1)-1),"")</f>
        <v/>
      </c>
    </row>
    <row r="863" spans="2:10" ht="18" customHeight="1" x14ac:dyDescent="0.25">
      <c r="B863" s="309"/>
      <c r="C863" s="120"/>
      <c r="D863" s="121"/>
      <c r="E863" s="121"/>
      <c r="F863" s="92"/>
      <c r="G863" s="92"/>
      <c r="H863" s="122"/>
      <c r="I863" s="68" t="str">
        <f>IFERROR(MID(作者统计[[#This Row],[作者]],FIND("[",作者统计[[#This Row],[作者]],1)+1,FIND("]",作者统计[[#This Row],[作者]],1)-FIND("[",作者统计[[#This Row],[作者]],1)-1),"")</f>
        <v/>
      </c>
      <c r="J863" s="68" t="str">
        <f>IFERROR(MID(作者统计[[#This Row],[作者]],FIND("(",作者统计[[#This Row],[作者]],1)+1,FIND(")",作者统计[[#This Row],[作者]],1)-FIND("(",作者统计[[#This Row],[作者]],1)-1),"")</f>
        <v/>
      </c>
    </row>
    <row r="864" spans="2:10" ht="18" customHeight="1" x14ac:dyDescent="0.25">
      <c r="B864" s="256"/>
      <c r="C864" s="257"/>
      <c r="D864" s="258"/>
      <c r="E864" s="258"/>
      <c r="F864" s="259"/>
      <c r="G864" s="259"/>
      <c r="H864" s="260"/>
      <c r="I864" s="261" t="str">
        <f>IFERROR(MID(作者统计[[#This Row],[作者]],FIND("[",作者统计[[#This Row],[作者]],1)+1,FIND("]",作者统计[[#This Row],[作者]],1)-FIND("[",作者统计[[#This Row],[作者]],1)-1),"")</f>
        <v/>
      </c>
      <c r="J864" s="261" t="str">
        <f>IFERROR(MID(作者统计[[#This Row],[作者]],FIND("(",作者统计[[#This Row],[作者]],1)+1,FIND(")",作者统计[[#This Row],[作者]],1)-FIND("(",作者统计[[#This Row],[作者]],1)-1),"")</f>
        <v/>
      </c>
    </row>
    <row r="865" spans="2:10" ht="18" customHeight="1" x14ac:dyDescent="0.25">
      <c r="B865" s="85"/>
      <c r="C865" s="120"/>
      <c r="D865" s="121"/>
      <c r="E865" s="121"/>
      <c r="F865" s="92"/>
      <c r="G865" s="92"/>
      <c r="H865" s="122"/>
      <c r="I865" s="68" t="str">
        <f>IFERROR(MID(作者统计[[#This Row],[作者]],FIND("[",作者统计[[#This Row],[作者]],1)+1,FIND("]",作者统计[[#This Row],[作者]],1)-FIND("[",作者统计[[#This Row],[作者]],1)-1),"")</f>
        <v/>
      </c>
      <c r="J865" s="68" t="str">
        <f>IFERROR(MID(作者统计[[#This Row],[作者]],FIND("(",作者统计[[#This Row],[作者]],1)+1,FIND(")",作者统计[[#This Row],[作者]],1)-FIND("(",作者统计[[#This Row],[作者]],1)-1),"")</f>
        <v/>
      </c>
    </row>
    <row r="866" spans="2:10" ht="18" customHeight="1" x14ac:dyDescent="0.25">
      <c r="B866" s="256"/>
      <c r="C866" s="257"/>
      <c r="D866" s="258"/>
      <c r="E866" s="258"/>
      <c r="F866" s="259"/>
      <c r="G866" s="259"/>
      <c r="H866" s="260"/>
      <c r="I866" s="261" t="str">
        <f>IFERROR(MID(作者统计[[#This Row],[作者]],FIND("[",作者统计[[#This Row],[作者]],1)+1,FIND("]",作者统计[[#This Row],[作者]],1)-FIND("[",作者统计[[#This Row],[作者]],1)-1),"")</f>
        <v/>
      </c>
      <c r="J866" s="261" t="str">
        <f>IFERROR(MID(作者统计[[#This Row],[作者]],FIND("(",作者统计[[#This Row],[作者]],1)+1,FIND(")",作者统计[[#This Row],[作者]],1)-FIND("(",作者统计[[#This Row],[作者]],1)-1),"")</f>
        <v/>
      </c>
    </row>
    <row r="867" spans="2:10" ht="18" customHeight="1" x14ac:dyDescent="0.25">
      <c r="B867" s="309"/>
      <c r="C867" s="120"/>
      <c r="D867" s="121"/>
      <c r="E867" s="121"/>
      <c r="F867" s="92"/>
      <c r="G867" s="92"/>
      <c r="H867" s="122"/>
      <c r="I867" s="68" t="str">
        <f>IFERROR(MID(作者统计[[#This Row],[作者]],FIND("[",作者统计[[#This Row],[作者]],1)+1,FIND("]",作者统计[[#This Row],[作者]],1)-FIND("[",作者统计[[#This Row],[作者]],1)-1),"")</f>
        <v/>
      </c>
      <c r="J867" s="68" t="str">
        <f>IFERROR(MID(作者统计[[#This Row],[作者]],FIND("(",作者统计[[#This Row],[作者]],1)+1,FIND(")",作者统计[[#This Row],[作者]],1)-FIND("(",作者统计[[#This Row],[作者]],1)-1),"")</f>
        <v/>
      </c>
    </row>
    <row r="868" spans="2:10" ht="18" customHeight="1" x14ac:dyDescent="0.25">
      <c r="B868" s="256"/>
      <c r="C868" s="257"/>
      <c r="D868" s="258"/>
      <c r="E868" s="258"/>
      <c r="F868" s="259"/>
      <c r="G868" s="259"/>
      <c r="H868" s="260"/>
      <c r="I868" s="261" t="str">
        <f>IFERROR(MID(作者统计[[#This Row],[作者]],FIND("[",作者统计[[#This Row],[作者]],1)+1,FIND("]",作者统计[[#This Row],[作者]],1)-FIND("[",作者统计[[#This Row],[作者]],1)-1),"")</f>
        <v/>
      </c>
      <c r="J868" s="261" t="str">
        <f>IFERROR(MID(作者统计[[#This Row],[作者]],FIND("(",作者统计[[#This Row],[作者]],1)+1,FIND(")",作者统计[[#This Row],[作者]],1)-FIND("(",作者统计[[#This Row],[作者]],1)-1),"")</f>
        <v/>
      </c>
    </row>
    <row r="869" spans="2:10" ht="18" customHeight="1" x14ac:dyDescent="0.25">
      <c r="B869" s="85"/>
      <c r="C869" s="120"/>
      <c r="D869" s="121"/>
      <c r="E869" s="121"/>
      <c r="F869" s="92"/>
      <c r="G869" s="92"/>
      <c r="H869" s="122"/>
      <c r="I869" s="68" t="str">
        <f>IFERROR(MID(作者统计[[#This Row],[作者]],FIND("[",作者统计[[#This Row],[作者]],1)+1,FIND("]",作者统计[[#This Row],[作者]],1)-FIND("[",作者统计[[#This Row],[作者]],1)-1),"")</f>
        <v/>
      </c>
      <c r="J869" s="68" t="str">
        <f>IFERROR(MID(作者统计[[#This Row],[作者]],FIND("(",作者统计[[#This Row],[作者]],1)+1,FIND(")",作者统计[[#This Row],[作者]],1)-FIND("(",作者统计[[#This Row],[作者]],1)-1),"")</f>
        <v/>
      </c>
    </row>
    <row r="870" spans="2:10" ht="18" customHeight="1" x14ac:dyDescent="0.25">
      <c r="B870" s="256"/>
      <c r="C870" s="257"/>
      <c r="D870" s="258"/>
      <c r="E870" s="258"/>
      <c r="F870" s="259"/>
      <c r="G870" s="259"/>
      <c r="H870" s="260"/>
      <c r="I870" s="261" t="str">
        <f>IFERROR(MID(作者统计[[#This Row],[作者]],FIND("[",作者统计[[#This Row],[作者]],1)+1,FIND("]",作者统计[[#This Row],[作者]],1)-FIND("[",作者统计[[#This Row],[作者]],1)-1),"")</f>
        <v/>
      </c>
      <c r="J870" s="261" t="str">
        <f>IFERROR(MID(作者统计[[#This Row],[作者]],FIND("(",作者统计[[#This Row],[作者]],1)+1,FIND(")",作者统计[[#This Row],[作者]],1)-FIND("(",作者统计[[#This Row],[作者]],1)-1),"")</f>
        <v/>
      </c>
    </row>
    <row r="871" spans="2:10" ht="18" customHeight="1" x14ac:dyDescent="0.25">
      <c r="B871" s="309"/>
      <c r="C871" s="120"/>
      <c r="D871" s="121"/>
      <c r="E871" s="121"/>
      <c r="F871" s="92"/>
      <c r="G871" s="92"/>
      <c r="H871" s="122"/>
      <c r="I871" s="68" t="str">
        <f>IFERROR(MID(作者统计[[#This Row],[作者]],FIND("[",作者统计[[#This Row],[作者]],1)+1,FIND("]",作者统计[[#This Row],[作者]],1)-FIND("[",作者统计[[#This Row],[作者]],1)-1),"")</f>
        <v/>
      </c>
      <c r="J871" s="68" t="str">
        <f>IFERROR(MID(作者统计[[#This Row],[作者]],FIND("(",作者统计[[#This Row],[作者]],1)+1,FIND(")",作者统计[[#This Row],[作者]],1)-FIND("(",作者统计[[#This Row],[作者]],1)-1),"")</f>
        <v/>
      </c>
    </row>
    <row r="872" spans="2:10" ht="18" customHeight="1" x14ac:dyDescent="0.25">
      <c r="B872" s="85"/>
      <c r="C872" s="120"/>
      <c r="D872" s="121"/>
      <c r="E872" s="121"/>
      <c r="F872" s="92"/>
      <c r="G872" s="92"/>
      <c r="H872" s="122"/>
      <c r="I872" s="68" t="str">
        <f>IFERROR(MID(作者统计[[#This Row],[作者]],FIND("[",作者统计[[#This Row],[作者]],1)+1,FIND("]",作者统计[[#This Row],[作者]],1)-FIND("[",作者统计[[#This Row],[作者]],1)-1),"")</f>
        <v/>
      </c>
      <c r="J872" s="68" t="str">
        <f>IFERROR(MID(作者统计[[#This Row],[作者]],FIND("(",作者统计[[#This Row],[作者]],1)+1,FIND(")",作者统计[[#This Row],[作者]],1)-FIND("(",作者统计[[#This Row],[作者]],1)-1),"")</f>
        <v/>
      </c>
    </row>
    <row r="873" spans="2:10" ht="18" customHeight="1" x14ac:dyDescent="0.25">
      <c r="B873" s="256"/>
      <c r="C873" s="257"/>
      <c r="D873" s="258"/>
      <c r="E873" s="258"/>
      <c r="F873" s="259"/>
      <c r="G873" s="259"/>
      <c r="H873" s="260"/>
      <c r="I873" s="261" t="str">
        <f>IFERROR(MID(作者统计[[#This Row],[作者]],FIND("[",作者统计[[#This Row],[作者]],1)+1,FIND("]",作者统计[[#This Row],[作者]],1)-FIND("[",作者统计[[#This Row],[作者]],1)-1),"")</f>
        <v/>
      </c>
      <c r="J873" s="261" t="str">
        <f>IFERROR(MID(作者统计[[#This Row],[作者]],FIND("(",作者统计[[#This Row],[作者]],1)+1,FIND(")",作者统计[[#This Row],[作者]],1)-FIND("(",作者统计[[#This Row],[作者]],1)-1),"")</f>
        <v/>
      </c>
    </row>
    <row r="874" spans="2:10" ht="18" customHeight="1" x14ac:dyDescent="0.25">
      <c r="B874" s="309"/>
      <c r="C874" s="120"/>
      <c r="D874" s="121"/>
      <c r="E874" s="121"/>
      <c r="F874" s="92"/>
      <c r="G874" s="92"/>
      <c r="H874" s="122"/>
      <c r="I874" s="68" t="str">
        <f>IFERROR(MID(作者统计[[#This Row],[作者]],FIND("[",作者统计[[#This Row],[作者]],1)+1,FIND("]",作者统计[[#This Row],[作者]],1)-FIND("[",作者统计[[#This Row],[作者]],1)-1),"")</f>
        <v/>
      </c>
      <c r="J874" s="68" t="str">
        <f>IFERROR(MID(作者统计[[#This Row],[作者]],FIND("(",作者统计[[#This Row],[作者]],1)+1,FIND(")",作者统计[[#This Row],[作者]],1)-FIND("(",作者统计[[#This Row],[作者]],1)-1),"")</f>
        <v/>
      </c>
    </row>
    <row r="875" spans="2:10" ht="18" customHeight="1" x14ac:dyDescent="0.25">
      <c r="B875" s="256"/>
      <c r="C875" s="257"/>
      <c r="D875" s="258"/>
      <c r="E875" s="258"/>
      <c r="F875" s="259"/>
      <c r="G875" s="259"/>
      <c r="H875" s="260"/>
      <c r="I875" s="261" t="str">
        <f>IFERROR(MID(作者统计[[#This Row],[作者]],FIND("[",作者统计[[#This Row],[作者]],1)+1,FIND("]",作者统计[[#This Row],[作者]],1)-FIND("[",作者统计[[#This Row],[作者]],1)-1),"")</f>
        <v/>
      </c>
      <c r="J875" s="261" t="str">
        <f>IFERROR(MID(作者统计[[#This Row],[作者]],FIND("(",作者统计[[#This Row],[作者]],1)+1,FIND(")",作者统计[[#This Row],[作者]],1)-FIND("(",作者统计[[#This Row],[作者]],1)-1),"")</f>
        <v/>
      </c>
    </row>
    <row r="876" spans="2:10" ht="18" customHeight="1" x14ac:dyDescent="0.25">
      <c r="B876" s="85"/>
      <c r="C876" s="120"/>
      <c r="D876" s="121"/>
      <c r="E876" s="121"/>
      <c r="F876" s="92"/>
      <c r="G876" s="92"/>
      <c r="H876" s="122"/>
      <c r="I876" s="68" t="str">
        <f>IFERROR(MID(作者统计[[#This Row],[作者]],FIND("[",作者统计[[#This Row],[作者]],1)+1,FIND("]",作者统计[[#This Row],[作者]],1)-FIND("[",作者统计[[#This Row],[作者]],1)-1),"")</f>
        <v/>
      </c>
      <c r="J876" s="68" t="str">
        <f>IFERROR(MID(作者统计[[#This Row],[作者]],FIND("(",作者统计[[#This Row],[作者]],1)+1,FIND(")",作者统计[[#This Row],[作者]],1)-FIND("(",作者统计[[#This Row],[作者]],1)-1),"")</f>
        <v/>
      </c>
    </row>
    <row r="877" spans="2:10" ht="18" customHeight="1" x14ac:dyDescent="0.25">
      <c r="B877" s="309"/>
      <c r="C877" s="120"/>
      <c r="D877" s="121"/>
      <c r="E877" s="121"/>
      <c r="F877" s="92"/>
      <c r="G877" s="92"/>
      <c r="H877" s="122"/>
      <c r="I877" s="68" t="str">
        <f>IFERROR(MID(作者统计[[#This Row],[作者]],FIND("[",作者统计[[#This Row],[作者]],1)+1,FIND("]",作者统计[[#This Row],[作者]],1)-FIND("[",作者统计[[#This Row],[作者]],1)-1),"")</f>
        <v/>
      </c>
      <c r="J877" s="68" t="str">
        <f>IFERROR(MID(作者统计[[#This Row],[作者]],FIND("(",作者统计[[#This Row],[作者]],1)+1,FIND(")",作者统计[[#This Row],[作者]],1)-FIND("(",作者统计[[#This Row],[作者]],1)-1),"")</f>
        <v/>
      </c>
    </row>
    <row r="878" spans="2:10" ht="18" customHeight="1" x14ac:dyDescent="0.25">
      <c r="B878" s="85"/>
      <c r="C878" s="120"/>
      <c r="D878" s="121"/>
      <c r="E878" s="121"/>
      <c r="F878" s="92"/>
      <c r="G878" s="92"/>
      <c r="H878" s="122"/>
      <c r="I878" s="68" t="str">
        <f>IFERROR(MID(作者统计[[#This Row],[作者]],FIND("[",作者统计[[#This Row],[作者]],1)+1,FIND("]",作者统计[[#This Row],[作者]],1)-FIND("[",作者统计[[#This Row],[作者]],1)-1),"")</f>
        <v/>
      </c>
      <c r="J878" s="68" t="str">
        <f>IFERROR(MID(作者统计[[#This Row],[作者]],FIND("(",作者统计[[#This Row],[作者]],1)+1,FIND(")",作者统计[[#This Row],[作者]],1)-FIND("(",作者统计[[#This Row],[作者]],1)-1),"")</f>
        <v/>
      </c>
    </row>
    <row r="879" spans="2:10" ht="18" customHeight="1" x14ac:dyDescent="0.25">
      <c r="B879" s="85"/>
      <c r="C879" s="120"/>
      <c r="D879" s="121"/>
      <c r="E879" s="121"/>
      <c r="F879" s="92"/>
      <c r="G879" s="92"/>
      <c r="H879" s="122"/>
      <c r="I879" s="68" t="str">
        <f>IFERROR(MID(作者统计[[#This Row],[作者]],FIND("[",作者统计[[#This Row],[作者]],1)+1,FIND("]",作者统计[[#This Row],[作者]],1)-FIND("[",作者统计[[#This Row],[作者]],1)-1),"")</f>
        <v/>
      </c>
      <c r="J879" s="68" t="str">
        <f>IFERROR(MID(作者统计[[#This Row],[作者]],FIND("(",作者统计[[#This Row],[作者]],1)+1,FIND(")",作者统计[[#This Row],[作者]],1)-FIND("(",作者统计[[#This Row],[作者]],1)-1),"")</f>
        <v/>
      </c>
    </row>
    <row r="880" spans="2:10" ht="18" customHeight="1" x14ac:dyDescent="0.25">
      <c r="B880" s="85"/>
      <c r="C880" s="120"/>
      <c r="D880" s="121"/>
      <c r="E880" s="121"/>
      <c r="F880" s="92"/>
      <c r="G880" s="92"/>
      <c r="H880" s="122"/>
      <c r="I880" s="68" t="str">
        <f>IFERROR(MID(作者统计[[#This Row],[作者]],FIND("[",作者统计[[#This Row],[作者]],1)+1,FIND("]",作者统计[[#This Row],[作者]],1)-FIND("[",作者统计[[#This Row],[作者]],1)-1),"")</f>
        <v/>
      </c>
      <c r="J880" s="68" t="str">
        <f>IFERROR(MID(作者统计[[#This Row],[作者]],FIND("(",作者统计[[#This Row],[作者]],1)+1,FIND(")",作者统计[[#This Row],[作者]],1)-FIND("(",作者统计[[#This Row],[作者]],1)-1),"")</f>
        <v/>
      </c>
    </row>
    <row r="881" spans="2:10" ht="18" customHeight="1" x14ac:dyDescent="0.25">
      <c r="B881" s="256"/>
      <c r="C881" s="257"/>
      <c r="D881" s="258"/>
      <c r="E881" s="258"/>
      <c r="F881" s="259"/>
      <c r="G881" s="259"/>
      <c r="H881" s="260"/>
      <c r="I881" s="261" t="str">
        <f>IFERROR(MID(作者统计[[#This Row],[作者]],FIND("[",作者统计[[#This Row],[作者]],1)+1,FIND("]",作者统计[[#This Row],[作者]],1)-FIND("[",作者统计[[#This Row],[作者]],1)-1),"")</f>
        <v/>
      </c>
      <c r="J881" s="261" t="str">
        <f>IFERROR(MID(作者统计[[#This Row],[作者]],FIND("(",作者统计[[#This Row],[作者]],1)+1,FIND(")",作者统计[[#This Row],[作者]],1)-FIND("(",作者统计[[#This Row],[作者]],1)-1),"")</f>
        <v/>
      </c>
    </row>
    <row r="882" spans="2:10" ht="18" customHeight="1" x14ac:dyDescent="0.25">
      <c r="B882" s="256"/>
      <c r="C882" s="257"/>
      <c r="D882" s="258"/>
      <c r="E882" s="258"/>
      <c r="F882" s="259"/>
      <c r="G882" s="259"/>
      <c r="H882" s="260"/>
      <c r="I882" s="261" t="str">
        <f>IFERROR(MID(作者统计[[#This Row],[作者]],FIND("[",作者统计[[#This Row],[作者]],1)+1,FIND("]",作者统计[[#This Row],[作者]],1)-FIND("[",作者统计[[#This Row],[作者]],1)-1),"")</f>
        <v/>
      </c>
      <c r="J882" s="261" t="str">
        <f>IFERROR(MID(作者统计[[#This Row],[作者]],FIND("(",作者统计[[#This Row],[作者]],1)+1,FIND(")",作者统计[[#This Row],[作者]],1)-FIND("(",作者统计[[#This Row],[作者]],1)-1),"")</f>
        <v/>
      </c>
    </row>
    <row r="883" spans="2:10" ht="18" customHeight="1" x14ac:dyDescent="0.25">
      <c r="B883" s="85"/>
      <c r="C883" s="120"/>
      <c r="D883" s="121"/>
      <c r="E883" s="121"/>
      <c r="F883" s="92"/>
      <c r="G883" s="92"/>
      <c r="H883" s="122"/>
      <c r="I883" s="68" t="str">
        <f>IFERROR(MID(作者统计[[#This Row],[作者]],FIND("[",作者统计[[#This Row],[作者]],1)+1,FIND("]",作者统计[[#This Row],[作者]],1)-FIND("[",作者统计[[#This Row],[作者]],1)-1),"")</f>
        <v/>
      </c>
      <c r="J883" s="68" t="str">
        <f>IFERROR(MID(作者统计[[#This Row],[作者]],FIND("(",作者统计[[#This Row],[作者]],1)+1,FIND(")",作者统计[[#This Row],[作者]],1)-FIND("(",作者统计[[#This Row],[作者]],1)-1),"")</f>
        <v/>
      </c>
    </row>
    <row r="884" spans="2:10" ht="18" customHeight="1" x14ac:dyDescent="0.25">
      <c r="B884" s="309"/>
      <c r="C884" s="120"/>
      <c r="D884" s="121"/>
      <c r="E884" s="121"/>
      <c r="F884" s="92"/>
      <c r="G884" s="92"/>
      <c r="H884" s="122"/>
      <c r="I884" s="68" t="str">
        <f>IFERROR(MID(作者统计[[#This Row],[作者]],FIND("[",作者统计[[#This Row],[作者]],1)+1,FIND("]",作者统计[[#This Row],[作者]],1)-FIND("[",作者统计[[#This Row],[作者]],1)-1),"")</f>
        <v/>
      </c>
      <c r="J884" s="68" t="str">
        <f>IFERROR(MID(作者统计[[#This Row],[作者]],FIND("(",作者统计[[#This Row],[作者]],1)+1,FIND(")",作者统计[[#This Row],[作者]],1)-FIND("(",作者统计[[#This Row],[作者]],1)-1),"")</f>
        <v/>
      </c>
    </row>
    <row r="885" spans="2:10" ht="18" customHeight="1" x14ac:dyDescent="0.25">
      <c r="B885" s="309"/>
      <c r="C885" s="120"/>
      <c r="D885" s="121"/>
      <c r="E885" s="121"/>
      <c r="F885" s="92"/>
      <c r="G885" s="92"/>
      <c r="H885" s="122"/>
      <c r="I885" s="68" t="str">
        <f>IFERROR(MID(作者统计[[#This Row],[作者]],FIND("[",作者统计[[#This Row],[作者]],1)+1,FIND("]",作者统计[[#This Row],[作者]],1)-FIND("[",作者统计[[#This Row],[作者]],1)-1),"")</f>
        <v/>
      </c>
      <c r="J885" s="68" t="str">
        <f>IFERROR(MID(作者统计[[#This Row],[作者]],FIND("(",作者统计[[#This Row],[作者]],1)+1,FIND(")",作者统计[[#This Row],[作者]],1)-FIND("(",作者统计[[#This Row],[作者]],1)-1),"")</f>
        <v/>
      </c>
    </row>
    <row r="886" spans="2:10" ht="18" customHeight="1" x14ac:dyDescent="0.25">
      <c r="B886" s="85"/>
      <c r="C886" s="120"/>
      <c r="D886" s="121"/>
      <c r="E886" s="121"/>
      <c r="F886" s="92"/>
      <c r="G886" s="92"/>
      <c r="H886" s="122"/>
      <c r="I886" s="68" t="str">
        <f>IFERROR(MID(作者统计[[#This Row],[作者]],FIND("[",作者统计[[#This Row],[作者]],1)+1,FIND("]",作者统计[[#This Row],[作者]],1)-FIND("[",作者统计[[#This Row],[作者]],1)-1),"")</f>
        <v/>
      </c>
      <c r="J886" s="68" t="str">
        <f>IFERROR(MID(作者统计[[#This Row],[作者]],FIND("(",作者统计[[#This Row],[作者]],1)+1,FIND(")",作者统计[[#This Row],[作者]],1)-FIND("(",作者统计[[#This Row],[作者]],1)-1),"")</f>
        <v/>
      </c>
    </row>
    <row r="887" spans="2:10" ht="18" customHeight="1" x14ac:dyDescent="0.25">
      <c r="B887" s="85"/>
      <c r="C887" s="120"/>
      <c r="D887" s="121"/>
      <c r="E887" s="121"/>
      <c r="F887" s="92"/>
      <c r="G887" s="92"/>
      <c r="H887" s="122"/>
      <c r="I887" s="68" t="str">
        <f>IFERROR(MID(作者统计[[#This Row],[作者]],FIND("[",作者统计[[#This Row],[作者]],1)+1,FIND("]",作者统计[[#This Row],[作者]],1)-FIND("[",作者统计[[#This Row],[作者]],1)-1),"")</f>
        <v/>
      </c>
      <c r="J887" s="68" t="str">
        <f>IFERROR(MID(作者统计[[#This Row],[作者]],FIND("(",作者统计[[#This Row],[作者]],1)+1,FIND(")",作者统计[[#This Row],[作者]],1)-FIND("(",作者统计[[#This Row],[作者]],1)-1),"")</f>
        <v/>
      </c>
    </row>
    <row r="888" spans="2:10" ht="18" customHeight="1" x14ac:dyDescent="0.25">
      <c r="B888" s="309"/>
      <c r="C888" s="120"/>
      <c r="D888" s="121"/>
      <c r="E888" s="121"/>
      <c r="F888" s="92"/>
      <c r="G888" s="92"/>
      <c r="H888" s="122"/>
      <c r="I888" s="68" t="str">
        <f>IFERROR(MID(作者统计[[#This Row],[作者]],FIND("[",作者统计[[#This Row],[作者]],1)+1,FIND("]",作者统计[[#This Row],[作者]],1)-FIND("[",作者统计[[#This Row],[作者]],1)-1),"")</f>
        <v/>
      </c>
      <c r="J888" s="68" t="str">
        <f>IFERROR(MID(作者统计[[#This Row],[作者]],FIND("(",作者统计[[#This Row],[作者]],1)+1,FIND(")",作者统计[[#This Row],[作者]],1)-FIND("(",作者统计[[#This Row],[作者]],1)-1),"")</f>
        <v/>
      </c>
    </row>
    <row r="889" spans="2:10" ht="18" customHeight="1" x14ac:dyDescent="0.25">
      <c r="B889" s="309"/>
      <c r="C889" s="120"/>
      <c r="D889" s="121"/>
      <c r="E889" s="121"/>
      <c r="F889" s="92"/>
      <c r="G889" s="92"/>
      <c r="H889" s="122"/>
      <c r="I889" s="68" t="str">
        <f>IFERROR(MID(作者统计[[#This Row],[作者]],FIND("[",作者统计[[#This Row],[作者]],1)+1,FIND("]",作者统计[[#This Row],[作者]],1)-FIND("[",作者统计[[#This Row],[作者]],1)-1),"")</f>
        <v/>
      </c>
      <c r="J889" s="68" t="str">
        <f>IFERROR(MID(作者统计[[#This Row],[作者]],FIND("(",作者统计[[#This Row],[作者]],1)+1,FIND(")",作者统计[[#This Row],[作者]],1)-FIND("(",作者统计[[#This Row],[作者]],1)-1),"")</f>
        <v/>
      </c>
    </row>
    <row r="890" spans="2:10" ht="18" customHeight="1" x14ac:dyDescent="0.25">
      <c r="B890" s="309"/>
      <c r="C890" s="120"/>
      <c r="D890" s="121"/>
      <c r="E890" s="121"/>
      <c r="F890" s="92"/>
      <c r="G890" s="92"/>
      <c r="H890" s="122"/>
      <c r="I890" s="68" t="str">
        <f>IFERROR(MID(作者统计[[#This Row],[作者]],FIND("[",作者统计[[#This Row],[作者]],1)+1,FIND("]",作者统计[[#This Row],[作者]],1)-FIND("[",作者统计[[#This Row],[作者]],1)-1),"")</f>
        <v/>
      </c>
      <c r="J890" s="68" t="str">
        <f>IFERROR(MID(作者统计[[#This Row],[作者]],FIND("(",作者统计[[#This Row],[作者]],1)+1,FIND(")",作者统计[[#This Row],[作者]],1)-FIND("(",作者统计[[#This Row],[作者]],1)-1),"")</f>
        <v/>
      </c>
    </row>
    <row r="891" spans="2:10" ht="18" customHeight="1" x14ac:dyDescent="0.25">
      <c r="B891" s="256"/>
      <c r="C891" s="257"/>
      <c r="D891" s="258"/>
      <c r="E891" s="258"/>
      <c r="F891" s="259"/>
      <c r="G891" s="259"/>
      <c r="H891" s="260"/>
      <c r="I891" s="261" t="str">
        <f>IFERROR(MID(作者统计[[#This Row],[作者]],FIND("[",作者统计[[#This Row],[作者]],1)+1,FIND("]",作者统计[[#This Row],[作者]],1)-FIND("[",作者统计[[#This Row],[作者]],1)-1),"")</f>
        <v/>
      </c>
      <c r="J891" s="261" t="str">
        <f>IFERROR(MID(作者统计[[#This Row],[作者]],FIND("(",作者统计[[#This Row],[作者]],1)+1,FIND(")",作者统计[[#This Row],[作者]],1)-FIND("(",作者统计[[#This Row],[作者]],1)-1),"")</f>
        <v/>
      </c>
    </row>
    <row r="892" spans="2:10" ht="18" customHeight="1" x14ac:dyDescent="0.25">
      <c r="B892" s="85"/>
      <c r="C892" s="120"/>
      <c r="D892" s="121"/>
      <c r="E892" s="121"/>
      <c r="F892" s="92"/>
      <c r="G892" s="92"/>
      <c r="H892" s="122"/>
      <c r="I892" s="68" t="str">
        <f>IFERROR(MID(作者统计[[#This Row],[作者]],FIND("[",作者统计[[#This Row],[作者]],1)+1,FIND("]",作者统计[[#This Row],[作者]],1)-FIND("[",作者统计[[#This Row],[作者]],1)-1),"")</f>
        <v/>
      </c>
      <c r="J892" s="68" t="str">
        <f>IFERROR(MID(作者统计[[#This Row],[作者]],FIND("(",作者统计[[#This Row],[作者]],1)+1,FIND(")",作者统计[[#This Row],[作者]],1)-FIND("(",作者统计[[#This Row],[作者]],1)-1),"")</f>
        <v/>
      </c>
    </row>
    <row r="893" spans="2:10" ht="18" customHeight="1" x14ac:dyDescent="0.25">
      <c r="B893" s="256"/>
      <c r="C893" s="257"/>
      <c r="D893" s="258"/>
      <c r="E893" s="258"/>
      <c r="F893" s="259"/>
      <c r="G893" s="259"/>
      <c r="H893" s="260"/>
      <c r="I893" s="261" t="str">
        <f>IFERROR(MID(作者统计[[#This Row],[作者]],FIND("[",作者统计[[#This Row],[作者]],1)+1,FIND("]",作者统计[[#This Row],[作者]],1)-FIND("[",作者统计[[#This Row],[作者]],1)-1),"")</f>
        <v/>
      </c>
      <c r="J893" s="261" t="str">
        <f>IFERROR(MID(作者统计[[#This Row],[作者]],FIND("(",作者统计[[#This Row],[作者]],1)+1,FIND(")",作者统计[[#This Row],[作者]],1)-FIND("(",作者统计[[#This Row],[作者]],1)-1),"")</f>
        <v/>
      </c>
    </row>
    <row r="894" spans="2:10" ht="18" customHeight="1" x14ac:dyDescent="0.25">
      <c r="B894" s="309"/>
      <c r="C894" s="120"/>
      <c r="D894" s="121"/>
      <c r="E894" s="121"/>
      <c r="F894" s="92"/>
      <c r="G894" s="92"/>
      <c r="H894" s="122"/>
      <c r="I894" s="68" t="str">
        <f>IFERROR(MID(作者统计[[#This Row],[作者]],FIND("[",作者统计[[#This Row],[作者]],1)+1,FIND("]",作者统计[[#This Row],[作者]],1)-FIND("[",作者统计[[#This Row],[作者]],1)-1),"")</f>
        <v/>
      </c>
      <c r="J894" s="68" t="str">
        <f>IFERROR(MID(作者统计[[#This Row],[作者]],FIND("(",作者统计[[#This Row],[作者]],1)+1,FIND(")",作者统计[[#This Row],[作者]],1)-FIND("(",作者统计[[#This Row],[作者]],1)-1),"")</f>
        <v/>
      </c>
    </row>
    <row r="895" spans="2:10" ht="18" customHeight="1" x14ac:dyDescent="0.25">
      <c r="B895" s="309"/>
      <c r="C895" s="120"/>
      <c r="D895" s="121"/>
      <c r="E895" s="121"/>
      <c r="F895" s="92"/>
      <c r="G895" s="92"/>
      <c r="H895" s="122"/>
      <c r="I895" s="68" t="str">
        <f>IFERROR(MID(作者统计[[#This Row],[作者]],FIND("[",作者统计[[#This Row],[作者]],1)+1,FIND("]",作者统计[[#This Row],[作者]],1)-FIND("[",作者统计[[#This Row],[作者]],1)-1),"")</f>
        <v/>
      </c>
      <c r="J895" s="68" t="str">
        <f>IFERROR(MID(作者统计[[#This Row],[作者]],FIND("(",作者统计[[#This Row],[作者]],1)+1,FIND(")",作者统计[[#This Row],[作者]],1)-FIND("(",作者统计[[#This Row],[作者]],1)-1),"")</f>
        <v/>
      </c>
    </row>
    <row r="896" spans="2:10" ht="18" customHeight="1" x14ac:dyDescent="0.25">
      <c r="B896" s="85"/>
      <c r="C896" s="120"/>
      <c r="D896" s="121"/>
      <c r="E896" s="121"/>
      <c r="F896" s="92"/>
      <c r="G896" s="92"/>
      <c r="H896" s="122"/>
      <c r="I896" s="68" t="str">
        <f>IFERROR(MID(作者统计[[#This Row],[作者]],FIND("[",作者统计[[#This Row],[作者]],1)+1,FIND("]",作者统计[[#This Row],[作者]],1)-FIND("[",作者统计[[#This Row],[作者]],1)-1),"")</f>
        <v/>
      </c>
      <c r="J896" s="68" t="str">
        <f>IFERROR(MID(作者统计[[#This Row],[作者]],FIND("(",作者统计[[#This Row],[作者]],1)+1,FIND(")",作者统计[[#This Row],[作者]],1)-FIND("(",作者统计[[#This Row],[作者]],1)-1),"")</f>
        <v/>
      </c>
    </row>
    <row r="897" spans="2:10" ht="18" customHeight="1" x14ac:dyDescent="0.25">
      <c r="B897" s="256"/>
      <c r="C897" s="257"/>
      <c r="D897" s="258"/>
      <c r="E897" s="258"/>
      <c r="F897" s="259"/>
      <c r="G897" s="259"/>
      <c r="H897" s="260"/>
      <c r="I897" s="261" t="str">
        <f>IFERROR(MID(作者统计[[#This Row],[作者]],FIND("[",作者统计[[#This Row],[作者]],1)+1,FIND("]",作者统计[[#This Row],[作者]],1)-FIND("[",作者统计[[#This Row],[作者]],1)-1),"")</f>
        <v/>
      </c>
      <c r="J897" s="261" t="str">
        <f>IFERROR(MID(作者统计[[#This Row],[作者]],FIND("(",作者统计[[#This Row],[作者]],1)+1,FIND(")",作者统计[[#This Row],[作者]],1)-FIND("(",作者统计[[#This Row],[作者]],1)-1),"")</f>
        <v/>
      </c>
    </row>
    <row r="898" spans="2:10" ht="18" customHeight="1" x14ac:dyDescent="0.25">
      <c r="B898" s="85"/>
      <c r="C898" s="120"/>
      <c r="D898" s="121"/>
      <c r="E898" s="121"/>
      <c r="F898" s="92"/>
      <c r="G898" s="92"/>
      <c r="H898" s="122"/>
      <c r="I898" s="68" t="str">
        <f>IFERROR(MID(作者统计[[#This Row],[作者]],FIND("[",作者统计[[#This Row],[作者]],1)+1,FIND("]",作者统计[[#This Row],[作者]],1)-FIND("[",作者统计[[#This Row],[作者]],1)-1),"")</f>
        <v/>
      </c>
      <c r="J898" s="68" t="str">
        <f>IFERROR(MID(作者统计[[#This Row],[作者]],FIND("(",作者统计[[#This Row],[作者]],1)+1,FIND(")",作者统计[[#This Row],[作者]],1)-FIND("(",作者统计[[#This Row],[作者]],1)-1),"")</f>
        <v/>
      </c>
    </row>
    <row r="899" spans="2:10" ht="18" customHeight="1" x14ac:dyDescent="0.25">
      <c r="B899" s="85"/>
      <c r="C899" s="120"/>
      <c r="D899" s="121"/>
      <c r="E899" s="121"/>
      <c r="F899" s="92"/>
      <c r="G899" s="92"/>
      <c r="H899" s="122"/>
      <c r="I899" s="68" t="str">
        <f>IFERROR(MID(作者统计[[#This Row],[作者]],FIND("[",作者统计[[#This Row],[作者]],1)+1,FIND("]",作者统计[[#This Row],[作者]],1)-FIND("[",作者统计[[#This Row],[作者]],1)-1),"")</f>
        <v/>
      </c>
      <c r="J899" s="68" t="str">
        <f>IFERROR(MID(作者统计[[#This Row],[作者]],FIND("(",作者统计[[#This Row],[作者]],1)+1,FIND(")",作者统计[[#This Row],[作者]],1)-FIND("(",作者统计[[#This Row],[作者]],1)-1),"")</f>
        <v/>
      </c>
    </row>
    <row r="900" spans="2:10" ht="18" customHeight="1" x14ac:dyDescent="0.25">
      <c r="B900" s="309"/>
      <c r="C900" s="120"/>
      <c r="D900" s="121"/>
      <c r="E900" s="121"/>
      <c r="F900" s="92"/>
      <c r="G900" s="92"/>
      <c r="H900" s="122"/>
      <c r="I900" s="68" t="str">
        <f>IFERROR(MID(作者统计[[#This Row],[作者]],FIND("[",作者统计[[#This Row],[作者]],1)+1,FIND("]",作者统计[[#This Row],[作者]],1)-FIND("[",作者统计[[#This Row],[作者]],1)-1),"")</f>
        <v/>
      </c>
      <c r="J900" s="68" t="str">
        <f>IFERROR(MID(作者统计[[#This Row],[作者]],FIND("(",作者统计[[#This Row],[作者]],1)+1,FIND(")",作者统计[[#This Row],[作者]],1)-FIND("(",作者统计[[#This Row],[作者]],1)-1),"")</f>
        <v/>
      </c>
    </row>
    <row r="901" spans="2:10" ht="18" customHeight="1" x14ac:dyDescent="0.25">
      <c r="B901" s="256"/>
      <c r="C901" s="257"/>
      <c r="D901" s="258"/>
      <c r="E901" s="258"/>
      <c r="F901" s="259"/>
      <c r="G901" s="259"/>
      <c r="H901" s="260"/>
      <c r="I901" s="261" t="str">
        <f>IFERROR(MID(作者统计[[#This Row],[作者]],FIND("[",作者统计[[#This Row],[作者]],1)+1,FIND("]",作者统计[[#This Row],[作者]],1)-FIND("[",作者统计[[#This Row],[作者]],1)-1),"")</f>
        <v/>
      </c>
      <c r="J901" s="261" t="str">
        <f>IFERROR(MID(作者统计[[#This Row],[作者]],FIND("(",作者统计[[#This Row],[作者]],1)+1,FIND(")",作者统计[[#This Row],[作者]],1)-FIND("(",作者统计[[#This Row],[作者]],1)-1),"")</f>
        <v/>
      </c>
    </row>
    <row r="902" spans="2:10" ht="18" customHeight="1" x14ac:dyDescent="0.25">
      <c r="B902" s="256"/>
      <c r="C902" s="257"/>
      <c r="D902" s="258"/>
      <c r="E902" s="258"/>
      <c r="F902" s="259"/>
      <c r="G902" s="259"/>
      <c r="H902" s="260"/>
      <c r="I902" s="261" t="str">
        <f>IFERROR(MID(作者统计[[#This Row],[作者]],FIND("[",作者统计[[#This Row],[作者]],1)+1,FIND("]",作者统计[[#This Row],[作者]],1)-FIND("[",作者统计[[#This Row],[作者]],1)-1),"")</f>
        <v/>
      </c>
      <c r="J902" s="261" t="str">
        <f>IFERROR(MID(作者统计[[#This Row],[作者]],FIND("(",作者统计[[#This Row],[作者]],1)+1,FIND(")",作者统计[[#This Row],[作者]],1)-FIND("(",作者统计[[#This Row],[作者]],1)-1),"")</f>
        <v/>
      </c>
    </row>
    <row r="903" spans="2:10" ht="18" customHeight="1" x14ac:dyDescent="0.25">
      <c r="B903" s="256"/>
      <c r="C903" s="257"/>
      <c r="D903" s="258"/>
      <c r="E903" s="258"/>
      <c r="F903" s="259"/>
      <c r="G903" s="259"/>
      <c r="H903" s="260"/>
      <c r="I903" s="261" t="str">
        <f>IFERROR(MID(作者统计[[#This Row],[作者]],FIND("[",作者统计[[#This Row],[作者]],1)+1,FIND("]",作者统计[[#This Row],[作者]],1)-FIND("[",作者统计[[#This Row],[作者]],1)-1),"")</f>
        <v/>
      </c>
      <c r="J903" s="261" t="str">
        <f>IFERROR(MID(作者统计[[#This Row],[作者]],FIND("(",作者统计[[#This Row],[作者]],1)+1,FIND(")",作者统计[[#This Row],[作者]],1)-FIND("(",作者统计[[#This Row],[作者]],1)-1),"")</f>
        <v/>
      </c>
    </row>
    <row r="904" spans="2:10" ht="18" customHeight="1" x14ac:dyDescent="0.25">
      <c r="B904" s="256"/>
      <c r="C904" s="257"/>
      <c r="D904" s="258"/>
      <c r="E904" s="258"/>
      <c r="F904" s="259"/>
      <c r="G904" s="259"/>
      <c r="H904" s="260"/>
      <c r="I904" s="261" t="str">
        <f>IFERROR(MID(作者统计[[#This Row],[作者]],FIND("[",作者统计[[#This Row],[作者]],1)+1,FIND("]",作者统计[[#This Row],[作者]],1)-FIND("[",作者统计[[#This Row],[作者]],1)-1),"")</f>
        <v/>
      </c>
      <c r="J904" s="261" t="str">
        <f>IFERROR(MID(作者统计[[#This Row],[作者]],FIND("(",作者统计[[#This Row],[作者]],1)+1,FIND(")",作者统计[[#This Row],[作者]],1)-FIND("(",作者统计[[#This Row],[作者]],1)-1),"")</f>
        <v/>
      </c>
    </row>
    <row r="905" spans="2:10" ht="18" customHeight="1" x14ac:dyDescent="0.25">
      <c r="B905" s="256"/>
      <c r="C905" s="257"/>
      <c r="D905" s="258"/>
      <c r="E905" s="258"/>
      <c r="F905" s="259"/>
      <c r="G905" s="259"/>
      <c r="H905" s="260"/>
      <c r="I905" s="261" t="str">
        <f>IFERROR(MID(作者统计[[#This Row],[作者]],FIND("[",作者统计[[#This Row],[作者]],1)+1,FIND("]",作者统计[[#This Row],[作者]],1)-FIND("[",作者统计[[#This Row],[作者]],1)-1),"")</f>
        <v/>
      </c>
      <c r="J905" s="261" t="str">
        <f>IFERROR(MID(作者统计[[#This Row],[作者]],FIND("(",作者统计[[#This Row],[作者]],1)+1,FIND(")",作者统计[[#This Row],[作者]],1)-FIND("(",作者统计[[#This Row],[作者]],1)-1),"")</f>
        <v/>
      </c>
    </row>
    <row r="906" spans="2:10" ht="18" customHeight="1" x14ac:dyDescent="0.25">
      <c r="B906" s="256"/>
      <c r="C906" s="257"/>
      <c r="D906" s="258"/>
      <c r="E906" s="258"/>
      <c r="F906" s="259"/>
      <c r="G906" s="259"/>
      <c r="H906" s="260"/>
      <c r="I906" s="261" t="str">
        <f>IFERROR(MID(作者统计[[#This Row],[作者]],FIND("[",作者统计[[#This Row],[作者]],1)+1,FIND("]",作者统计[[#This Row],[作者]],1)-FIND("[",作者统计[[#This Row],[作者]],1)-1),"")</f>
        <v/>
      </c>
      <c r="J906" s="261" t="str">
        <f>IFERROR(MID(作者统计[[#This Row],[作者]],FIND("(",作者统计[[#This Row],[作者]],1)+1,FIND(")",作者统计[[#This Row],[作者]],1)-FIND("(",作者统计[[#This Row],[作者]],1)-1),"")</f>
        <v/>
      </c>
    </row>
    <row r="907" spans="2:10" ht="18" customHeight="1" x14ac:dyDescent="0.25">
      <c r="B907" s="256"/>
      <c r="C907" s="257"/>
      <c r="D907" s="258"/>
      <c r="E907" s="258"/>
      <c r="F907" s="259"/>
      <c r="G907" s="259"/>
      <c r="H907" s="260"/>
      <c r="I907" s="261" t="str">
        <f>IFERROR(MID(作者统计[[#This Row],[作者]],FIND("[",作者统计[[#This Row],[作者]],1)+1,FIND("]",作者统计[[#This Row],[作者]],1)-FIND("[",作者统计[[#This Row],[作者]],1)-1),"")</f>
        <v/>
      </c>
      <c r="J907" s="261" t="str">
        <f>IFERROR(MID(作者统计[[#This Row],[作者]],FIND("(",作者统计[[#This Row],[作者]],1)+1,FIND(")",作者统计[[#This Row],[作者]],1)-FIND("(",作者统计[[#This Row],[作者]],1)-1),"")</f>
        <v/>
      </c>
    </row>
    <row r="908" spans="2:10" ht="18" customHeight="1" x14ac:dyDescent="0.25">
      <c r="B908" s="309"/>
      <c r="C908" s="120"/>
      <c r="D908" s="121"/>
      <c r="E908" s="121"/>
      <c r="F908" s="92"/>
      <c r="G908" s="92"/>
      <c r="H908" s="122"/>
      <c r="I908" s="68" t="str">
        <f>IFERROR(MID(作者统计[[#This Row],[作者]],FIND("[",作者统计[[#This Row],[作者]],1)+1,FIND("]",作者统计[[#This Row],[作者]],1)-FIND("[",作者统计[[#This Row],[作者]],1)-1),"")</f>
        <v/>
      </c>
      <c r="J908" s="68" t="str">
        <f>IFERROR(MID(作者统计[[#This Row],[作者]],FIND("(",作者统计[[#This Row],[作者]],1)+1,FIND(")",作者统计[[#This Row],[作者]],1)-FIND("(",作者统计[[#This Row],[作者]],1)-1),"")</f>
        <v/>
      </c>
    </row>
    <row r="909" spans="2:10" ht="18" customHeight="1" x14ac:dyDescent="0.25">
      <c r="B909" s="309"/>
      <c r="C909" s="120"/>
      <c r="D909" s="121"/>
      <c r="E909" s="121"/>
      <c r="F909" s="92"/>
      <c r="G909" s="92"/>
      <c r="H909" s="122"/>
      <c r="I909" s="68" t="str">
        <f>IFERROR(MID(作者统计[[#This Row],[作者]],FIND("[",作者统计[[#This Row],[作者]],1)+1,FIND("]",作者统计[[#This Row],[作者]],1)-FIND("[",作者统计[[#This Row],[作者]],1)-1),"")</f>
        <v/>
      </c>
      <c r="J909" s="68" t="str">
        <f>IFERROR(MID(作者统计[[#This Row],[作者]],FIND("(",作者统计[[#This Row],[作者]],1)+1,FIND(")",作者统计[[#This Row],[作者]],1)-FIND("(",作者统计[[#This Row],[作者]],1)-1),"")</f>
        <v/>
      </c>
    </row>
    <row r="910" spans="2:10" ht="18" customHeight="1" x14ac:dyDescent="0.25">
      <c r="B910" s="85"/>
      <c r="C910" s="120"/>
      <c r="D910" s="121"/>
      <c r="E910" s="121"/>
      <c r="F910" s="92"/>
      <c r="G910" s="92"/>
      <c r="H910" s="122"/>
      <c r="I910" s="68" t="str">
        <f>IFERROR(MID(作者统计[[#This Row],[作者]],FIND("[",作者统计[[#This Row],[作者]],1)+1,FIND("]",作者统计[[#This Row],[作者]],1)-FIND("[",作者统计[[#This Row],[作者]],1)-1),"")</f>
        <v/>
      </c>
      <c r="J910" s="68" t="str">
        <f>IFERROR(MID(作者统计[[#This Row],[作者]],FIND("(",作者统计[[#This Row],[作者]],1)+1,FIND(")",作者统计[[#This Row],[作者]],1)-FIND("(",作者统计[[#This Row],[作者]],1)-1),"")</f>
        <v/>
      </c>
    </row>
    <row r="911" spans="2:10" ht="18" customHeight="1" x14ac:dyDescent="0.25">
      <c r="B911" s="256"/>
      <c r="C911" s="257"/>
      <c r="D911" s="258"/>
      <c r="E911" s="258"/>
      <c r="F911" s="259"/>
      <c r="G911" s="259"/>
      <c r="H911" s="260"/>
      <c r="I911" s="261" t="str">
        <f>IFERROR(MID(作者统计[[#This Row],[作者]],FIND("[",作者统计[[#This Row],[作者]],1)+1,FIND("]",作者统计[[#This Row],[作者]],1)-FIND("[",作者统计[[#This Row],[作者]],1)-1),"")</f>
        <v/>
      </c>
      <c r="J911" s="261" t="str">
        <f>IFERROR(MID(作者统计[[#This Row],[作者]],FIND("(",作者统计[[#This Row],[作者]],1)+1,FIND(")",作者统计[[#This Row],[作者]],1)-FIND("(",作者统计[[#This Row],[作者]],1)-1),"")</f>
        <v/>
      </c>
    </row>
    <row r="912" spans="2:10" ht="18" customHeight="1" x14ac:dyDescent="0.25">
      <c r="B912" s="256"/>
      <c r="C912" s="257"/>
      <c r="D912" s="258"/>
      <c r="E912" s="258"/>
      <c r="F912" s="259"/>
      <c r="G912" s="259"/>
      <c r="H912" s="260"/>
      <c r="I912" s="261" t="str">
        <f>IFERROR(MID(作者统计[[#This Row],[作者]],FIND("[",作者统计[[#This Row],[作者]],1)+1,FIND("]",作者统计[[#This Row],[作者]],1)-FIND("[",作者统计[[#This Row],[作者]],1)-1),"")</f>
        <v/>
      </c>
      <c r="J912" s="261" t="str">
        <f>IFERROR(MID(作者统计[[#This Row],[作者]],FIND("(",作者统计[[#This Row],[作者]],1)+1,FIND(")",作者统计[[#This Row],[作者]],1)-FIND("(",作者统计[[#This Row],[作者]],1)-1),"")</f>
        <v/>
      </c>
    </row>
    <row r="913" spans="2:10" ht="18" customHeight="1" x14ac:dyDescent="0.25">
      <c r="B913" s="85"/>
      <c r="C913" s="120"/>
      <c r="D913" s="121"/>
      <c r="E913" s="121"/>
      <c r="F913" s="92"/>
      <c r="G913" s="92"/>
      <c r="H913" s="122"/>
      <c r="I913" s="68" t="str">
        <f>IFERROR(MID(作者统计[[#This Row],[作者]],FIND("[",作者统计[[#This Row],[作者]],1)+1,FIND("]",作者统计[[#This Row],[作者]],1)-FIND("[",作者统计[[#This Row],[作者]],1)-1),"")</f>
        <v/>
      </c>
      <c r="J913" s="68" t="str">
        <f>IFERROR(MID(作者统计[[#This Row],[作者]],FIND("(",作者统计[[#This Row],[作者]],1)+1,FIND(")",作者统计[[#This Row],[作者]],1)-FIND("(",作者统计[[#This Row],[作者]],1)-1),"")</f>
        <v/>
      </c>
    </row>
    <row r="914" spans="2:10" ht="18" customHeight="1" x14ac:dyDescent="0.25">
      <c r="B914" s="256"/>
      <c r="C914" s="257"/>
      <c r="D914" s="258"/>
      <c r="E914" s="258"/>
      <c r="F914" s="259"/>
      <c r="G914" s="259"/>
      <c r="H914" s="260"/>
      <c r="I914" s="261" t="str">
        <f>IFERROR(MID(作者统计[[#This Row],[作者]],FIND("[",作者统计[[#This Row],[作者]],1)+1,FIND("]",作者统计[[#This Row],[作者]],1)-FIND("[",作者统计[[#This Row],[作者]],1)-1),"")</f>
        <v/>
      </c>
      <c r="J914" s="261" t="str">
        <f>IFERROR(MID(作者统计[[#This Row],[作者]],FIND("(",作者统计[[#This Row],[作者]],1)+1,FIND(")",作者统计[[#This Row],[作者]],1)-FIND("(",作者统计[[#This Row],[作者]],1)-1),"")</f>
        <v/>
      </c>
    </row>
    <row r="915" spans="2:10" ht="18" customHeight="1" x14ac:dyDescent="0.25">
      <c r="B915" s="309"/>
      <c r="C915" s="120"/>
      <c r="D915" s="121"/>
      <c r="E915" s="121"/>
      <c r="F915" s="92"/>
      <c r="G915" s="92"/>
      <c r="H915" s="122"/>
      <c r="I915" s="68" t="str">
        <f>IFERROR(MID(作者统计[[#This Row],[作者]],FIND("[",作者统计[[#This Row],[作者]],1)+1,FIND("]",作者统计[[#This Row],[作者]],1)-FIND("[",作者统计[[#This Row],[作者]],1)-1),"")</f>
        <v/>
      </c>
      <c r="J915" s="68" t="str">
        <f>IFERROR(MID(作者统计[[#This Row],[作者]],FIND("(",作者统计[[#This Row],[作者]],1)+1,FIND(")",作者统计[[#This Row],[作者]],1)-FIND("(",作者统计[[#This Row],[作者]],1)-1),"")</f>
        <v/>
      </c>
    </row>
    <row r="916" spans="2:10" ht="18" customHeight="1" x14ac:dyDescent="0.25">
      <c r="B916" s="309"/>
      <c r="C916" s="120"/>
      <c r="D916" s="121"/>
      <c r="E916" s="121"/>
      <c r="F916" s="92"/>
      <c r="G916" s="92"/>
      <c r="H916" s="122"/>
      <c r="I916" s="68" t="str">
        <f>IFERROR(MID(作者统计[[#This Row],[作者]],FIND("[",作者统计[[#This Row],[作者]],1)+1,FIND("]",作者统计[[#This Row],[作者]],1)-FIND("[",作者统计[[#This Row],[作者]],1)-1),"")</f>
        <v/>
      </c>
      <c r="J916" s="68" t="str">
        <f>IFERROR(MID(作者统计[[#This Row],[作者]],FIND("(",作者统计[[#This Row],[作者]],1)+1,FIND(")",作者统计[[#This Row],[作者]],1)-FIND("(",作者统计[[#This Row],[作者]],1)-1),"")</f>
        <v/>
      </c>
    </row>
    <row r="917" spans="2:10" ht="18" customHeight="1" x14ac:dyDescent="0.25">
      <c r="B917" s="309"/>
      <c r="C917" s="120"/>
      <c r="D917" s="121"/>
      <c r="E917" s="121"/>
      <c r="F917" s="92"/>
      <c r="G917" s="92"/>
      <c r="H917" s="122"/>
      <c r="I917" s="68" t="str">
        <f>IFERROR(MID(作者统计[[#This Row],[作者]],FIND("[",作者统计[[#This Row],[作者]],1)+1,FIND("]",作者统计[[#This Row],[作者]],1)-FIND("[",作者统计[[#This Row],[作者]],1)-1),"")</f>
        <v/>
      </c>
      <c r="J917" s="68" t="str">
        <f>IFERROR(MID(作者统计[[#This Row],[作者]],FIND("(",作者统计[[#This Row],[作者]],1)+1,FIND(")",作者统计[[#This Row],[作者]],1)-FIND("(",作者统计[[#This Row],[作者]],1)-1),"")</f>
        <v/>
      </c>
    </row>
    <row r="918" spans="2:10" ht="18" customHeight="1" x14ac:dyDescent="0.25">
      <c r="B918" s="309"/>
      <c r="C918" s="120"/>
      <c r="D918" s="121"/>
      <c r="E918" s="121"/>
      <c r="F918" s="92"/>
      <c r="G918" s="92"/>
      <c r="H918" s="122"/>
      <c r="I918" s="68" t="str">
        <f>IFERROR(MID(作者统计[[#This Row],[作者]],FIND("[",作者统计[[#This Row],[作者]],1)+1,FIND("]",作者统计[[#This Row],[作者]],1)-FIND("[",作者统计[[#This Row],[作者]],1)-1),"")</f>
        <v/>
      </c>
      <c r="J918" s="68" t="str">
        <f>IFERROR(MID(作者统计[[#This Row],[作者]],FIND("(",作者统计[[#This Row],[作者]],1)+1,FIND(")",作者统计[[#This Row],[作者]],1)-FIND("(",作者统计[[#This Row],[作者]],1)-1),"")</f>
        <v/>
      </c>
    </row>
    <row r="919" spans="2:10" ht="18" customHeight="1" x14ac:dyDescent="0.25">
      <c r="B919" s="85"/>
      <c r="C919" s="120"/>
      <c r="D919" s="121"/>
      <c r="E919" s="121"/>
      <c r="F919" s="92"/>
      <c r="G919" s="92"/>
      <c r="H919" s="122"/>
      <c r="I919" s="68" t="str">
        <f>IFERROR(MID(作者统计[[#This Row],[作者]],FIND("[",作者统计[[#This Row],[作者]],1)+1,FIND("]",作者统计[[#This Row],[作者]],1)-FIND("[",作者统计[[#This Row],[作者]],1)-1),"")</f>
        <v/>
      </c>
      <c r="J919" s="68" t="str">
        <f>IFERROR(MID(作者统计[[#This Row],[作者]],FIND("(",作者统计[[#This Row],[作者]],1)+1,FIND(")",作者统计[[#This Row],[作者]],1)-FIND("(",作者统计[[#This Row],[作者]],1)-1),"")</f>
        <v/>
      </c>
    </row>
    <row r="920" spans="2:10" ht="18" customHeight="1" x14ac:dyDescent="0.25">
      <c r="B920" s="309"/>
      <c r="C920" s="120"/>
      <c r="D920" s="121"/>
      <c r="E920" s="121"/>
      <c r="F920" s="92"/>
      <c r="G920" s="92"/>
      <c r="H920" s="122"/>
      <c r="I920" s="68" t="str">
        <f>IFERROR(MID(作者统计[[#This Row],[作者]],FIND("[",作者统计[[#This Row],[作者]],1)+1,FIND("]",作者统计[[#This Row],[作者]],1)-FIND("[",作者统计[[#This Row],[作者]],1)-1),"")</f>
        <v/>
      </c>
      <c r="J920" s="68" t="str">
        <f>IFERROR(MID(作者统计[[#This Row],[作者]],FIND("(",作者统计[[#This Row],[作者]],1)+1,FIND(")",作者统计[[#This Row],[作者]],1)-FIND("(",作者统计[[#This Row],[作者]],1)-1),"")</f>
        <v/>
      </c>
    </row>
    <row r="921" spans="2:10" ht="18" customHeight="1" x14ac:dyDescent="0.25">
      <c r="B921" s="256"/>
      <c r="C921" s="257"/>
      <c r="D921" s="258"/>
      <c r="E921" s="258"/>
      <c r="F921" s="259"/>
      <c r="G921" s="259"/>
      <c r="H921" s="260"/>
      <c r="I921" s="261" t="str">
        <f>IFERROR(MID(作者统计[[#This Row],[作者]],FIND("[",作者统计[[#This Row],[作者]],1)+1,FIND("]",作者统计[[#This Row],[作者]],1)-FIND("[",作者统计[[#This Row],[作者]],1)-1),"")</f>
        <v/>
      </c>
      <c r="J921" s="261" t="str">
        <f>IFERROR(MID(作者统计[[#This Row],[作者]],FIND("(",作者统计[[#This Row],[作者]],1)+1,FIND(")",作者统计[[#This Row],[作者]],1)-FIND("(",作者统计[[#This Row],[作者]],1)-1),"")</f>
        <v/>
      </c>
    </row>
    <row r="922" spans="2:10" ht="18" customHeight="1" x14ac:dyDescent="0.25">
      <c r="B922" s="256"/>
      <c r="C922" s="257"/>
      <c r="D922" s="258"/>
      <c r="E922" s="258"/>
      <c r="F922" s="259"/>
      <c r="G922" s="259"/>
      <c r="H922" s="260"/>
      <c r="I922" s="261" t="str">
        <f>IFERROR(MID(作者统计[[#This Row],[作者]],FIND("[",作者统计[[#This Row],[作者]],1)+1,FIND("]",作者统计[[#This Row],[作者]],1)-FIND("[",作者统计[[#This Row],[作者]],1)-1),"")</f>
        <v/>
      </c>
      <c r="J922" s="261" t="str">
        <f>IFERROR(MID(作者统计[[#This Row],[作者]],FIND("(",作者统计[[#This Row],[作者]],1)+1,FIND(")",作者统计[[#This Row],[作者]],1)-FIND("(",作者统计[[#This Row],[作者]],1)-1),"")</f>
        <v/>
      </c>
    </row>
    <row r="923" spans="2:10" ht="18" customHeight="1" x14ac:dyDescent="0.25">
      <c r="B923" s="85"/>
      <c r="C923" s="120"/>
      <c r="D923" s="121"/>
      <c r="E923" s="121"/>
      <c r="F923" s="92"/>
      <c r="G923" s="92"/>
      <c r="H923" s="122"/>
      <c r="I923" s="68" t="str">
        <f>IFERROR(MID(作者统计[[#This Row],[作者]],FIND("[",作者统计[[#This Row],[作者]],1)+1,FIND("]",作者统计[[#This Row],[作者]],1)-FIND("[",作者统计[[#This Row],[作者]],1)-1),"")</f>
        <v/>
      </c>
      <c r="J923" s="68" t="str">
        <f>IFERROR(MID(作者统计[[#This Row],[作者]],FIND("(",作者统计[[#This Row],[作者]],1)+1,FIND(")",作者统计[[#This Row],[作者]],1)-FIND("(",作者统计[[#This Row],[作者]],1)-1),"")</f>
        <v/>
      </c>
    </row>
    <row r="924" spans="2:10" ht="18" customHeight="1" x14ac:dyDescent="0.25">
      <c r="B924" s="256"/>
      <c r="C924" s="257"/>
      <c r="D924" s="258"/>
      <c r="E924" s="258"/>
      <c r="F924" s="259"/>
      <c r="G924" s="259"/>
      <c r="H924" s="260"/>
      <c r="I924" s="261" t="str">
        <f>IFERROR(MID(作者统计[[#This Row],[作者]],FIND("[",作者统计[[#This Row],[作者]],1)+1,FIND("]",作者统计[[#This Row],[作者]],1)-FIND("[",作者统计[[#This Row],[作者]],1)-1),"")</f>
        <v/>
      </c>
      <c r="J924" s="261" t="str">
        <f>IFERROR(MID(作者统计[[#This Row],[作者]],FIND("(",作者统计[[#This Row],[作者]],1)+1,FIND(")",作者统计[[#This Row],[作者]],1)-FIND("(",作者统计[[#This Row],[作者]],1)-1),"")</f>
        <v/>
      </c>
    </row>
    <row r="925" spans="2:10" ht="18" customHeight="1" x14ac:dyDescent="0.25">
      <c r="B925" s="309"/>
      <c r="C925" s="120"/>
      <c r="D925" s="121"/>
      <c r="E925" s="121"/>
      <c r="F925" s="92"/>
      <c r="G925" s="92"/>
      <c r="H925" s="122"/>
      <c r="I925" s="68" t="str">
        <f>IFERROR(MID(作者统计[[#This Row],[作者]],FIND("[",作者统计[[#This Row],[作者]],1)+1,FIND("]",作者统计[[#This Row],[作者]],1)-FIND("[",作者统计[[#This Row],[作者]],1)-1),"")</f>
        <v/>
      </c>
      <c r="J925" s="68" t="str">
        <f>IFERROR(MID(作者统计[[#This Row],[作者]],FIND("(",作者统计[[#This Row],[作者]],1)+1,FIND(")",作者统计[[#This Row],[作者]],1)-FIND("(",作者统计[[#This Row],[作者]],1)-1),"")</f>
        <v/>
      </c>
    </row>
    <row r="926" spans="2:10" ht="18" customHeight="1" x14ac:dyDescent="0.25">
      <c r="B926" s="256"/>
      <c r="C926" s="257"/>
      <c r="D926" s="258"/>
      <c r="E926" s="258"/>
      <c r="F926" s="259"/>
      <c r="G926" s="259"/>
      <c r="H926" s="260"/>
      <c r="I926" s="261" t="str">
        <f>IFERROR(MID(作者统计[[#This Row],[作者]],FIND("[",作者统计[[#This Row],[作者]],1)+1,FIND("]",作者统计[[#This Row],[作者]],1)-FIND("[",作者统计[[#This Row],[作者]],1)-1),"")</f>
        <v/>
      </c>
      <c r="J926" s="261" t="str">
        <f>IFERROR(MID(作者统计[[#This Row],[作者]],FIND("(",作者统计[[#This Row],[作者]],1)+1,FIND(")",作者统计[[#This Row],[作者]],1)-FIND("(",作者统计[[#This Row],[作者]],1)-1),"")</f>
        <v/>
      </c>
    </row>
    <row r="927" spans="2:10" ht="18" customHeight="1" x14ac:dyDescent="0.25">
      <c r="B927" s="309"/>
      <c r="C927" s="120"/>
      <c r="D927" s="121"/>
      <c r="E927" s="121"/>
      <c r="F927" s="92"/>
      <c r="G927" s="92"/>
      <c r="H927" s="122"/>
      <c r="I927" s="68" t="str">
        <f>IFERROR(MID(作者统计[[#This Row],[作者]],FIND("[",作者统计[[#This Row],[作者]],1)+1,FIND("]",作者统计[[#This Row],[作者]],1)-FIND("[",作者统计[[#This Row],[作者]],1)-1),"")</f>
        <v/>
      </c>
      <c r="J927" s="68" t="str">
        <f>IFERROR(MID(作者统计[[#This Row],[作者]],FIND("(",作者统计[[#This Row],[作者]],1)+1,FIND(")",作者统计[[#This Row],[作者]],1)-FIND("(",作者统计[[#This Row],[作者]],1)-1),"")</f>
        <v/>
      </c>
    </row>
    <row r="928" spans="2:10" ht="18" customHeight="1" x14ac:dyDescent="0.25">
      <c r="B928" s="309"/>
      <c r="C928" s="120"/>
      <c r="D928" s="121"/>
      <c r="E928" s="121"/>
      <c r="F928" s="92"/>
      <c r="G928" s="92"/>
      <c r="H928" s="122"/>
      <c r="I928" s="68" t="str">
        <f>IFERROR(MID(作者统计[[#This Row],[作者]],FIND("[",作者统计[[#This Row],[作者]],1)+1,FIND("]",作者统计[[#This Row],[作者]],1)-FIND("[",作者统计[[#This Row],[作者]],1)-1),"")</f>
        <v/>
      </c>
      <c r="J928" s="68" t="str">
        <f>IFERROR(MID(作者统计[[#This Row],[作者]],FIND("(",作者统计[[#This Row],[作者]],1)+1,FIND(")",作者统计[[#This Row],[作者]],1)-FIND("(",作者统计[[#This Row],[作者]],1)-1),"")</f>
        <v/>
      </c>
    </row>
    <row r="929" spans="2:10" ht="18" customHeight="1" x14ac:dyDescent="0.25">
      <c r="B929" s="85"/>
      <c r="C929" s="120"/>
      <c r="D929" s="121"/>
      <c r="E929" s="121"/>
      <c r="F929" s="92"/>
      <c r="G929" s="92"/>
      <c r="H929" s="122"/>
      <c r="I929" s="68" t="str">
        <f>IFERROR(MID(作者统计[[#This Row],[作者]],FIND("[",作者统计[[#This Row],[作者]],1)+1,FIND("]",作者统计[[#This Row],[作者]],1)-FIND("[",作者统计[[#This Row],[作者]],1)-1),"")</f>
        <v/>
      </c>
      <c r="J929" s="68" t="str">
        <f>IFERROR(MID(作者统计[[#This Row],[作者]],FIND("(",作者统计[[#This Row],[作者]],1)+1,FIND(")",作者统计[[#This Row],[作者]],1)-FIND("(",作者统计[[#This Row],[作者]],1)-1),"")</f>
        <v/>
      </c>
    </row>
    <row r="930" spans="2:10" ht="18" customHeight="1" x14ac:dyDescent="0.25">
      <c r="B930" s="309"/>
      <c r="C930" s="120"/>
      <c r="D930" s="121"/>
      <c r="E930" s="121"/>
      <c r="F930" s="92"/>
      <c r="G930" s="92"/>
      <c r="H930" s="122"/>
      <c r="I930" s="68" t="str">
        <f>IFERROR(MID(作者统计[[#This Row],[作者]],FIND("[",作者统计[[#This Row],[作者]],1)+1,FIND("]",作者统计[[#This Row],[作者]],1)-FIND("[",作者统计[[#This Row],[作者]],1)-1),"")</f>
        <v/>
      </c>
      <c r="J930" s="68" t="str">
        <f>IFERROR(MID(作者统计[[#This Row],[作者]],FIND("(",作者统计[[#This Row],[作者]],1)+1,FIND(")",作者统计[[#This Row],[作者]],1)-FIND("(",作者统计[[#This Row],[作者]],1)-1),"")</f>
        <v/>
      </c>
    </row>
    <row r="931" spans="2:10" ht="18" customHeight="1" x14ac:dyDescent="0.25">
      <c r="B931" s="309"/>
      <c r="C931" s="120"/>
      <c r="D931" s="121"/>
      <c r="E931" s="121"/>
      <c r="F931" s="92"/>
      <c r="G931" s="92"/>
      <c r="H931" s="122"/>
      <c r="I931" s="68" t="str">
        <f>IFERROR(MID(作者统计[[#This Row],[作者]],FIND("[",作者统计[[#This Row],[作者]],1)+1,FIND("]",作者统计[[#This Row],[作者]],1)-FIND("[",作者统计[[#This Row],[作者]],1)-1),"")</f>
        <v/>
      </c>
      <c r="J931" s="68" t="str">
        <f>IFERROR(MID(作者统计[[#This Row],[作者]],FIND("(",作者统计[[#This Row],[作者]],1)+1,FIND(")",作者统计[[#This Row],[作者]],1)-FIND("(",作者统计[[#This Row],[作者]],1)-1),"")</f>
        <v/>
      </c>
    </row>
    <row r="932" spans="2:10" ht="18" customHeight="1" x14ac:dyDescent="0.25">
      <c r="B932" s="309"/>
      <c r="C932" s="120"/>
      <c r="D932" s="121"/>
      <c r="E932" s="121"/>
      <c r="F932" s="92"/>
      <c r="G932" s="92"/>
      <c r="H932" s="122"/>
      <c r="I932" s="68" t="str">
        <f>IFERROR(MID(作者统计[[#This Row],[作者]],FIND("[",作者统计[[#This Row],[作者]],1)+1,FIND("]",作者统计[[#This Row],[作者]],1)-FIND("[",作者统计[[#This Row],[作者]],1)-1),"")</f>
        <v/>
      </c>
      <c r="J932" s="68" t="str">
        <f>IFERROR(MID(作者统计[[#This Row],[作者]],FIND("(",作者统计[[#This Row],[作者]],1)+1,FIND(")",作者统计[[#This Row],[作者]],1)-FIND("(",作者统计[[#This Row],[作者]],1)-1),"")</f>
        <v/>
      </c>
    </row>
    <row r="933" spans="2:10" ht="18" customHeight="1" x14ac:dyDescent="0.25">
      <c r="B933" s="256"/>
      <c r="C933" s="257"/>
      <c r="D933" s="258"/>
      <c r="E933" s="258"/>
      <c r="F933" s="259"/>
      <c r="G933" s="259"/>
      <c r="H933" s="260"/>
      <c r="I933" s="261" t="str">
        <f>IFERROR(MID(作者统计[[#This Row],[作者]],FIND("[",作者统计[[#This Row],[作者]],1)+1,FIND("]",作者统计[[#This Row],[作者]],1)-FIND("[",作者统计[[#This Row],[作者]],1)-1),"")</f>
        <v/>
      </c>
      <c r="J933" s="261" t="str">
        <f>IFERROR(MID(作者统计[[#This Row],[作者]],FIND("(",作者统计[[#This Row],[作者]],1)+1,FIND(")",作者统计[[#This Row],[作者]],1)-FIND("(",作者统计[[#This Row],[作者]],1)-1),"")</f>
        <v/>
      </c>
    </row>
    <row r="934" spans="2:10" ht="18" customHeight="1" x14ac:dyDescent="0.25">
      <c r="B934" s="85"/>
      <c r="C934" s="120"/>
      <c r="D934" s="121"/>
      <c r="E934" s="121"/>
      <c r="F934" s="92"/>
      <c r="G934" s="92"/>
      <c r="H934" s="122"/>
      <c r="I934" s="68" t="str">
        <f>IFERROR(MID(作者统计[[#This Row],[作者]],FIND("[",作者统计[[#This Row],[作者]],1)+1,FIND("]",作者统计[[#This Row],[作者]],1)-FIND("[",作者统计[[#This Row],[作者]],1)-1),"")</f>
        <v/>
      </c>
      <c r="J934" s="68" t="str">
        <f>IFERROR(MID(作者统计[[#This Row],[作者]],FIND("(",作者统计[[#This Row],[作者]],1)+1,FIND(")",作者统计[[#This Row],[作者]],1)-FIND("(",作者统计[[#This Row],[作者]],1)-1),"")</f>
        <v/>
      </c>
    </row>
    <row r="935" spans="2:10" ht="18" customHeight="1" x14ac:dyDescent="0.25">
      <c r="B935" s="309"/>
      <c r="C935" s="120"/>
      <c r="D935" s="121"/>
      <c r="E935" s="121"/>
      <c r="F935" s="92"/>
      <c r="G935" s="92"/>
      <c r="H935" s="122"/>
      <c r="I935" s="68" t="str">
        <f>IFERROR(MID(作者统计[[#This Row],[作者]],FIND("[",作者统计[[#This Row],[作者]],1)+1,FIND("]",作者统计[[#This Row],[作者]],1)-FIND("[",作者统计[[#This Row],[作者]],1)-1),"")</f>
        <v/>
      </c>
      <c r="J935" s="68" t="str">
        <f>IFERROR(MID(作者统计[[#This Row],[作者]],FIND("(",作者统计[[#This Row],[作者]],1)+1,FIND(")",作者统计[[#This Row],[作者]],1)-FIND("(",作者统计[[#This Row],[作者]],1)-1),"")</f>
        <v/>
      </c>
    </row>
    <row r="936" spans="2:10" ht="18" customHeight="1" x14ac:dyDescent="0.25">
      <c r="B936" s="85"/>
      <c r="C936" s="120"/>
      <c r="D936" s="121"/>
      <c r="E936" s="121"/>
      <c r="F936" s="92"/>
      <c r="G936" s="92"/>
      <c r="H936" s="122"/>
      <c r="I936" s="68" t="str">
        <f>IFERROR(MID(作者统计[[#This Row],[作者]],FIND("[",作者统计[[#This Row],[作者]],1)+1,FIND("]",作者统计[[#This Row],[作者]],1)-FIND("[",作者统计[[#This Row],[作者]],1)-1),"")</f>
        <v/>
      </c>
      <c r="J936" s="68" t="str">
        <f>IFERROR(MID(作者统计[[#This Row],[作者]],FIND("(",作者统计[[#This Row],[作者]],1)+1,FIND(")",作者统计[[#This Row],[作者]],1)-FIND("(",作者统计[[#This Row],[作者]],1)-1),"")</f>
        <v/>
      </c>
    </row>
    <row r="937" spans="2:10" ht="18" customHeight="1" x14ac:dyDescent="0.25">
      <c r="B937" s="309"/>
      <c r="C937" s="120"/>
      <c r="D937" s="121"/>
      <c r="E937" s="121"/>
      <c r="F937" s="92"/>
      <c r="G937" s="92"/>
      <c r="H937" s="122"/>
      <c r="I937" s="68" t="str">
        <f>IFERROR(MID(作者统计[[#This Row],[作者]],FIND("[",作者统计[[#This Row],[作者]],1)+1,FIND("]",作者统计[[#This Row],[作者]],1)-FIND("[",作者统计[[#This Row],[作者]],1)-1),"")</f>
        <v/>
      </c>
      <c r="J937" s="68" t="str">
        <f>IFERROR(MID(作者统计[[#This Row],[作者]],FIND("(",作者统计[[#This Row],[作者]],1)+1,FIND(")",作者统计[[#This Row],[作者]],1)-FIND("(",作者统计[[#This Row],[作者]],1)-1),"")</f>
        <v/>
      </c>
    </row>
    <row r="938" spans="2:10" ht="18" customHeight="1" x14ac:dyDescent="0.25">
      <c r="B938" s="309"/>
      <c r="C938" s="120"/>
      <c r="D938" s="121"/>
      <c r="E938" s="121"/>
      <c r="F938" s="92"/>
      <c r="G938" s="92"/>
      <c r="H938" s="122"/>
      <c r="I938" s="68" t="str">
        <f>IFERROR(MID(作者统计[[#This Row],[作者]],FIND("[",作者统计[[#This Row],[作者]],1)+1,FIND("]",作者统计[[#This Row],[作者]],1)-FIND("[",作者统计[[#This Row],[作者]],1)-1),"")</f>
        <v/>
      </c>
      <c r="J938" s="68" t="str">
        <f>IFERROR(MID(作者统计[[#This Row],[作者]],FIND("(",作者统计[[#This Row],[作者]],1)+1,FIND(")",作者统计[[#This Row],[作者]],1)-FIND("(",作者统计[[#This Row],[作者]],1)-1),"")</f>
        <v/>
      </c>
    </row>
    <row r="939" spans="2:10" ht="18" customHeight="1" x14ac:dyDescent="0.25">
      <c r="B939" s="256"/>
      <c r="C939" s="257"/>
      <c r="D939" s="258"/>
      <c r="E939" s="258"/>
      <c r="F939" s="259"/>
      <c r="G939" s="259"/>
      <c r="H939" s="260"/>
      <c r="I939" s="261" t="str">
        <f>IFERROR(MID(作者统计[[#This Row],[作者]],FIND("[",作者统计[[#This Row],[作者]],1)+1,FIND("]",作者统计[[#This Row],[作者]],1)-FIND("[",作者统计[[#This Row],[作者]],1)-1),"")</f>
        <v/>
      </c>
      <c r="J939" s="261" t="str">
        <f>IFERROR(MID(作者统计[[#This Row],[作者]],FIND("(",作者统计[[#This Row],[作者]],1)+1,FIND(")",作者统计[[#This Row],[作者]],1)-FIND("(",作者统计[[#This Row],[作者]],1)-1),"")</f>
        <v/>
      </c>
    </row>
    <row r="940" spans="2:10" ht="18" customHeight="1" x14ac:dyDescent="0.25">
      <c r="B940" s="309"/>
      <c r="C940" s="120"/>
      <c r="D940" s="121"/>
      <c r="E940" s="121"/>
      <c r="F940" s="92"/>
      <c r="G940" s="92"/>
      <c r="H940" s="122"/>
      <c r="I940" s="68" t="str">
        <f>IFERROR(MID(作者统计[[#This Row],[作者]],FIND("[",作者统计[[#This Row],[作者]],1)+1,FIND("]",作者统计[[#This Row],[作者]],1)-FIND("[",作者统计[[#This Row],[作者]],1)-1),"")</f>
        <v/>
      </c>
      <c r="J940" s="68" t="str">
        <f>IFERROR(MID(作者统计[[#This Row],[作者]],FIND("(",作者统计[[#This Row],[作者]],1)+1,FIND(")",作者统计[[#This Row],[作者]],1)-FIND("(",作者统计[[#This Row],[作者]],1)-1),"")</f>
        <v/>
      </c>
    </row>
    <row r="941" spans="2:10" ht="18" customHeight="1" x14ac:dyDescent="0.25">
      <c r="B941" s="309"/>
      <c r="C941" s="120"/>
      <c r="D941" s="121"/>
      <c r="E941" s="121"/>
      <c r="F941" s="92"/>
      <c r="G941" s="92"/>
      <c r="H941" s="122"/>
      <c r="I941" s="68" t="str">
        <f>IFERROR(MID(作者统计[[#This Row],[作者]],FIND("[",作者统计[[#This Row],[作者]],1)+1,FIND("]",作者统计[[#This Row],[作者]],1)-FIND("[",作者统计[[#This Row],[作者]],1)-1),"")</f>
        <v/>
      </c>
      <c r="J941" s="68" t="str">
        <f>IFERROR(MID(作者统计[[#This Row],[作者]],FIND("(",作者统计[[#This Row],[作者]],1)+1,FIND(")",作者统计[[#This Row],[作者]],1)-FIND("(",作者统计[[#This Row],[作者]],1)-1),"")</f>
        <v/>
      </c>
    </row>
    <row r="942" spans="2:10" ht="18" customHeight="1" x14ac:dyDescent="0.25">
      <c r="B942" s="309"/>
      <c r="C942" s="120"/>
      <c r="D942" s="121"/>
      <c r="E942" s="121"/>
      <c r="F942" s="92"/>
      <c r="G942" s="92"/>
      <c r="H942" s="122"/>
      <c r="I942" s="68" t="str">
        <f>IFERROR(MID(作者统计[[#This Row],[作者]],FIND("[",作者统计[[#This Row],[作者]],1)+1,FIND("]",作者统计[[#This Row],[作者]],1)-FIND("[",作者统计[[#This Row],[作者]],1)-1),"")</f>
        <v/>
      </c>
      <c r="J942" s="68" t="str">
        <f>IFERROR(MID(作者统计[[#This Row],[作者]],FIND("(",作者统计[[#This Row],[作者]],1)+1,FIND(")",作者统计[[#This Row],[作者]],1)-FIND("(",作者统计[[#This Row],[作者]],1)-1),"")</f>
        <v/>
      </c>
    </row>
    <row r="943" spans="2:10" ht="18" customHeight="1" x14ac:dyDescent="0.25">
      <c r="B943" s="256"/>
      <c r="C943" s="257"/>
      <c r="D943" s="258"/>
      <c r="E943" s="258"/>
      <c r="F943" s="259"/>
      <c r="G943" s="259"/>
      <c r="H943" s="260"/>
      <c r="I943" s="261" t="str">
        <f>IFERROR(MID(作者统计[[#This Row],[作者]],FIND("[",作者统计[[#This Row],[作者]],1)+1,FIND("]",作者统计[[#This Row],[作者]],1)-FIND("[",作者统计[[#This Row],[作者]],1)-1),"")</f>
        <v/>
      </c>
      <c r="J943" s="261" t="str">
        <f>IFERROR(MID(作者统计[[#This Row],[作者]],FIND("(",作者统计[[#This Row],[作者]],1)+1,FIND(")",作者统计[[#This Row],[作者]],1)-FIND("(",作者统计[[#This Row],[作者]],1)-1),"")</f>
        <v/>
      </c>
    </row>
    <row r="944" spans="2:10" ht="18" customHeight="1" x14ac:dyDescent="0.25">
      <c r="B944" s="85"/>
      <c r="C944" s="120"/>
      <c r="D944" s="121"/>
      <c r="E944" s="121"/>
      <c r="F944" s="92"/>
      <c r="G944" s="92"/>
      <c r="H944" s="122"/>
      <c r="I944" s="68" t="str">
        <f>IFERROR(MID(作者统计[[#This Row],[作者]],FIND("[",作者统计[[#This Row],[作者]],1)+1,FIND("]",作者统计[[#This Row],[作者]],1)-FIND("[",作者统计[[#This Row],[作者]],1)-1),"")</f>
        <v/>
      </c>
      <c r="J944" s="68" t="str">
        <f>IFERROR(MID(作者统计[[#This Row],[作者]],FIND("(",作者统计[[#This Row],[作者]],1)+1,FIND(")",作者统计[[#This Row],[作者]],1)-FIND("(",作者统计[[#This Row],[作者]],1)-1),"")</f>
        <v/>
      </c>
    </row>
    <row r="945" spans="2:10" ht="18" customHeight="1" x14ac:dyDescent="0.25">
      <c r="B945" s="256"/>
      <c r="C945" s="257"/>
      <c r="D945" s="258"/>
      <c r="E945" s="258"/>
      <c r="F945" s="259"/>
      <c r="G945" s="259"/>
      <c r="H945" s="260"/>
      <c r="I945" s="261" t="str">
        <f>IFERROR(MID(作者统计[[#This Row],[作者]],FIND("[",作者统计[[#This Row],[作者]],1)+1,FIND("]",作者统计[[#This Row],[作者]],1)-FIND("[",作者统计[[#This Row],[作者]],1)-1),"")</f>
        <v/>
      </c>
      <c r="J945" s="261" t="str">
        <f>IFERROR(MID(作者统计[[#This Row],[作者]],FIND("(",作者统计[[#This Row],[作者]],1)+1,FIND(")",作者统计[[#This Row],[作者]],1)-FIND("(",作者统计[[#This Row],[作者]],1)-1),"")</f>
        <v/>
      </c>
    </row>
    <row r="946" spans="2:10" ht="18" customHeight="1" x14ac:dyDescent="0.25">
      <c r="B946" s="256"/>
      <c r="C946" s="257"/>
      <c r="D946" s="258"/>
      <c r="E946" s="258"/>
      <c r="F946" s="259"/>
      <c r="G946" s="259"/>
      <c r="H946" s="260"/>
      <c r="I946" s="261" t="str">
        <f>IFERROR(MID(作者统计[[#This Row],[作者]],FIND("[",作者统计[[#This Row],[作者]],1)+1,FIND("]",作者统计[[#This Row],[作者]],1)-FIND("[",作者统计[[#This Row],[作者]],1)-1),"")</f>
        <v/>
      </c>
      <c r="J946" s="261" t="str">
        <f>IFERROR(MID(作者统计[[#This Row],[作者]],FIND("(",作者统计[[#This Row],[作者]],1)+1,FIND(")",作者统计[[#This Row],[作者]],1)-FIND("(",作者统计[[#This Row],[作者]],1)-1),"")</f>
        <v/>
      </c>
    </row>
    <row r="947" spans="2:10" ht="18" customHeight="1" x14ac:dyDescent="0.25">
      <c r="B947" s="85"/>
      <c r="C947" s="120"/>
      <c r="D947" s="121"/>
      <c r="E947" s="121"/>
      <c r="F947" s="92"/>
      <c r="G947" s="92"/>
      <c r="H947" s="122"/>
      <c r="I947" s="68" t="str">
        <f>IFERROR(MID(作者统计[[#This Row],[作者]],FIND("[",作者统计[[#This Row],[作者]],1)+1,FIND("]",作者统计[[#This Row],[作者]],1)-FIND("[",作者统计[[#This Row],[作者]],1)-1),"")</f>
        <v/>
      </c>
      <c r="J947" s="68" t="str">
        <f>IFERROR(MID(作者统计[[#This Row],[作者]],FIND("(",作者统计[[#This Row],[作者]],1)+1,FIND(")",作者统计[[#This Row],[作者]],1)-FIND("(",作者统计[[#This Row],[作者]],1)-1),"")</f>
        <v/>
      </c>
    </row>
    <row r="948" spans="2:10" ht="18" customHeight="1" x14ac:dyDescent="0.25">
      <c r="B948" s="309"/>
      <c r="C948" s="120"/>
      <c r="D948" s="121"/>
      <c r="E948" s="121"/>
      <c r="F948" s="92"/>
      <c r="G948" s="92"/>
      <c r="H948" s="122"/>
      <c r="I948" s="68" t="str">
        <f>IFERROR(MID(作者统计[[#This Row],[作者]],FIND("[",作者统计[[#This Row],[作者]],1)+1,FIND("]",作者统计[[#This Row],[作者]],1)-FIND("[",作者统计[[#This Row],[作者]],1)-1),"")</f>
        <v/>
      </c>
      <c r="J948" s="68" t="str">
        <f>IFERROR(MID(作者统计[[#This Row],[作者]],FIND("(",作者统计[[#This Row],[作者]],1)+1,FIND(")",作者统计[[#This Row],[作者]],1)-FIND("(",作者统计[[#This Row],[作者]],1)-1),"")</f>
        <v/>
      </c>
    </row>
    <row r="949" spans="2:10" ht="18" customHeight="1" x14ac:dyDescent="0.25">
      <c r="B949" s="309"/>
      <c r="C949" s="120"/>
      <c r="D949" s="121"/>
      <c r="E949" s="121"/>
      <c r="F949" s="92"/>
      <c r="G949" s="92"/>
      <c r="H949" s="122"/>
      <c r="I949" s="67" t="str">
        <f>IFERROR(MID(作者统计[[#This Row],[作者]],FIND("[",作者统计[[#This Row],[作者]],1)+1,FIND("]",作者统计[[#This Row],[作者]],1)-FIND("[",作者统计[[#This Row],[作者]],1)-1),"")</f>
        <v/>
      </c>
      <c r="J949" s="39" t="str">
        <f>IFERROR(MID(作者统计[[#This Row],[作者]],FIND("(",作者统计[[#This Row],[作者]],1)+1,FIND(")",作者统计[[#This Row],[作者]],1)-FIND("(",作者统计[[#This Row],[作者]],1)-1),"")</f>
        <v/>
      </c>
    </row>
    <row r="950" spans="2:10" ht="18" customHeight="1" x14ac:dyDescent="0.25">
      <c r="B950" s="309"/>
      <c r="C950" s="120"/>
      <c r="D950" s="121"/>
      <c r="E950" s="121"/>
      <c r="F950" s="92"/>
      <c r="G950" s="92"/>
      <c r="H950" s="122"/>
      <c r="I950" s="68" t="str">
        <f>IFERROR(MID(作者统计[[#This Row],[作者]],FIND("[",作者统计[[#This Row],[作者]],1)+1,FIND("]",作者统计[[#This Row],[作者]],1)-FIND("[",作者统计[[#This Row],[作者]],1)-1),"")</f>
        <v/>
      </c>
      <c r="J950" s="68" t="str">
        <f>IFERROR(MID(作者统计[[#This Row],[作者]],FIND("(",作者统计[[#This Row],[作者]],1)+1,FIND(")",作者统计[[#This Row],[作者]],1)-FIND("(",作者统计[[#This Row],[作者]],1)-1),"")</f>
        <v/>
      </c>
    </row>
    <row r="951" spans="2:10" ht="18" customHeight="1" x14ac:dyDescent="0.25">
      <c r="B951" s="256"/>
      <c r="C951" s="257"/>
      <c r="D951" s="258"/>
      <c r="E951" s="258"/>
      <c r="F951" s="259"/>
      <c r="G951" s="259"/>
      <c r="H951" s="260"/>
      <c r="I951" s="261" t="str">
        <f>IFERROR(MID(作者统计[[#This Row],[作者]],FIND("[",作者统计[[#This Row],[作者]],1)+1,FIND("]",作者统计[[#This Row],[作者]],1)-FIND("[",作者统计[[#This Row],[作者]],1)-1),"")</f>
        <v/>
      </c>
      <c r="J951" s="261" t="str">
        <f>IFERROR(MID(作者统计[[#This Row],[作者]],FIND("(",作者统计[[#This Row],[作者]],1)+1,FIND(")",作者统计[[#This Row],[作者]],1)-FIND("(",作者统计[[#This Row],[作者]],1)-1),"")</f>
        <v/>
      </c>
    </row>
    <row r="952" spans="2:10" ht="18" customHeight="1" x14ac:dyDescent="0.25">
      <c r="B952" s="309"/>
      <c r="C952" s="120"/>
      <c r="D952" s="121"/>
      <c r="E952" s="121"/>
      <c r="F952" s="92"/>
      <c r="G952" s="92"/>
      <c r="H952" s="122"/>
      <c r="I952" s="68" t="str">
        <f>IFERROR(MID(作者统计[[#This Row],[作者]],FIND("[",作者统计[[#This Row],[作者]],1)+1,FIND("]",作者统计[[#This Row],[作者]],1)-FIND("[",作者统计[[#This Row],[作者]],1)-1),"")</f>
        <v/>
      </c>
      <c r="J952" s="68" t="str">
        <f>IFERROR(MID(作者统计[[#This Row],[作者]],FIND("(",作者统计[[#This Row],[作者]],1)+1,FIND(")",作者统计[[#This Row],[作者]],1)-FIND("(",作者统计[[#This Row],[作者]],1)-1),"")</f>
        <v/>
      </c>
    </row>
    <row r="953" spans="2:10" ht="18" customHeight="1" x14ac:dyDescent="0.25">
      <c r="B953" s="309"/>
      <c r="C953" s="120"/>
      <c r="D953" s="121"/>
      <c r="E953" s="121"/>
      <c r="F953" s="92"/>
      <c r="G953" s="92"/>
      <c r="H953" s="122"/>
      <c r="I953" s="68" t="str">
        <f>IFERROR(MID(作者统计[[#This Row],[作者]],FIND("[",作者统计[[#This Row],[作者]],1)+1,FIND("]",作者统计[[#This Row],[作者]],1)-FIND("[",作者统计[[#This Row],[作者]],1)-1),"")</f>
        <v/>
      </c>
      <c r="J953" s="68" t="str">
        <f>IFERROR(MID(作者统计[[#This Row],[作者]],FIND("(",作者统计[[#This Row],[作者]],1)+1,FIND(")",作者统计[[#This Row],[作者]],1)-FIND("(",作者统计[[#This Row],[作者]],1)-1),"")</f>
        <v/>
      </c>
    </row>
    <row r="954" spans="2:10" ht="18" customHeight="1" x14ac:dyDescent="0.25">
      <c r="B954" s="85"/>
      <c r="C954" s="120"/>
      <c r="D954" s="121"/>
      <c r="E954" s="121"/>
      <c r="F954" s="92"/>
      <c r="G954" s="92"/>
      <c r="H954" s="122"/>
      <c r="I954" s="68" t="str">
        <f>IFERROR(MID(作者统计[[#This Row],[作者]],FIND("[",作者统计[[#This Row],[作者]],1)+1,FIND("]",作者统计[[#This Row],[作者]],1)-FIND("[",作者统计[[#This Row],[作者]],1)-1),"")</f>
        <v/>
      </c>
      <c r="J954" s="68" t="str">
        <f>IFERROR(MID(作者统计[[#This Row],[作者]],FIND("(",作者统计[[#This Row],[作者]],1)+1,FIND(")",作者统计[[#This Row],[作者]],1)-FIND("(",作者统计[[#This Row],[作者]],1)-1),"")</f>
        <v/>
      </c>
    </row>
    <row r="955" spans="2:10" ht="18" customHeight="1" x14ac:dyDescent="0.25">
      <c r="B955" s="256"/>
      <c r="C955" s="257"/>
      <c r="D955" s="258"/>
      <c r="E955" s="258"/>
      <c r="F955" s="259"/>
      <c r="G955" s="259"/>
      <c r="H955" s="260"/>
      <c r="I955" s="261" t="str">
        <f>IFERROR(MID(作者统计[[#This Row],[作者]],FIND("[",作者统计[[#This Row],[作者]],1)+1,FIND("]",作者统计[[#This Row],[作者]],1)-FIND("[",作者统计[[#This Row],[作者]],1)-1),"")</f>
        <v/>
      </c>
      <c r="J955" s="261" t="str">
        <f>IFERROR(MID(作者统计[[#This Row],[作者]],FIND("(",作者统计[[#This Row],[作者]],1)+1,FIND(")",作者统计[[#This Row],[作者]],1)-FIND("(",作者统计[[#This Row],[作者]],1)-1),"")</f>
        <v/>
      </c>
    </row>
    <row r="956" spans="2:10" ht="18" customHeight="1" x14ac:dyDescent="0.25">
      <c r="B956" s="85"/>
      <c r="C956" s="120"/>
      <c r="D956" s="121"/>
      <c r="E956" s="121"/>
      <c r="F956" s="92"/>
      <c r="G956" s="92"/>
      <c r="H956" s="122"/>
      <c r="I956" s="68" t="str">
        <f>IFERROR(MID(作者统计[[#This Row],[作者]],FIND("[",作者统计[[#This Row],[作者]],1)+1,FIND("]",作者统计[[#This Row],[作者]],1)-FIND("[",作者统计[[#This Row],[作者]],1)-1),"")</f>
        <v/>
      </c>
      <c r="J956" s="68" t="str">
        <f>IFERROR(MID(作者统计[[#This Row],[作者]],FIND("(",作者统计[[#This Row],[作者]],1)+1,FIND(")",作者统计[[#This Row],[作者]],1)-FIND("(",作者统计[[#This Row],[作者]],1)-1),"")</f>
        <v/>
      </c>
    </row>
    <row r="957" spans="2:10" ht="18" customHeight="1" x14ac:dyDescent="0.25">
      <c r="B957" s="256"/>
      <c r="C957" s="257"/>
      <c r="D957" s="258"/>
      <c r="E957" s="258"/>
      <c r="F957" s="259"/>
      <c r="G957" s="259"/>
      <c r="H957" s="260"/>
      <c r="I957" s="261" t="str">
        <f>IFERROR(MID(作者统计[[#This Row],[作者]],FIND("[",作者统计[[#This Row],[作者]],1)+1,FIND("]",作者统计[[#This Row],[作者]],1)-FIND("[",作者统计[[#This Row],[作者]],1)-1),"")</f>
        <v/>
      </c>
      <c r="J957" s="261" t="str">
        <f>IFERROR(MID(作者统计[[#This Row],[作者]],FIND("(",作者统计[[#This Row],[作者]],1)+1,FIND(")",作者统计[[#This Row],[作者]],1)-FIND("(",作者统计[[#This Row],[作者]],1)-1),"")</f>
        <v/>
      </c>
    </row>
    <row r="958" spans="2:10" ht="18" customHeight="1" x14ac:dyDescent="0.25">
      <c r="B958" s="309"/>
      <c r="C958" s="120"/>
      <c r="D958" s="121"/>
      <c r="E958" s="121"/>
      <c r="F958" s="92"/>
      <c r="G958" s="92"/>
      <c r="H958" s="122"/>
      <c r="I958" s="68" t="str">
        <f>IFERROR(MID(作者统计[[#This Row],[作者]],FIND("[",作者统计[[#This Row],[作者]],1)+1,FIND("]",作者统计[[#This Row],[作者]],1)-FIND("[",作者统计[[#This Row],[作者]],1)-1),"")</f>
        <v/>
      </c>
      <c r="J958" s="68" t="str">
        <f>IFERROR(MID(作者统计[[#This Row],[作者]],FIND("(",作者统计[[#This Row],[作者]],1)+1,FIND(")",作者统计[[#This Row],[作者]],1)-FIND("(",作者统计[[#This Row],[作者]],1)-1),"")</f>
        <v/>
      </c>
    </row>
    <row r="959" spans="2:10" ht="18" customHeight="1" x14ac:dyDescent="0.25">
      <c r="B959" s="309"/>
      <c r="C959" s="120"/>
      <c r="D959" s="121"/>
      <c r="E959" s="121"/>
      <c r="F959" s="92"/>
      <c r="G959" s="92"/>
      <c r="H959" s="122"/>
      <c r="I959" s="68" t="str">
        <f>IFERROR(MID(作者统计[[#This Row],[作者]],FIND("[",作者统计[[#This Row],[作者]],1)+1,FIND("]",作者统计[[#This Row],[作者]],1)-FIND("[",作者统计[[#This Row],[作者]],1)-1),"")</f>
        <v/>
      </c>
      <c r="J959" s="68" t="str">
        <f>IFERROR(MID(作者统计[[#This Row],[作者]],FIND("(",作者统计[[#This Row],[作者]],1)+1,FIND(")",作者统计[[#This Row],[作者]],1)-FIND("(",作者统计[[#This Row],[作者]],1)-1),"")</f>
        <v/>
      </c>
    </row>
    <row r="960" spans="2:10" ht="18" customHeight="1" x14ac:dyDescent="0.25">
      <c r="B960" s="309"/>
      <c r="C960" s="120"/>
      <c r="D960" s="121"/>
      <c r="E960" s="121"/>
      <c r="F960" s="92"/>
      <c r="G960" s="92"/>
      <c r="H960" s="122"/>
      <c r="I960" s="68" t="str">
        <f>IFERROR(MID(作者统计[[#This Row],[作者]],FIND("[",作者统计[[#This Row],[作者]],1)+1,FIND("]",作者统计[[#This Row],[作者]],1)-FIND("[",作者统计[[#This Row],[作者]],1)-1),"")</f>
        <v/>
      </c>
      <c r="J960" s="68" t="str">
        <f>IFERROR(MID(作者统计[[#This Row],[作者]],FIND("(",作者统计[[#This Row],[作者]],1)+1,FIND(")",作者统计[[#This Row],[作者]],1)-FIND("(",作者统计[[#This Row],[作者]],1)-1),"")</f>
        <v/>
      </c>
    </row>
    <row r="961" spans="2:10" ht="18" customHeight="1" x14ac:dyDescent="0.25">
      <c r="B961" s="256"/>
      <c r="C961" s="257"/>
      <c r="D961" s="258"/>
      <c r="E961" s="258"/>
      <c r="F961" s="259"/>
      <c r="G961" s="259"/>
      <c r="H961" s="260"/>
      <c r="I961" s="261" t="str">
        <f>IFERROR(MID(作者统计[[#This Row],[作者]],FIND("[",作者统计[[#This Row],[作者]],1)+1,FIND("]",作者统计[[#This Row],[作者]],1)-FIND("[",作者统计[[#This Row],[作者]],1)-1),"")</f>
        <v/>
      </c>
      <c r="J961" s="261" t="str">
        <f>IFERROR(MID(作者统计[[#This Row],[作者]],FIND("(",作者统计[[#This Row],[作者]],1)+1,FIND(")",作者统计[[#This Row],[作者]],1)-FIND("(",作者统计[[#This Row],[作者]],1)-1),"")</f>
        <v/>
      </c>
    </row>
    <row r="962" spans="2:10" ht="18" customHeight="1" x14ac:dyDescent="0.25">
      <c r="B962" s="256"/>
      <c r="C962" s="257"/>
      <c r="D962" s="258"/>
      <c r="E962" s="258"/>
      <c r="F962" s="259"/>
      <c r="G962" s="259"/>
      <c r="H962" s="260"/>
      <c r="I962" s="261" t="str">
        <f>IFERROR(MID(作者统计[[#This Row],[作者]],FIND("[",作者统计[[#This Row],[作者]],1)+1,FIND("]",作者统计[[#This Row],[作者]],1)-FIND("[",作者统计[[#This Row],[作者]],1)-1),"")</f>
        <v/>
      </c>
      <c r="J962" s="261" t="str">
        <f>IFERROR(MID(作者统计[[#This Row],[作者]],FIND("(",作者统计[[#This Row],[作者]],1)+1,FIND(")",作者统计[[#This Row],[作者]],1)-FIND("(",作者统计[[#This Row],[作者]],1)-1),"")</f>
        <v/>
      </c>
    </row>
    <row r="963" spans="2:10" ht="18" customHeight="1" x14ac:dyDescent="0.25">
      <c r="B963" s="85"/>
      <c r="C963" s="120"/>
      <c r="D963" s="121"/>
      <c r="E963" s="121"/>
      <c r="F963" s="92"/>
      <c r="G963" s="92"/>
      <c r="H963" s="122"/>
      <c r="I963" s="68" t="str">
        <f>IFERROR(MID(作者统计[[#This Row],[作者]],FIND("[",作者统计[[#This Row],[作者]],1)+1,FIND("]",作者统计[[#This Row],[作者]],1)-FIND("[",作者统计[[#This Row],[作者]],1)-1),"")</f>
        <v/>
      </c>
      <c r="J963" s="68" t="str">
        <f>IFERROR(MID(作者统计[[#This Row],[作者]],FIND("(",作者统计[[#This Row],[作者]],1)+1,FIND(")",作者统计[[#This Row],[作者]],1)-FIND("(",作者统计[[#This Row],[作者]],1)-1),"")</f>
        <v/>
      </c>
    </row>
    <row r="964" spans="2:10" ht="18" customHeight="1" x14ac:dyDescent="0.25">
      <c r="B964" s="309"/>
      <c r="C964" s="120"/>
      <c r="D964" s="121"/>
      <c r="E964" s="121"/>
      <c r="F964" s="92"/>
      <c r="G964" s="92"/>
      <c r="H964" s="122"/>
      <c r="I964" s="68" t="str">
        <f>IFERROR(MID(作者统计[[#This Row],[作者]],FIND("[",作者统计[[#This Row],[作者]],1)+1,FIND("]",作者统计[[#This Row],[作者]],1)-FIND("[",作者统计[[#This Row],[作者]],1)-1),"")</f>
        <v/>
      </c>
      <c r="J964" s="68" t="str">
        <f>IFERROR(MID(作者统计[[#This Row],[作者]],FIND("(",作者统计[[#This Row],[作者]],1)+1,FIND(")",作者统计[[#This Row],[作者]],1)-FIND("(",作者统计[[#This Row],[作者]],1)-1),"")</f>
        <v/>
      </c>
    </row>
    <row r="965" spans="2:10" ht="18" customHeight="1" x14ac:dyDescent="0.25">
      <c r="B965" s="309"/>
      <c r="C965" s="120"/>
      <c r="D965" s="121"/>
      <c r="E965" s="121"/>
      <c r="F965" s="92"/>
      <c r="G965" s="92"/>
      <c r="H965" s="122"/>
      <c r="I965" s="68" t="str">
        <f>IFERROR(MID(作者统计[[#This Row],[作者]],FIND("[",作者统计[[#This Row],[作者]],1)+1,FIND("]",作者统计[[#This Row],[作者]],1)-FIND("[",作者统计[[#This Row],[作者]],1)-1),"")</f>
        <v/>
      </c>
      <c r="J965" s="68" t="str">
        <f>IFERROR(MID(作者统计[[#This Row],[作者]],FIND("(",作者统计[[#This Row],[作者]],1)+1,FIND(")",作者统计[[#This Row],[作者]],1)-FIND("(",作者统计[[#This Row],[作者]],1)-1),"")</f>
        <v/>
      </c>
    </row>
    <row r="966" spans="2:10" ht="18" customHeight="1" x14ac:dyDescent="0.25">
      <c r="B966" s="256"/>
      <c r="C966" s="257"/>
      <c r="D966" s="258"/>
      <c r="E966" s="258"/>
      <c r="F966" s="259"/>
      <c r="G966" s="259"/>
      <c r="H966" s="260"/>
      <c r="I966" s="261" t="str">
        <f>IFERROR(MID(作者统计[[#This Row],[作者]],FIND("[",作者统计[[#This Row],[作者]],1)+1,FIND("]",作者统计[[#This Row],[作者]],1)-FIND("[",作者统计[[#This Row],[作者]],1)-1),"")</f>
        <v/>
      </c>
      <c r="J966" s="261" t="str">
        <f>IFERROR(MID(作者统计[[#This Row],[作者]],FIND("(",作者统计[[#This Row],[作者]],1)+1,FIND(")",作者统计[[#This Row],[作者]],1)-FIND("(",作者统计[[#This Row],[作者]],1)-1),"")</f>
        <v/>
      </c>
    </row>
    <row r="967" spans="2:10" ht="18" customHeight="1" x14ac:dyDescent="0.25">
      <c r="B967" s="309"/>
      <c r="C967" s="120"/>
      <c r="D967" s="121"/>
      <c r="E967" s="121"/>
      <c r="F967" s="92"/>
      <c r="G967" s="92"/>
      <c r="H967" s="122"/>
      <c r="I967" s="68" t="str">
        <f>IFERROR(MID(作者统计[[#This Row],[作者]],FIND("[",作者统计[[#This Row],[作者]],1)+1,FIND("]",作者统计[[#This Row],[作者]],1)-FIND("[",作者统计[[#This Row],[作者]],1)-1),"")</f>
        <v/>
      </c>
      <c r="J967" s="68" t="str">
        <f>IFERROR(MID(作者统计[[#This Row],[作者]],FIND("(",作者统计[[#This Row],[作者]],1)+1,FIND(")",作者统计[[#This Row],[作者]],1)-FIND("(",作者统计[[#This Row],[作者]],1)-1),"")</f>
        <v/>
      </c>
    </row>
    <row r="968" spans="2:10" ht="18" customHeight="1" x14ac:dyDescent="0.25">
      <c r="B968" s="85"/>
      <c r="C968" s="120"/>
      <c r="D968" s="121"/>
      <c r="E968" s="121"/>
      <c r="F968" s="92"/>
      <c r="G968" s="92"/>
      <c r="H968" s="122"/>
      <c r="I968" s="68" t="str">
        <f>IFERROR(MID(作者统计[[#This Row],[作者]],FIND("[",作者统计[[#This Row],[作者]],1)+1,FIND("]",作者统计[[#This Row],[作者]],1)-FIND("[",作者统计[[#This Row],[作者]],1)-1),"")</f>
        <v/>
      </c>
      <c r="J968" s="68" t="str">
        <f>IFERROR(MID(作者统计[[#This Row],[作者]],FIND("(",作者统计[[#This Row],[作者]],1)+1,FIND(")",作者统计[[#This Row],[作者]],1)-FIND("(",作者统计[[#This Row],[作者]],1)-1),"")</f>
        <v/>
      </c>
    </row>
    <row r="969" spans="2:10" ht="18" customHeight="1" x14ac:dyDescent="0.25">
      <c r="B969" s="85"/>
      <c r="C969" s="120"/>
      <c r="D969" s="121"/>
      <c r="E969" s="121"/>
      <c r="F969" s="92"/>
      <c r="G969" s="92"/>
      <c r="H969" s="122"/>
      <c r="I969" s="68" t="str">
        <f>IFERROR(MID(作者统计[[#This Row],[作者]],FIND("[",作者统计[[#This Row],[作者]],1)+1,FIND("]",作者统计[[#This Row],[作者]],1)-FIND("[",作者统计[[#This Row],[作者]],1)-1),"")</f>
        <v/>
      </c>
      <c r="J969" s="68" t="str">
        <f>IFERROR(MID(作者统计[[#This Row],[作者]],FIND("(",作者统计[[#This Row],[作者]],1)+1,FIND(")",作者统计[[#This Row],[作者]],1)-FIND("(",作者统计[[#This Row],[作者]],1)-1),"")</f>
        <v/>
      </c>
    </row>
    <row r="970" spans="2:10" ht="18" customHeight="1" x14ac:dyDescent="0.25">
      <c r="B970" s="85"/>
      <c r="C970" s="120"/>
      <c r="D970" s="121"/>
      <c r="E970" s="121"/>
      <c r="F970" s="92"/>
      <c r="G970" s="92"/>
      <c r="H970" s="122"/>
      <c r="I970" s="68" t="str">
        <f>IFERROR(MID(作者统计[[#This Row],[作者]],FIND("[",作者统计[[#This Row],[作者]],1)+1,FIND("]",作者统计[[#This Row],[作者]],1)-FIND("[",作者统计[[#This Row],[作者]],1)-1),"")</f>
        <v/>
      </c>
      <c r="J970" s="68" t="str">
        <f>IFERROR(MID(作者统计[[#This Row],[作者]],FIND("(",作者统计[[#This Row],[作者]],1)+1,FIND(")",作者统计[[#This Row],[作者]],1)-FIND("(",作者统计[[#This Row],[作者]],1)-1),"")</f>
        <v/>
      </c>
    </row>
    <row r="971" spans="2:10" ht="18" customHeight="1" x14ac:dyDescent="0.25">
      <c r="B971" s="256"/>
      <c r="C971" s="257"/>
      <c r="D971" s="258"/>
      <c r="E971" s="258"/>
      <c r="F971" s="259"/>
      <c r="G971" s="259"/>
      <c r="H971" s="260"/>
      <c r="I971" s="261" t="str">
        <f>IFERROR(MID(作者统计[[#This Row],[作者]],FIND("[",作者统计[[#This Row],[作者]],1)+1,FIND("]",作者统计[[#This Row],[作者]],1)-FIND("[",作者统计[[#This Row],[作者]],1)-1),"")</f>
        <v/>
      </c>
      <c r="J971" s="261" t="str">
        <f>IFERROR(MID(作者统计[[#This Row],[作者]],FIND("(",作者统计[[#This Row],[作者]],1)+1,FIND(")",作者统计[[#This Row],[作者]],1)-FIND("(",作者统计[[#This Row],[作者]],1)-1),"")</f>
        <v/>
      </c>
    </row>
    <row r="972" spans="2:10" ht="18" customHeight="1" x14ac:dyDescent="0.25">
      <c r="B972" s="85"/>
      <c r="C972" s="120"/>
      <c r="D972" s="121"/>
      <c r="E972" s="121"/>
      <c r="F972" s="92"/>
      <c r="G972" s="92"/>
      <c r="H972" s="122"/>
      <c r="I972" s="68" t="str">
        <f>IFERROR(MID(作者统计[[#This Row],[作者]],FIND("[",作者统计[[#This Row],[作者]],1)+1,FIND("]",作者统计[[#This Row],[作者]],1)-FIND("[",作者统计[[#This Row],[作者]],1)-1),"")</f>
        <v/>
      </c>
      <c r="J972" s="68" t="str">
        <f>IFERROR(MID(作者统计[[#This Row],[作者]],FIND("(",作者统计[[#This Row],[作者]],1)+1,FIND(")",作者统计[[#This Row],[作者]],1)-FIND("(",作者统计[[#This Row],[作者]],1)-1),"")</f>
        <v/>
      </c>
    </row>
    <row r="973" spans="2:10" ht="18" customHeight="1" x14ac:dyDescent="0.25">
      <c r="B973" s="309"/>
      <c r="C973" s="120"/>
      <c r="D973" s="121"/>
      <c r="E973" s="121"/>
      <c r="F973" s="92"/>
      <c r="G973" s="92"/>
      <c r="H973" s="122"/>
      <c r="I973" s="68" t="str">
        <f>IFERROR(MID(作者统计[[#This Row],[作者]],FIND("[",作者统计[[#This Row],[作者]],1)+1,FIND("]",作者统计[[#This Row],[作者]],1)-FIND("[",作者统计[[#This Row],[作者]],1)-1),"")</f>
        <v/>
      </c>
      <c r="J973" s="68" t="str">
        <f>IFERROR(MID(作者统计[[#This Row],[作者]],FIND("(",作者统计[[#This Row],[作者]],1)+1,FIND(")",作者统计[[#This Row],[作者]],1)-FIND("(",作者统计[[#This Row],[作者]],1)-1),"")</f>
        <v/>
      </c>
    </row>
    <row r="974" spans="2:10" ht="18" customHeight="1" x14ac:dyDescent="0.25">
      <c r="B974" s="256"/>
      <c r="C974" s="257"/>
      <c r="D974" s="258"/>
      <c r="E974" s="258"/>
      <c r="F974" s="259"/>
      <c r="G974" s="259"/>
      <c r="H974" s="260"/>
      <c r="I974" s="261" t="str">
        <f>IFERROR(MID(作者统计[[#This Row],[作者]],FIND("[",作者统计[[#This Row],[作者]],1)+1,FIND("]",作者统计[[#This Row],[作者]],1)-FIND("[",作者统计[[#This Row],[作者]],1)-1),"")</f>
        <v/>
      </c>
      <c r="J974" s="261" t="str">
        <f>IFERROR(MID(作者统计[[#This Row],[作者]],FIND("(",作者统计[[#This Row],[作者]],1)+1,FIND(")",作者统计[[#This Row],[作者]],1)-FIND("(",作者统计[[#This Row],[作者]],1)-1),"")</f>
        <v/>
      </c>
    </row>
    <row r="975" spans="2:10" ht="18" customHeight="1" x14ac:dyDescent="0.25">
      <c r="B975" s="85"/>
      <c r="C975" s="120"/>
      <c r="D975" s="121"/>
      <c r="E975" s="121"/>
      <c r="F975" s="92"/>
      <c r="G975" s="92"/>
      <c r="H975" s="122"/>
      <c r="I975" s="68" t="str">
        <f>IFERROR(MID(作者统计[[#This Row],[作者]],FIND("[",作者统计[[#This Row],[作者]],1)+1,FIND("]",作者统计[[#This Row],[作者]],1)-FIND("[",作者统计[[#This Row],[作者]],1)-1),"")</f>
        <v/>
      </c>
      <c r="J975" s="68" t="str">
        <f>IFERROR(MID(作者统计[[#This Row],[作者]],FIND("(",作者统计[[#This Row],[作者]],1)+1,FIND(")",作者统计[[#This Row],[作者]],1)-FIND("(",作者统计[[#This Row],[作者]],1)-1),"")</f>
        <v/>
      </c>
    </row>
    <row r="976" spans="2:10" ht="18" customHeight="1" x14ac:dyDescent="0.25">
      <c r="B976" s="85"/>
      <c r="C976" s="120"/>
      <c r="D976" s="121"/>
      <c r="E976" s="121"/>
      <c r="F976" s="92"/>
      <c r="G976" s="92"/>
      <c r="H976" s="122"/>
      <c r="I976" s="68" t="str">
        <f>IFERROR(MID(作者统计[[#This Row],[作者]],FIND("[",作者统计[[#This Row],[作者]],1)+1,FIND("]",作者统计[[#This Row],[作者]],1)-FIND("[",作者统计[[#This Row],[作者]],1)-1),"")</f>
        <v/>
      </c>
      <c r="J976" s="68" t="str">
        <f>IFERROR(MID(作者统计[[#This Row],[作者]],FIND("(",作者统计[[#This Row],[作者]],1)+1,FIND(")",作者统计[[#This Row],[作者]],1)-FIND("(",作者统计[[#This Row],[作者]],1)-1),"")</f>
        <v/>
      </c>
    </row>
    <row r="977" spans="2:10" ht="18" customHeight="1" x14ac:dyDescent="0.25">
      <c r="B977" s="309"/>
      <c r="C977" s="120"/>
      <c r="D977" s="121"/>
      <c r="E977" s="121"/>
      <c r="F977" s="92"/>
      <c r="G977" s="92"/>
      <c r="H977" s="122"/>
      <c r="I977" s="68" t="str">
        <f>IFERROR(MID(作者统计[[#This Row],[作者]],FIND("[",作者统计[[#This Row],[作者]],1)+1,FIND("]",作者统计[[#This Row],[作者]],1)-FIND("[",作者统计[[#This Row],[作者]],1)-1),"")</f>
        <v/>
      </c>
      <c r="J977" s="68" t="str">
        <f>IFERROR(MID(作者统计[[#This Row],[作者]],FIND("(",作者统计[[#This Row],[作者]],1)+1,FIND(")",作者统计[[#This Row],[作者]],1)-FIND("(",作者统计[[#This Row],[作者]],1)-1),"")</f>
        <v/>
      </c>
    </row>
    <row r="978" spans="2:10" ht="18" customHeight="1" x14ac:dyDescent="0.25">
      <c r="B978" s="85"/>
      <c r="C978" s="120"/>
      <c r="D978" s="121"/>
      <c r="E978" s="121"/>
      <c r="F978" s="92"/>
      <c r="G978" s="92"/>
      <c r="H978" s="122"/>
      <c r="I978" s="68" t="str">
        <f>IFERROR(MID(作者统计[[#This Row],[作者]],FIND("[",作者统计[[#This Row],[作者]],1)+1,FIND("]",作者统计[[#This Row],[作者]],1)-FIND("[",作者统计[[#This Row],[作者]],1)-1),"")</f>
        <v/>
      </c>
      <c r="J978" s="68" t="str">
        <f>IFERROR(MID(作者统计[[#This Row],[作者]],FIND("(",作者统计[[#This Row],[作者]],1)+1,FIND(")",作者统计[[#This Row],[作者]],1)-FIND("(",作者统计[[#This Row],[作者]],1)-1),"")</f>
        <v/>
      </c>
    </row>
    <row r="979" spans="2:10" ht="18" customHeight="1" x14ac:dyDescent="0.25">
      <c r="B979" s="85"/>
      <c r="C979" s="120"/>
      <c r="D979" s="121"/>
      <c r="E979" s="121"/>
      <c r="F979" s="92"/>
      <c r="G979" s="92"/>
      <c r="H979" s="122"/>
      <c r="I979" s="68" t="str">
        <f>IFERROR(MID(作者统计[[#This Row],[作者]],FIND("[",作者统计[[#This Row],[作者]],1)+1,FIND("]",作者统计[[#This Row],[作者]],1)-FIND("[",作者统计[[#This Row],[作者]],1)-1),"")</f>
        <v/>
      </c>
      <c r="J979" s="68" t="str">
        <f>IFERROR(MID(作者统计[[#This Row],[作者]],FIND("(",作者统计[[#This Row],[作者]],1)+1,FIND(")",作者统计[[#This Row],[作者]],1)-FIND("(",作者统计[[#This Row],[作者]],1)-1),"")</f>
        <v/>
      </c>
    </row>
    <row r="980" spans="2:10" ht="18" customHeight="1" x14ac:dyDescent="0.25">
      <c r="B980" s="309"/>
      <c r="C980" s="120"/>
      <c r="D980" s="121"/>
      <c r="E980" s="121"/>
      <c r="F980" s="92"/>
      <c r="G980" s="92"/>
      <c r="H980" s="122"/>
      <c r="I980" s="68" t="str">
        <f>IFERROR(MID(作者统计[[#This Row],[作者]],FIND("[",作者统计[[#This Row],[作者]],1)+1,FIND("]",作者统计[[#This Row],[作者]],1)-FIND("[",作者统计[[#This Row],[作者]],1)-1),"")</f>
        <v/>
      </c>
      <c r="J980" s="68" t="str">
        <f>IFERROR(MID(作者统计[[#This Row],[作者]],FIND("(",作者统计[[#This Row],[作者]],1)+1,FIND(")",作者统计[[#This Row],[作者]],1)-FIND("(",作者统计[[#This Row],[作者]],1)-1),"")</f>
        <v/>
      </c>
    </row>
    <row r="981" spans="2:10" ht="18" customHeight="1" x14ac:dyDescent="0.25">
      <c r="B981" s="256"/>
      <c r="C981" s="257"/>
      <c r="D981" s="258"/>
      <c r="E981" s="258"/>
      <c r="F981" s="259"/>
      <c r="G981" s="259"/>
      <c r="H981" s="260"/>
      <c r="I981" s="261" t="str">
        <f>IFERROR(MID(作者统计[[#This Row],[作者]],FIND("[",作者统计[[#This Row],[作者]],1)+1,FIND("]",作者统计[[#This Row],[作者]],1)-FIND("[",作者统计[[#This Row],[作者]],1)-1),"")</f>
        <v/>
      </c>
      <c r="J981" s="261" t="str">
        <f>IFERROR(MID(作者统计[[#This Row],[作者]],FIND("(",作者统计[[#This Row],[作者]],1)+1,FIND(")",作者统计[[#This Row],[作者]],1)-FIND("(",作者统计[[#This Row],[作者]],1)-1),"")</f>
        <v/>
      </c>
    </row>
    <row r="982" spans="2:10" ht="18" customHeight="1" x14ac:dyDescent="0.25">
      <c r="B982" s="256"/>
      <c r="C982" s="257"/>
      <c r="D982" s="258"/>
      <c r="E982" s="258"/>
      <c r="F982" s="259"/>
      <c r="G982" s="259"/>
      <c r="H982" s="260"/>
      <c r="I982" s="261" t="str">
        <f>IFERROR(MID(作者统计[[#This Row],[作者]],FIND("[",作者统计[[#This Row],[作者]],1)+1,FIND("]",作者统计[[#This Row],[作者]],1)-FIND("[",作者统计[[#This Row],[作者]],1)-1),"")</f>
        <v/>
      </c>
      <c r="J982" s="261" t="str">
        <f>IFERROR(MID(作者统计[[#This Row],[作者]],FIND("(",作者统计[[#This Row],[作者]],1)+1,FIND(")",作者统计[[#This Row],[作者]],1)-FIND("(",作者统计[[#This Row],[作者]],1)-1),"")</f>
        <v/>
      </c>
    </row>
    <row r="983" spans="2:10" ht="18" customHeight="1" x14ac:dyDescent="0.25">
      <c r="B983" s="256"/>
      <c r="C983" s="257"/>
      <c r="D983" s="258"/>
      <c r="E983" s="258"/>
      <c r="F983" s="259"/>
      <c r="G983" s="259"/>
      <c r="H983" s="260"/>
      <c r="I983" s="261" t="str">
        <f>IFERROR(MID(作者统计[[#This Row],[作者]],FIND("[",作者统计[[#This Row],[作者]],1)+1,FIND("]",作者统计[[#This Row],[作者]],1)-FIND("[",作者统计[[#This Row],[作者]],1)-1),"")</f>
        <v/>
      </c>
      <c r="J983" s="261" t="str">
        <f>IFERROR(MID(作者统计[[#This Row],[作者]],FIND("(",作者统计[[#This Row],[作者]],1)+1,FIND(")",作者统计[[#This Row],[作者]],1)-FIND("(",作者统计[[#This Row],[作者]],1)-1),"")</f>
        <v/>
      </c>
    </row>
    <row r="984" spans="2:10" ht="18" customHeight="1" x14ac:dyDescent="0.25">
      <c r="B984" s="256"/>
      <c r="C984" s="257"/>
      <c r="D984" s="258"/>
      <c r="E984" s="258"/>
      <c r="F984" s="259"/>
      <c r="G984" s="259"/>
      <c r="H984" s="260"/>
      <c r="I984" s="261" t="str">
        <f>IFERROR(MID(作者统计[[#This Row],[作者]],FIND("[",作者统计[[#This Row],[作者]],1)+1,FIND("]",作者统计[[#This Row],[作者]],1)-FIND("[",作者统计[[#This Row],[作者]],1)-1),"")</f>
        <v/>
      </c>
      <c r="J984" s="261" t="str">
        <f>IFERROR(MID(作者统计[[#This Row],[作者]],FIND("(",作者统计[[#This Row],[作者]],1)+1,FIND(")",作者统计[[#This Row],[作者]],1)-FIND("(",作者统计[[#This Row],[作者]],1)-1),"")</f>
        <v/>
      </c>
    </row>
    <row r="985" spans="2:10" ht="18" customHeight="1" x14ac:dyDescent="0.25">
      <c r="B985" s="309"/>
      <c r="C985" s="120"/>
      <c r="D985" s="121"/>
      <c r="E985" s="121"/>
      <c r="F985" s="92"/>
      <c r="G985" s="92"/>
      <c r="H985" s="122"/>
      <c r="I985" s="68" t="str">
        <f>IFERROR(MID(作者统计[[#This Row],[作者]],FIND("[",作者统计[[#This Row],[作者]],1)+1,FIND("]",作者统计[[#This Row],[作者]],1)-FIND("[",作者统计[[#This Row],[作者]],1)-1),"")</f>
        <v/>
      </c>
      <c r="J985" s="68" t="str">
        <f>IFERROR(MID(作者统计[[#This Row],[作者]],FIND("(",作者统计[[#This Row],[作者]],1)+1,FIND(")",作者统计[[#This Row],[作者]],1)-FIND("(",作者统计[[#This Row],[作者]],1)-1),"")</f>
        <v/>
      </c>
    </row>
    <row r="986" spans="2:10" ht="18" customHeight="1" x14ac:dyDescent="0.25">
      <c r="B986" s="85"/>
      <c r="C986" s="120"/>
      <c r="D986" s="121"/>
      <c r="E986" s="121"/>
      <c r="F986" s="92"/>
      <c r="G986" s="92"/>
      <c r="H986" s="122"/>
      <c r="I986" s="68" t="str">
        <f>IFERROR(MID(作者统计[[#This Row],[作者]],FIND("[",作者统计[[#This Row],[作者]],1)+1,FIND("]",作者统计[[#This Row],[作者]],1)-FIND("[",作者统计[[#This Row],[作者]],1)-1),"")</f>
        <v/>
      </c>
      <c r="J986" s="68" t="str">
        <f>IFERROR(MID(作者统计[[#This Row],[作者]],FIND("(",作者统计[[#This Row],[作者]],1)+1,FIND(")",作者统计[[#This Row],[作者]],1)-FIND("(",作者统计[[#This Row],[作者]],1)-1),"")</f>
        <v/>
      </c>
    </row>
    <row r="987" spans="2:10" ht="18" customHeight="1" x14ac:dyDescent="0.25">
      <c r="B987" s="85"/>
      <c r="C987" s="120"/>
      <c r="D987" s="121"/>
      <c r="E987" s="121"/>
      <c r="F987" s="92"/>
      <c r="G987" s="92"/>
      <c r="H987" s="122"/>
      <c r="I987" s="68" t="str">
        <f>IFERROR(MID(作者统计[[#This Row],[作者]],FIND("[",作者统计[[#This Row],[作者]],1)+1,FIND("]",作者统计[[#This Row],[作者]],1)-FIND("[",作者统计[[#This Row],[作者]],1)-1),"")</f>
        <v/>
      </c>
      <c r="J987" s="68" t="str">
        <f>IFERROR(MID(作者统计[[#This Row],[作者]],FIND("(",作者统计[[#This Row],[作者]],1)+1,FIND(")",作者统计[[#This Row],[作者]],1)-FIND("(",作者统计[[#This Row],[作者]],1)-1),"")</f>
        <v/>
      </c>
    </row>
    <row r="988" spans="2:10" ht="18" customHeight="1" x14ac:dyDescent="0.25">
      <c r="B988" s="256"/>
      <c r="C988" s="257"/>
      <c r="D988" s="258"/>
      <c r="E988" s="258"/>
      <c r="F988" s="259"/>
      <c r="G988" s="259"/>
      <c r="H988" s="260"/>
      <c r="I988" s="261" t="str">
        <f>IFERROR(MID(作者统计[[#This Row],[作者]],FIND("[",作者统计[[#This Row],[作者]],1)+1,FIND("]",作者统计[[#This Row],[作者]],1)-FIND("[",作者统计[[#This Row],[作者]],1)-1),"")</f>
        <v/>
      </c>
      <c r="J988" s="261" t="str">
        <f>IFERROR(MID(作者统计[[#This Row],[作者]],FIND("(",作者统计[[#This Row],[作者]],1)+1,FIND(")",作者统计[[#This Row],[作者]],1)-FIND("(",作者统计[[#This Row],[作者]],1)-1),"")</f>
        <v/>
      </c>
    </row>
    <row r="989" spans="2:10" ht="18" customHeight="1" x14ac:dyDescent="0.25">
      <c r="B989" s="256"/>
      <c r="C989" s="257"/>
      <c r="D989" s="258"/>
      <c r="E989" s="258"/>
      <c r="F989" s="259"/>
      <c r="G989" s="259"/>
      <c r="H989" s="260"/>
      <c r="I989" s="261" t="str">
        <f>IFERROR(MID(作者统计[[#This Row],[作者]],FIND("[",作者统计[[#This Row],[作者]],1)+1,FIND("]",作者统计[[#This Row],[作者]],1)-FIND("[",作者统计[[#This Row],[作者]],1)-1),"")</f>
        <v/>
      </c>
      <c r="J989" s="261" t="str">
        <f>IFERROR(MID(作者统计[[#This Row],[作者]],FIND("(",作者统计[[#This Row],[作者]],1)+1,FIND(")",作者统计[[#This Row],[作者]],1)-FIND("(",作者统计[[#This Row],[作者]],1)-1),"")</f>
        <v/>
      </c>
    </row>
    <row r="990" spans="2:10" ht="18" customHeight="1" x14ac:dyDescent="0.25">
      <c r="B990" s="85"/>
      <c r="C990" s="120"/>
      <c r="D990" s="121"/>
      <c r="E990" s="121"/>
      <c r="F990" s="92"/>
      <c r="G990" s="92"/>
      <c r="H990" s="122"/>
      <c r="I990" s="68" t="str">
        <f>IFERROR(MID(作者统计[[#This Row],[作者]],FIND("[",作者统计[[#This Row],[作者]],1)+1,FIND("]",作者统计[[#This Row],[作者]],1)-FIND("[",作者统计[[#This Row],[作者]],1)-1),"")</f>
        <v/>
      </c>
      <c r="J990" s="68" t="str">
        <f>IFERROR(MID(作者统计[[#This Row],[作者]],FIND("(",作者统计[[#This Row],[作者]],1)+1,FIND(")",作者统计[[#This Row],[作者]],1)-FIND("(",作者统计[[#This Row],[作者]],1)-1),"")</f>
        <v/>
      </c>
    </row>
    <row r="991" spans="2:10" ht="18" customHeight="1" x14ac:dyDescent="0.25">
      <c r="B991" s="256"/>
      <c r="C991" s="257"/>
      <c r="D991" s="258"/>
      <c r="E991" s="258"/>
      <c r="F991" s="259"/>
      <c r="G991" s="259"/>
      <c r="H991" s="260"/>
      <c r="I991" s="261" t="str">
        <f>IFERROR(MID(作者统计[[#This Row],[作者]],FIND("[",作者统计[[#This Row],[作者]],1)+1,FIND("]",作者统计[[#This Row],[作者]],1)-FIND("[",作者统计[[#This Row],[作者]],1)-1),"")</f>
        <v/>
      </c>
      <c r="J991" s="261" t="str">
        <f>IFERROR(MID(作者统计[[#This Row],[作者]],FIND("(",作者统计[[#This Row],[作者]],1)+1,FIND(")",作者统计[[#This Row],[作者]],1)-FIND("(",作者统计[[#This Row],[作者]],1)-1),"")</f>
        <v/>
      </c>
    </row>
    <row r="992" spans="2:10" ht="18" customHeight="1" x14ac:dyDescent="0.25">
      <c r="B992" s="309"/>
      <c r="C992" s="120"/>
      <c r="D992" s="121"/>
      <c r="E992" s="121"/>
      <c r="F992" s="92"/>
      <c r="G992" s="92"/>
      <c r="H992" s="122"/>
      <c r="I992" s="68" t="str">
        <f>IFERROR(MID(作者统计[[#This Row],[作者]],FIND("[",作者统计[[#This Row],[作者]],1)+1,FIND("]",作者统计[[#This Row],[作者]],1)-FIND("[",作者统计[[#This Row],[作者]],1)-1),"")</f>
        <v/>
      </c>
      <c r="J992" s="68" t="str">
        <f>IFERROR(MID(作者统计[[#This Row],[作者]],FIND("(",作者统计[[#This Row],[作者]],1)+1,FIND(")",作者统计[[#This Row],[作者]],1)-FIND("(",作者统计[[#This Row],[作者]],1)-1),"")</f>
        <v/>
      </c>
    </row>
    <row r="993" spans="2:10" ht="18" customHeight="1" x14ac:dyDescent="0.25">
      <c r="B993" s="256"/>
      <c r="C993" s="257"/>
      <c r="D993" s="258"/>
      <c r="E993" s="258"/>
      <c r="F993" s="259"/>
      <c r="G993" s="259"/>
      <c r="H993" s="260"/>
      <c r="I993" s="261" t="str">
        <f>IFERROR(MID(作者统计[[#This Row],[作者]],FIND("[",作者统计[[#This Row],[作者]],1)+1,FIND("]",作者统计[[#This Row],[作者]],1)-FIND("[",作者统计[[#This Row],[作者]],1)-1),"")</f>
        <v/>
      </c>
      <c r="J993" s="261" t="str">
        <f>IFERROR(MID(作者统计[[#This Row],[作者]],FIND("(",作者统计[[#This Row],[作者]],1)+1,FIND(")",作者统计[[#This Row],[作者]],1)-FIND("(",作者统计[[#This Row],[作者]],1)-1),"")</f>
        <v/>
      </c>
    </row>
    <row r="994" spans="2:10" ht="18" customHeight="1" x14ac:dyDescent="0.25">
      <c r="B994" s="309"/>
      <c r="C994" s="120"/>
      <c r="D994" s="121"/>
      <c r="E994" s="121"/>
      <c r="F994" s="92"/>
      <c r="G994" s="92"/>
      <c r="H994" s="122"/>
      <c r="I994" s="68" t="str">
        <f>IFERROR(MID(作者统计[[#This Row],[作者]],FIND("[",作者统计[[#This Row],[作者]],1)+1,FIND("]",作者统计[[#This Row],[作者]],1)-FIND("[",作者统计[[#This Row],[作者]],1)-1),"")</f>
        <v/>
      </c>
      <c r="J994" s="68" t="str">
        <f>IFERROR(MID(作者统计[[#This Row],[作者]],FIND("(",作者统计[[#This Row],[作者]],1)+1,FIND(")",作者统计[[#This Row],[作者]],1)-FIND("(",作者统计[[#This Row],[作者]],1)-1),"")</f>
        <v/>
      </c>
    </row>
    <row r="995" spans="2:10" ht="18" customHeight="1" x14ac:dyDescent="0.25">
      <c r="B995" s="85"/>
      <c r="C995" s="120"/>
      <c r="D995" s="121"/>
      <c r="E995" s="121"/>
      <c r="F995" s="92"/>
      <c r="G995" s="92"/>
      <c r="H995" s="122"/>
      <c r="I995" s="68" t="str">
        <f>IFERROR(MID(作者统计[[#This Row],[作者]],FIND("[",作者统计[[#This Row],[作者]],1)+1,FIND("]",作者统计[[#This Row],[作者]],1)-FIND("[",作者统计[[#This Row],[作者]],1)-1),"")</f>
        <v/>
      </c>
      <c r="J995" s="68" t="str">
        <f>IFERROR(MID(作者统计[[#This Row],[作者]],FIND("(",作者统计[[#This Row],[作者]],1)+1,FIND(")",作者统计[[#This Row],[作者]],1)-FIND("(",作者统计[[#This Row],[作者]],1)-1),"")</f>
        <v/>
      </c>
    </row>
    <row r="996" spans="2:10" ht="18" customHeight="1" x14ac:dyDescent="0.25">
      <c r="B996" s="256"/>
      <c r="C996" s="257"/>
      <c r="D996" s="258"/>
      <c r="E996" s="258"/>
      <c r="F996" s="259"/>
      <c r="G996" s="259"/>
      <c r="H996" s="260"/>
      <c r="I996" s="261" t="str">
        <f>IFERROR(MID(作者统计[[#This Row],[作者]],FIND("[",作者统计[[#This Row],[作者]],1)+1,FIND("]",作者统计[[#This Row],[作者]],1)-FIND("[",作者统计[[#This Row],[作者]],1)-1),"")</f>
        <v/>
      </c>
      <c r="J996" s="261" t="str">
        <f>IFERROR(MID(作者统计[[#This Row],[作者]],FIND("(",作者统计[[#This Row],[作者]],1)+1,FIND(")",作者统计[[#This Row],[作者]],1)-FIND("(",作者统计[[#This Row],[作者]],1)-1),"")</f>
        <v/>
      </c>
    </row>
    <row r="997" spans="2:10" ht="18" customHeight="1" x14ac:dyDescent="0.25">
      <c r="B997" s="256"/>
      <c r="C997" s="257"/>
      <c r="D997" s="258"/>
      <c r="E997" s="258"/>
      <c r="F997" s="259"/>
      <c r="G997" s="259"/>
      <c r="H997" s="260"/>
      <c r="I997" s="261" t="str">
        <f>IFERROR(MID(作者统计[[#This Row],[作者]],FIND("[",作者统计[[#This Row],[作者]],1)+1,FIND("]",作者统计[[#This Row],[作者]],1)-FIND("[",作者统计[[#This Row],[作者]],1)-1),"")</f>
        <v/>
      </c>
      <c r="J997" s="261" t="str">
        <f>IFERROR(MID(作者统计[[#This Row],[作者]],FIND("(",作者统计[[#This Row],[作者]],1)+1,FIND(")",作者统计[[#This Row],[作者]],1)-FIND("(",作者统计[[#This Row],[作者]],1)-1),"")</f>
        <v/>
      </c>
    </row>
    <row r="998" spans="2:10" ht="18" customHeight="1" x14ac:dyDescent="0.25">
      <c r="B998" s="85"/>
      <c r="C998" s="120"/>
      <c r="D998" s="121"/>
      <c r="E998" s="121"/>
      <c r="F998" s="92"/>
      <c r="G998" s="92"/>
      <c r="H998" s="122"/>
      <c r="I998" s="68" t="str">
        <f>IFERROR(MID(作者统计[[#This Row],[作者]],FIND("[",作者统计[[#This Row],[作者]],1)+1,FIND("]",作者统计[[#This Row],[作者]],1)-FIND("[",作者统计[[#This Row],[作者]],1)-1),"")</f>
        <v/>
      </c>
      <c r="J998" s="68" t="str">
        <f>IFERROR(MID(作者统计[[#This Row],[作者]],FIND("(",作者统计[[#This Row],[作者]],1)+1,FIND(")",作者统计[[#This Row],[作者]],1)-FIND("(",作者统计[[#This Row],[作者]],1)-1),"")</f>
        <v/>
      </c>
    </row>
    <row r="999" spans="2:10" ht="18" customHeight="1" x14ac:dyDescent="0.25">
      <c r="B999" s="85"/>
      <c r="C999" s="120"/>
      <c r="D999" s="121"/>
      <c r="E999" s="121"/>
      <c r="F999" s="92"/>
      <c r="G999" s="92"/>
      <c r="H999" s="122"/>
      <c r="I999" s="68" t="str">
        <f>IFERROR(MID(作者统计[[#This Row],[作者]],FIND("[",作者统计[[#This Row],[作者]],1)+1,FIND("]",作者统计[[#This Row],[作者]],1)-FIND("[",作者统计[[#This Row],[作者]],1)-1),"")</f>
        <v/>
      </c>
      <c r="J999" s="68" t="str">
        <f>IFERROR(MID(作者统计[[#This Row],[作者]],FIND("(",作者统计[[#This Row],[作者]],1)+1,FIND(")",作者统计[[#This Row],[作者]],1)-FIND("(",作者统计[[#This Row],[作者]],1)-1),"")</f>
        <v/>
      </c>
    </row>
    <row r="1000" spans="2:10" ht="18" customHeight="1" x14ac:dyDescent="0.25">
      <c r="B1000" s="256"/>
      <c r="C1000" s="257"/>
      <c r="D1000" s="258"/>
      <c r="E1000" s="258"/>
      <c r="F1000" s="259"/>
      <c r="G1000" s="259"/>
      <c r="H1000" s="260"/>
      <c r="I1000" s="261" t="str">
        <f>IFERROR(MID(作者统计[[#This Row],[作者]],FIND("[",作者统计[[#This Row],[作者]],1)+1,FIND("]",作者统计[[#This Row],[作者]],1)-FIND("[",作者统计[[#This Row],[作者]],1)-1),"")</f>
        <v/>
      </c>
      <c r="J100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01" spans="2:10" ht="18" customHeight="1" x14ac:dyDescent="0.25">
      <c r="B1001" s="85"/>
      <c r="C1001" s="120"/>
      <c r="D1001" s="121"/>
      <c r="E1001" s="121"/>
      <c r="F1001" s="92"/>
      <c r="G1001" s="92"/>
      <c r="H1001" s="122"/>
      <c r="I1001" s="68" t="str">
        <f>IFERROR(MID(作者统计[[#This Row],[作者]],FIND("[",作者统计[[#This Row],[作者]],1)+1,FIND("]",作者统计[[#This Row],[作者]],1)-FIND("[",作者统计[[#This Row],[作者]],1)-1),"")</f>
        <v/>
      </c>
      <c r="J100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02" spans="2:10" ht="18" customHeight="1" x14ac:dyDescent="0.25">
      <c r="B1002" s="309"/>
      <c r="C1002" s="120"/>
      <c r="D1002" s="121"/>
      <c r="E1002" s="121"/>
      <c r="F1002" s="92"/>
      <c r="G1002" s="92"/>
      <c r="H1002" s="122"/>
      <c r="I1002" s="68" t="str">
        <f>IFERROR(MID(作者统计[[#This Row],[作者]],FIND("[",作者统计[[#This Row],[作者]],1)+1,FIND("]",作者统计[[#This Row],[作者]],1)-FIND("[",作者统计[[#This Row],[作者]],1)-1),"")</f>
        <v/>
      </c>
      <c r="J1002" s="68" t="str">
        <f>IFERROR(MID(作者统计[[#This Row],[作者]],FIND("(",作者统计[[#This Row],[作者]],1)+1,FIND(")",作者统计[[#This Row],[作者]],1)-FIND("(",作者统计[[#This Row],[作者]],1)-1),"")</f>
        <v/>
      </c>
    </row>
    <row r="1003" spans="2:10" ht="18" customHeight="1" x14ac:dyDescent="0.25">
      <c r="B1003" s="256"/>
      <c r="C1003" s="257"/>
      <c r="D1003" s="258"/>
      <c r="E1003" s="258"/>
      <c r="F1003" s="259"/>
      <c r="G1003" s="259"/>
      <c r="H1003" s="260"/>
      <c r="I1003" s="261" t="str">
        <f>IFERROR(MID(作者统计[[#This Row],[作者]],FIND("[",作者统计[[#This Row],[作者]],1)+1,FIND("]",作者统计[[#This Row],[作者]],1)-FIND("[",作者统计[[#This Row],[作者]],1)-1),"")</f>
        <v/>
      </c>
      <c r="J100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04" spans="2:10" ht="18" customHeight="1" x14ac:dyDescent="0.25">
      <c r="B1004" s="85"/>
      <c r="C1004" s="120"/>
      <c r="D1004" s="121"/>
      <c r="E1004" s="121"/>
      <c r="F1004" s="92"/>
      <c r="G1004" s="92"/>
      <c r="H1004" s="122"/>
      <c r="I1004" s="68" t="str">
        <f>IFERROR(MID(作者统计[[#This Row],[作者]],FIND("[",作者统计[[#This Row],[作者]],1)+1,FIND("]",作者统计[[#This Row],[作者]],1)-FIND("[",作者统计[[#This Row],[作者]],1)-1),"")</f>
        <v/>
      </c>
      <c r="J1004" s="68" t="str">
        <f>IFERROR(MID(作者统计[[#This Row],[作者]],FIND("(",作者统计[[#This Row],[作者]],1)+1,FIND(")",作者统计[[#This Row],[作者]],1)-FIND("(",作者统计[[#This Row],[作者]],1)-1),"")</f>
        <v/>
      </c>
    </row>
    <row r="1005" spans="2:10" ht="18" customHeight="1" x14ac:dyDescent="0.25">
      <c r="B1005" s="85"/>
      <c r="C1005" s="120"/>
      <c r="D1005" s="121"/>
      <c r="E1005" s="121"/>
      <c r="F1005" s="92"/>
      <c r="G1005" s="92"/>
      <c r="H1005" s="122"/>
      <c r="I1005" s="68" t="str">
        <f>IFERROR(MID(作者统计[[#This Row],[作者]],FIND("[",作者统计[[#This Row],[作者]],1)+1,FIND("]",作者统计[[#This Row],[作者]],1)-FIND("[",作者统计[[#This Row],[作者]],1)-1),"")</f>
        <v/>
      </c>
      <c r="J1005" s="68" t="str">
        <f>IFERROR(MID(作者统计[[#This Row],[作者]],FIND("(",作者统计[[#This Row],[作者]],1)+1,FIND(")",作者统计[[#This Row],[作者]],1)-FIND("(",作者统计[[#This Row],[作者]],1)-1),"")</f>
        <v/>
      </c>
    </row>
    <row r="1006" spans="2:10" ht="18" customHeight="1" x14ac:dyDescent="0.25">
      <c r="B1006" s="309"/>
      <c r="C1006" s="120"/>
      <c r="D1006" s="121"/>
      <c r="E1006" s="121"/>
      <c r="F1006" s="92"/>
      <c r="G1006" s="92"/>
      <c r="H1006" s="122"/>
      <c r="I1006" s="68" t="str">
        <f>IFERROR(MID(作者统计[[#This Row],[作者]],FIND("[",作者统计[[#This Row],[作者]],1)+1,FIND("]",作者统计[[#This Row],[作者]],1)-FIND("[",作者统计[[#This Row],[作者]],1)-1),"")</f>
        <v/>
      </c>
      <c r="J1006" s="68" t="str">
        <f>IFERROR(MID(作者统计[[#This Row],[作者]],FIND("(",作者统计[[#This Row],[作者]],1)+1,FIND(")",作者统计[[#This Row],[作者]],1)-FIND("(",作者统计[[#This Row],[作者]],1)-1),"")</f>
        <v/>
      </c>
    </row>
    <row r="1007" spans="2:10" ht="18" customHeight="1" x14ac:dyDescent="0.25">
      <c r="B1007" s="85"/>
      <c r="C1007" s="120"/>
      <c r="D1007" s="121"/>
      <c r="E1007" s="121"/>
      <c r="F1007" s="92"/>
      <c r="G1007" s="92"/>
      <c r="H1007" s="122"/>
      <c r="I1007" s="68" t="str">
        <f>IFERROR(MID(作者统计[[#This Row],[作者]],FIND("[",作者统计[[#This Row],[作者]],1)+1,FIND("]",作者统计[[#This Row],[作者]],1)-FIND("[",作者统计[[#This Row],[作者]],1)-1),"")</f>
        <v/>
      </c>
      <c r="J1007" s="68" t="str">
        <f>IFERROR(MID(作者统计[[#This Row],[作者]],FIND("(",作者统计[[#This Row],[作者]],1)+1,FIND(")",作者统计[[#This Row],[作者]],1)-FIND("(",作者统计[[#This Row],[作者]],1)-1),"")</f>
        <v/>
      </c>
    </row>
    <row r="1008" spans="2:10" ht="18" customHeight="1" x14ac:dyDescent="0.25">
      <c r="B1008" s="309"/>
      <c r="C1008" s="120"/>
      <c r="D1008" s="121"/>
      <c r="E1008" s="121"/>
      <c r="F1008" s="92"/>
      <c r="G1008" s="92"/>
      <c r="H1008" s="122"/>
      <c r="I1008" s="68" t="str">
        <f>IFERROR(MID(作者统计[[#This Row],[作者]],FIND("[",作者统计[[#This Row],[作者]],1)+1,FIND("]",作者统计[[#This Row],[作者]],1)-FIND("[",作者统计[[#This Row],[作者]],1)-1),"")</f>
        <v/>
      </c>
      <c r="J1008" s="68" t="str">
        <f>IFERROR(MID(作者统计[[#This Row],[作者]],FIND("(",作者统计[[#This Row],[作者]],1)+1,FIND(")",作者统计[[#This Row],[作者]],1)-FIND("(",作者统计[[#This Row],[作者]],1)-1),"")</f>
        <v/>
      </c>
    </row>
    <row r="1009" spans="2:10" ht="18" customHeight="1" x14ac:dyDescent="0.25">
      <c r="B1009" s="309"/>
      <c r="C1009" s="120"/>
      <c r="D1009" s="121"/>
      <c r="E1009" s="121"/>
      <c r="F1009" s="92"/>
      <c r="G1009" s="92"/>
      <c r="H1009" s="122"/>
      <c r="I1009" s="68" t="str">
        <f>IFERROR(MID(作者统计[[#This Row],[作者]],FIND("[",作者统计[[#This Row],[作者]],1)+1,FIND("]",作者统计[[#This Row],[作者]],1)-FIND("[",作者统计[[#This Row],[作者]],1)-1),"")</f>
        <v/>
      </c>
      <c r="J1009" s="68" t="str">
        <f>IFERROR(MID(作者统计[[#This Row],[作者]],FIND("(",作者统计[[#This Row],[作者]],1)+1,FIND(")",作者统计[[#This Row],[作者]],1)-FIND("(",作者统计[[#This Row],[作者]],1)-1),"")</f>
        <v/>
      </c>
    </row>
    <row r="1010" spans="2:10" ht="18" customHeight="1" x14ac:dyDescent="0.25">
      <c r="B1010" s="85"/>
      <c r="C1010" s="120"/>
      <c r="D1010" s="121"/>
      <c r="E1010" s="121"/>
      <c r="F1010" s="92"/>
      <c r="G1010" s="92"/>
      <c r="H1010" s="122"/>
      <c r="I1010" s="68" t="str">
        <f>IFERROR(MID(作者统计[[#This Row],[作者]],FIND("[",作者统计[[#This Row],[作者]],1)+1,FIND("]",作者统计[[#This Row],[作者]],1)-FIND("[",作者统计[[#This Row],[作者]],1)-1),"")</f>
        <v/>
      </c>
      <c r="J1010" s="68" t="str">
        <f>IFERROR(MID(作者统计[[#This Row],[作者]],FIND("(",作者统计[[#This Row],[作者]],1)+1,FIND(")",作者统计[[#This Row],[作者]],1)-FIND("(",作者统计[[#This Row],[作者]],1)-1),"")</f>
        <v/>
      </c>
    </row>
    <row r="1011" spans="2:10" ht="18" customHeight="1" x14ac:dyDescent="0.25">
      <c r="B1011" s="309"/>
      <c r="C1011" s="120"/>
      <c r="D1011" s="121"/>
      <c r="E1011" s="121"/>
      <c r="F1011" s="92"/>
      <c r="G1011" s="92"/>
      <c r="H1011" s="122"/>
      <c r="I1011" s="68" t="str">
        <f>IFERROR(MID(作者统计[[#This Row],[作者]],FIND("[",作者统计[[#This Row],[作者]],1)+1,FIND("]",作者统计[[#This Row],[作者]],1)-FIND("[",作者统计[[#This Row],[作者]],1)-1),"")</f>
        <v/>
      </c>
      <c r="J101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12" spans="2:10" ht="18" customHeight="1" x14ac:dyDescent="0.25">
      <c r="B1012" s="256"/>
      <c r="C1012" s="257"/>
      <c r="D1012" s="258"/>
      <c r="E1012" s="258"/>
      <c r="F1012" s="259"/>
      <c r="G1012" s="259"/>
      <c r="H1012" s="260"/>
      <c r="I1012" s="261" t="str">
        <f>IFERROR(MID(作者统计[[#This Row],[作者]],FIND("[",作者统计[[#This Row],[作者]],1)+1,FIND("]",作者统计[[#This Row],[作者]],1)-FIND("[",作者统计[[#This Row],[作者]],1)-1),"")</f>
        <v/>
      </c>
      <c r="J101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13" spans="2:10" ht="18" customHeight="1" x14ac:dyDescent="0.25">
      <c r="B1013" s="309"/>
      <c r="C1013" s="120"/>
      <c r="D1013" s="121"/>
      <c r="E1013" s="121"/>
      <c r="F1013" s="92"/>
      <c r="G1013" s="92"/>
      <c r="H1013" s="122"/>
      <c r="I1013" s="68" t="str">
        <f>IFERROR(MID(作者统计[[#This Row],[作者]],FIND("[",作者统计[[#This Row],[作者]],1)+1,FIND("]",作者统计[[#This Row],[作者]],1)-FIND("[",作者统计[[#This Row],[作者]],1)-1),"")</f>
        <v/>
      </c>
      <c r="J1013" s="68" t="str">
        <f>IFERROR(MID(作者统计[[#This Row],[作者]],FIND("(",作者统计[[#This Row],[作者]],1)+1,FIND(")",作者统计[[#This Row],[作者]],1)-FIND("(",作者统计[[#This Row],[作者]],1)-1),"")</f>
        <v/>
      </c>
    </row>
    <row r="1014" spans="2:10" ht="18" customHeight="1" x14ac:dyDescent="0.25">
      <c r="B1014" s="309"/>
      <c r="C1014" s="120"/>
      <c r="D1014" s="121"/>
      <c r="E1014" s="121"/>
      <c r="F1014" s="92"/>
      <c r="G1014" s="92"/>
      <c r="H1014" s="122"/>
      <c r="I1014" s="68" t="str">
        <f>IFERROR(MID(作者统计[[#This Row],[作者]],FIND("[",作者统计[[#This Row],[作者]],1)+1,FIND("]",作者统计[[#This Row],[作者]],1)-FIND("[",作者统计[[#This Row],[作者]],1)-1),"")</f>
        <v/>
      </c>
      <c r="J1014" s="68" t="str">
        <f>IFERROR(MID(作者统计[[#This Row],[作者]],FIND("(",作者统计[[#This Row],[作者]],1)+1,FIND(")",作者统计[[#This Row],[作者]],1)-FIND("(",作者统计[[#This Row],[作者]],1)-1),"")</f>
        <v/>
      </c>
    </row>
    <row r="1015" spans="2:10" ht="18" customHeight="1" x14ac:dyDescent="0.25">
      <c r="B1015" s="256"/>
      <c r="C1015" s="257"/>
      <c r="D1015" s="258"/>
      <c r="E1015" s="258"/>
      <c r="F1015" s="259"/>
      <c r="G1015" s="259"/>
      <c r="H1015" s="260"/>
      <c r="I1015" s="261" t="str">
        <f>IFERROR(MID(作者统计[[#This Row],[作者]],FIND("[",作者统计[[#This Row],[作者]],1)+1,FIND("]",作者统计[[#This Row],[作者]],1)-FIND("[",作者统计[[#This Row],[作者]],1)-1),"")</f>
        <v/>
      </c>
      <c r="J101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16" spans="2:10" ht="18" customHeight="1" x14ac:dyDescent="0.25">
      <c r="B1016" s="256"/>
      <c r="C1016" s="257"/>
      <c r="D1016" s="258"/>
      <c r="E1016" s="258"/>
      <c r="F1016" s="259"/>
      <c r="G1016" s="259"/>
      <c r="H1016" s="260"/>
      <c r="I1016" s="261" t="str">
        <f>IFERROR(MID(作者统计[[#This Row],[作者]],FIND("[",作者统计[[#This Row],[作者]],1)+1,FIND("]",作者统计[[#This Row],[作者]],1)-FIND("[",作者统计[[#This Row],[作者]],1)-1),"")</f>
        <v/>
      </c>
      <c r="J101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17" spans="2:10" ht="18" customHeight="1" x14ac:dyDescent="0.25">
      <c r="B1017" s="256"/>
      <c r="C1017" s="257"/>
      <c r="D1017" s="258"/>
      <c r="E1017" s="258"/>
      <c r="F1017" s="259"/>
      <c r="G1017" s="259"/>
      <c r="H1017" s="260"/>
      <c r="I1017" s="261" t="str">
        <f>IFERROR(MID(作者统计[[#This Row],[作者]],FIND("[",作者统计[[#This Row],[作者]],1)+1,FIND("]",作者统计[[#This Row],[作者]],1)-FIND("[",作者统计[[#This Row],[作者]],1)-1),"")</f>
        <v/>
      </c>
      <c r="J101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18" spans="2:10" ht="18" customHeight="1" x14ac:dyDescent="0.25">
      <c r="B1018" s="256"/>
      <c r="C1018" s="257"/>
      <c r="D1018" s="258"/>
      <c r="E1018" s="258"/>
      <c r="F1018" s="259"/>
      <c r="G1018" s="259"/>
      <c r="H1018" s="260"/>
      <c r="I1018" s="261" t="str">
        <f>IFERROR(MID(作者统计[[#This Row],[作者]],FIND("[",作者统计[[#This Row],[作者]],1)+1,FIND("]",作者统计[[#This Row],[作者]],1)-FIND("[",作者统计[[#This Row],[作者]],1)-1),"")</f>
        <v/>
      </c>
      <c r="J101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19" spans="2:10" ht="18" customHeight="1" x14ac:dyDescent="0.25">
      <c r="B1019" s="256"/>
      <c r="C1019" s="257"/>
      <c r="D1019" s="258"/>
      <c r="E1019" s="258"/>
      <c r="F1019" s="259"/>
      <c r="G1019" s="259"/>
      <c r="H1019" s="260"/>
      <c r="I1019" s="261" t="str">
        <f>IFERROR(MID(作者统计[[#This Row],[作者]],FIND("[",作者统计[[#This Row],[作者]],1)+1,FIND("]",作者统计[[#This Row],[作者]],1)-FIND("[",作者统计[[#This Row],[作者]],1)-1),"")</f>
        <v/>
      </c>
      <c r="J101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20" spans="2:10" ht="18" customHeight="1" x14ac:dyDescent="0.25">
      <c r="B1020" s="85"/>
      <c r="C1020" s="120"/>
      <c r="D1020" s="121"/>
      <c r="E1020" s="121"/>
      <c r="F1020" s="92"/>
      <c r="G1020" s="92"/>
      <c r="H1020" s="122"/>
      <c r="I1020" s="68" t="str">
        <f>IFERROR(MID(作者统计[[#This Row],[作者]],FIND("[",作者统计[[#This Row],[作者]],1)+1,FIND("]",作者统计[[#This Row],[作者]],1)-FIND("[",作者统计[[#This Row],[作者]],1)-1),"")</f>
        <v/>
      </c>
      <c r="J1020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1" spans="2:10" ht="18" customHeight="1" x14ac:dyDescent="0.25">
      <c r="B1021" s="309"/>
      <c r="C1021" s="120"/>
      <c r="D1021" s="121"/>
      <c r="E1021" s="121"/>
      <c r="F1021" s="92"/>
      <c r="G1021" s="92"/>
      <c r="H1021" s="122"/>
      <c r="I1021" s="68" t="str">
        <f>IFERROR(MID(作者统计[[#This Row],[作者]],FIND("[",作者统计[[#This Row],[作者]],1)+1,FIND("]",作者统计[[#This Row],[作者]],1)-FIND("[",作者统计[[#This Row],[作者]],1)-1),"")</f>
        <v/>
      </c>
      <c r="J102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2" spans="2:10" ht="18" customHeight="1" x14ac:dyDescent="0.25">
      <c r="B1022" s="85"/>
      <c r="C1022" s="120"/>
      <c r="D1022" s="121"/>
      <c r="E1022" s="121"/>
      <c r="F1022" s="92"/>
      <c r="G1022" s="92"/>
      <c r="H1022" s="122"/>
      <c r="I1022" s="68" t="str">
        <f>IFERROR(MID(作者统计[[#This Row],[作者]],FIND("[",作者统计[[#This Row],[作者]],1)+1,FIND("]",作者统计[[#This Row],[作者]],1)-FIND("[",作者统计[[#This Row],[作者]],1)-1),"")</f>
        <v/>
      </c>
      <c r="J1022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3" spans="2:10" ht="18" customHeight="1" x14ac:dyDescent="0.25">
      <c r="B1023" s="85"/>
      <c r="C1023" s="120"/>
      <c r="D1023" s="121"/>
      <c r="E1023" s="121"/>
      <c r="F1023" s="92"/>
      <c r="G1023" s="92"/>
      <c r="H1023" s="122"/>
      <c r="I1023" s="68" t="str">
        <f>IFERROR(MID(作者统计[[#This Row],[作者]],FIND("[",作者统计[[#This Row],[作者]],1)+1,FIND("]",作者统计[[#This Row],[作者]],1)-FIND("[",作者统计[[#This Row],[作者]],1)-1),"")</f>
        <v/>
      </c>
      <c r="J1023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4" spans="2:10" ht="18" customHeight="1" x14ac:dyDescent="0.25">
      <c r="B1024" s="85"/>
      <c r="C1024" s="120"/>
      <c r="D1024" s="121"/>
      <c r="E1024" s="121"/>
      <c r="F1024" s="92"/>
      <c r="G1024" s="92"/>
      <c r="H1024" s="122"/>
      <c r="I1024" s="68" t="str">
        <f>IFERROR(MID(作者统计[[#This Row],[作者]],FIND("[",作者统计[[#This Row],[作者]],1)+1,FIND("]",作者统计[[#This Row],[作者]],1)-FIND("[",作者统计[[#This Row],[作者]],1)-1),"")</f>
        <v/>
      </c>
      <c r="J1024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5" spans="2:10" ht="18" customHeight="1" x14ac:dyDescent="0.25">
      <c r="B1025" s="309"/>
      <c r="C1025" s="120"/>
      <c r="D1025" s="121"/>
      <c r="E1025" s="121"/>
      <c r="F1025" s="92"/>
      <c r="G1025" s="92"/>
      <c r="H1025" s="122"/>
      <c r="I1025" s="68" t="str">
        <f>IFERROR(MID(作者统计[[#This Row],[作者]],FIND("[",作者统计[[#This Row],[作者]],1)+1,FIND("]",作者统计[[#This Row],[作者]],1)-FIND("[",作者统计[[#This Row],[作者]],1)-1),"")</f>
        <v/>
      </c>
      <c r="J1025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6" spans="2:10" ht="18" customHeight="1" x14ac:dyDescent="0.25">
      <c r="B1026" s="309"/>
      <c r="C1026" s="120"/>
      <c r="D1026" s="121"/>
      <c r="E1026" s="121"/>
      <c r="F1026" s="92"/>
      <c r="G1026" s="92"/>
      <c r="H1026" s="122"/>
      <c r="I1026" s="68" t="str">
        <f>IFERROR(MID(作者统计[[#This Row],[作者]],FIND("[",作者统计[[#This Row],[作者]],1)+1,FIND("]",作者统计[[#This Row],[作者]],1)-FIND("[",作者统计[[#This Row],[作者]],1)-1),"")</f>
        <v/>
      </c>
      <c r="J1026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7" spans="2:10" ht="18" customHeight="1" x14ac:dyDescent="0.25">
      <c r="B1027" s="85"/>
      <c r="C1027" s="120"/>
      <c r="D1027" s="121"/>
      <c r="E1027" s="121"/>
      <c r="F1027" s="92"/>
      <c r="G1027" s="92"/>
      <c r="H1027" s="122"/>
      <c r="I1027" s="68" t="str">
        <f>IFERROR(MID(作者统计[[#This Row],[作者]],FIND("[",作者统计[[#This Row],[作者]],1)+1,FIND("]",作者统计[[#This Row],[作者]],1)-FIND("[",作者统计[[#This Row],[作者]],1)-1),"")</f>
        <v/>
      </c>
      <c r="J1027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8" spans="2:10" ht="18" customHeight="1" x14ac:dyDescent="0.25">
      <c r="B1028" s="85"/>
      <c r="C1028" s="120"/>
      <c r="D1028" s="121"/>
      <c r="E1028" s="121"/>
      <c r="F1028" s="92"/>
      <c r="G1028" s="92"/>
      <c r="H1028" s="122"/>
      <c r="I1028" s="68" t="str">
        <f>IFERROR(MID(作者统计[[#This Row],[作者]],FIND("[",作者统计[[#This Row],[作者]],1)+1,FIND("]",作者统计[[#This Row],[作者]],1)-FIND("[",作者统计[[#This Row],[作者]],1)-1),"")</f>
        <v/>
      </c>
      <c r="J1028" s="68" t="str">
        <f>IFERROR(MID(作者统计[[#This Row],[作者]],FIND("(",作者统计[[#This Row],[作者]],1)+1,FIND(")",作者统计[[#This Row],[作者]],1)-FIND("(",作者统计[[#This Row],[作者]],1)-1),"")</f>
        <v/>
      </c>
    </row>
    <row r="1029" spans="2:10" ht="18" customHeight="1" x14ac:dyDescent="0.25">
      <c r="B1029" s="85"/>
      <c r="C1029" s="120"/>
      <c r="D1029" s="121"/>
      <c r="E1029" s="121"/>
      <c r="F1029" s="92"/>
      <c r="G1029" s="92"/>
      <c r="H1029" s="122"/>
      <c r="I1029" s="68" t="str">
        <f>IFERROR(MID(作者统计[[#This Row],[作者]],FIND("[",作者统计[[#This Row],[作者]],1)+1,FIND("]",作者统计[[#This Row],[作者]],1)-FIND("[",作者统计[[#This Row],[作者]],1)-1),"")</f>
        <v/>
      </c>
      <c r="J1029" s="68" t="str">
        <f>IFERROR(MID(作者统计[[#This Row],[作者]],FIND("(",作者统计[[#This Row],[作者]],1)+1,FIND(")",作者统计[[#This Row],[作者]],1)-FIND("(",作者统计[[#This Row],[作者]],1)-1),"")</f>
        <v/>
      </c>
    </row>
    <row r="1030" spans="2:10" ht="18" customHeight="1" x14ac:dyDescent="0.25">
      <c r="B1030" s="256"/>
      <c r="C1030" s="257"/>
      <c r="D1030" s="258"/>
      <c r="E1030" s="258"/>
      <c r="F1030" s="259"/>
      <c r="G1030" s="259"/>
      <c r="H1030" s="260"/>
      <c r="I1030" s="261" t="str">
        <f>IFERROR(MID(作者统计[[#This Row],[作者]],FIND("[",作者统计[[#This Row],[作者]],1)+1,FIND("]",作者统计[[#This Row],[作者]],1)-FIND("[",作者统计[[#This Row],[作者]],1)-1),"")</f>
        <v/>
      </c>
      <c r="J103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31" spans="2:10" ht="18" customHeight="1" x14ac:dyDescent="0.25">
      <c r="B1031" s="309"/>
      <c r="C1031" s="120"/>
      <c r="D1031" s="121"/>
      <c r="E1031" s="121"/>
      <c r="F1031" s="92"/>
      <c r="G1031" s="92"/>
      <c r="H1031" s="122"/>
      <c r="I1031" s="68" t="str">
        <f>IFERROR(MID(作者统计[[#This Row],[作者]],FIND("[",作者统计[[#This Row],[作者]],1)+1,FIND("]",作者统计[[#This Row],[作者]],1)-FIND("[",作者统计[[#This Row],[作者]],1)-1),"")</f>
        <v/>
      </c>
      <c r="J103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32" spans="2:10" ht="18" customHeight="1" x14ac:dyDescent="0.25">
      <c r="B1032" s="256"/>
      <c r="C1032" s="257"/>
      <c r="D1032" s="258"/>
      <c r="E1032" s="258"/>
      <c r="F1032" s="259"/>
      <c r="G1032" s="259"/>
      <c r="H1032" s="260"/>
      <c r="I1032" s="261" t="str">
        <f>IFERROR(MID(作者统计[[#This Row],[作者]],FIND("[",作者统计[[#This Row],[作者]],1)+1,FIND("]",作者统计[[#This Row],[作者]],1)-FIND("[",作者统计[[#This Row],[作者]],1)-1),"")</f>
        <v/>
      </c>
      <c r="J103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33" spans="2:10" ht="18" customHeight="1" x14ac:dyDescent="0.25">
      <c r="B1033" s="309"/>
      <c r="C1033" s="120"/>
      <c r="D1033" s="121"/>
      <c r="E1033" s="121"/>
      <c r="F1033" s="92"/>
      <c r="G1033" s="92"/>
      <c r="H1033" s="122"/>
      <c r="I1033" s="68" t="str">
        <f>IFERROR(MID(作者统计[[#This Row],[作者]],FIND("[",作者统计[[#This Row],[作者]],1)+1,FIND("]",作者统计[[#This Row],[作者]],1)-FIND("[",作者统计[[#This Row],[作者]],1)-1),"")</f>
        <v/>
      </c>
      <c r="J1033" s="68" t="str">
        <f>IFERROR(MID(作者统计[[#This Row],[作者]],FIND("(",作者统计[[#This Row],[作者]],1)+1,FIND(")",作者统计[[#This Row],[作者]],1)-FIND("(",作者统计[[#This Row],[作者]],1)-1),"")</f>
        <v/>
      </c>
    </row>
    <row r="1034" spans="2:10" ht="18" customHeight="1" x14ac:dyDescent="0.25">
      <c r="B1034" s="256"/>
      <c r="C1034" s="257"/>
      <c r="D1034" s="258"/>
      <c r="E1034" s="258"/>
      <c r="F1034" s="259"/>
      <c r="G1034" s="259"/>
      <c r="H1034" s="260"/>
      <c r="I1034" s="261" t="str">
        <f>IFERROR(MID(作者统计[[#This Row],[作者]],FIND("[",作者统计[[#This Row],[作者]],1)+1,FIND("]",作者统计[[#This Row],[作者]],1)-FIND("[",作者统计[[#This Row],[作者]],1)-1),"")</f>
        <v/>
      </c>
      <c r="J10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35" spans="2:10" ht="18" customHeight="1" x14ac:dyDescent="0.25">
      <c r="B1035" s="85"/>
      <c r="C1035" s="120"/>
      <c r="D1035" s="121"/>
      <c r="E1035" s="121"/>
      <c r="F1035" s="92"/>
      <c r="G1035" s="92"/>
      <c r="H1035" s="122"/>
      <c r="I1035" s="68" t="str">
        <f>IFERROR(MID(作者统计[[#This Row],[作者]],FIND("[",作者统计[[#This Row],[作者]],1)+1,FIND("]",作者统计[[#This Row],[作者]],1)-FIND("[",作者统计[[#This Row],[作者]],1)-1),"")</f>
        <v/>
      </c>
      <c r="J1035" s="68" t="str">
        <f>IFERROR(MID(作者统计[[#This Row],[作者]],FIND("(",作者统计[[#This Row],[作者]],1)+1,FIND(")",作者统计[[#This Row],[作者]],1)-FIND("(",作者统计[[#This Row],[作者]],1)-1),"")</f>
        <v/>
      </c>
    </row>
    <row r="1036" spans="2:10" ht="18" customHeight="1" x14ac:dyDescent="0.25">
      <c r="B1036" s="85"/>
      <c r="C1036" s="120"/>
      <c r="D1036" s="121"/>
      <c r="E1036" s="121"/>
      <c r="F1036" s="92"/>
      <c r="G1036" s="92"/>
      <c r="H1036" s="122"/>
      <c r="I1036" s="68" t="str">
        <f>IFERROR(MID(作者统计[[#This Row],[作者]],FIND("[",作者统计[[#This Row],[作者]],1)+1,FIND("]",作者统计[[#This Row],[作者]],1)-FIND("[",作者统计[[#This Row],[作者]],1)-1),"")</f>
        <v/>
      </c>
      <c r="J1036" s="68" t="str">
        <f>IFERROR(MID(作者统计[[#This Row],[作者]],FIND("(",作者统计[[#This Row],[作者]],1)+1,FIND(")",作者统计[[#This Row],[作者]],1)-FIND("(",作者统计[[#This Row],[作者]],1)-1),"")</f>
        <v/>
      </c>
    </row>
    <row r="1037" spans="2:10" ht="18" customHeight="1" x14ac:dyDescent="0.25">
      <c r="B1037" s="256"/>
      <c r="C1037" s="257"/>
      <c r="D1037" s="258"/>
      <c r="E1037" s="258"/>
      <c r="F1037" s="259"/>
      <c r="G1037" s="259"/>
      <c r="H1037" s="260"/>
      <c r="I1037" s="261" t="str">
        <f>IFERROR(MID(作者统计[[#This Row],[作者]],FIND("[",作者统计[[#This Row],[作者]],1)+1,FIND("]",作者统计[[#This Row],[作者]],1)-FIND("[",作者统计[[#This Row],[作者]],1)-1),"")</f>
        <v/>
      </c>
      <c r="J103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38" spans="2:10" ht="18" customHeight="1" x14ac:dyDescent="0.25">
      <c r="B1038" s="85"/>
      <c r="C1038" s="120"/>
      <c r="D1038" s="121"/>
      <c r="E1038" s="121"/>
      <c r="F1038" s="92"/>
      <c r="G1038" s="92"/>
      <c r="H1038" s="122"/>
      <c r="I1038" s="68" t="str">
        <f>IFERROR(MID(作者统计[[#This Row],[作者]],FIND("[",作者统计[[#This Row],[作者]],1)+1,FIND("]",作者统计[[#This Row],[作者]],1)-FIND("[",作者统计[[#This Row],[作者]],1)-1),"")</f>
        <v/>
      </c>
      <c r="J1038" s="68" t="str">
        <f>IFERROR(MID(作者统计[[#This Row],[作者]],FIND("(",作者统计[[#This Row],[作者]],1)+1,FIND(")",作者统计[[#This Row],[作者]],1)-FIND("(",作者统计[[#This Row],[作者]],1)-1),"")</f>
        <v/>
      </c>
    </row>
    <row r="1039" spans="2:10" ht="18" customHeight="1" x14ac:dyDescent="0.25">
      <c r="B1039" s="256"/>
      <c r="C1039" s="257"/>
      <c r="D1039" s="258"/>
      <c r="E1039" s="258"/>
      <c r="F1039" s="259"/>
      <c r="G1039" s="259"/>
      <c r="H1039" s="260"/>
      <c r="I1039" s="261" t="str">
        <f>IFERROR(MID(作者统计[[#This Row],[作者]],FIND("[",作者统计[[#This Row],[作者]],1)+1,FIND("]",作者统计[[#This Row],[作者]],1)-FIND("[",作者统计[[#This Row],[作者]],1)-1),"")</f>
        <v/>
      </c>
      <c r="J103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40" spans="2:10" ht="18" customHeight="1" x14ac:dyDescent="0.25">
      <c r="B1040" s="85"/>
      <c r="C1040" s="120"/>
      <c r="D1040" s="121"/>
      <c r="E1040" s="121"/>
      <c r="F1040" s="92"/>
      <c r="G1040" s="92"/>
      <c r="H1040" s="122"/>
      <c r="I1040" s="68" t="str">
        <f>IFERROR(MID(作者统计[[#This Row],[作者]],FIND("[",作者统计[[#This Row],[作者]],1)+1,FIND("]",作者统计[[#This Row],[作者]],1)-FIND("[",作者统计[[#This Row],[作者]],1)-1),"")</f>
        <v/>
      </c>
      <c r="J1040" s="68" t="str">
        <f>IFERROR(MID(作者统计[[#This Row],[作者]],FIND("(",作者统计[[#This Row],[作者]],1)+1,FIND(")",作者统计[[#This Row],[作者]],1)-FIND("(",作者统计[[#This Row],[作者]],1)-1),"")</f>
        <v/>
      </c>
    </row>
    <row r="1041" spans="2:10" ht="18" customHeight="1" x14ac:dyDescent="0.25">
      <c r="B1041" s="85"/>
      <c r="C1041" s="120"/>
      <c r="D1041" s="121"/>
      <c r="E1041" s="121"/>
      <c r="F1041" s="92"/>
      <c r="G1041" s="92"/>
      <c r="H1041" s="122"/>
      <c r="I1041" s="68" t="str">
        <f>IFERROR(MID(作者统计[[#This Row],[作者]],FIND("[",作者统计[[#This Row],[作者]],1)+1,FIND("]",作者统计[[#This Row],[作者]],1)-FIND("[",作者统计[[#This Row],[作者]],1)-1),"")</f>
        <v/>
      </c>
      <c r="J104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42" spans="2:10" ht="18" customHeight="1" x14ac:dyDescent="0.25">
      <c r="B1042" s="85"/>
      <c r="C1042" s="120"/>
      <c r="D1042" s="121"/>
      <c r="E1042" s="121"/>
      <c r="F1042" s="92"/>
      <c r="G1042" s="92"/>
      <c r="H1042" s="122"/>
      <c r="I1042" s="68" t="str">
        <f>IFERROR(MID(作者统计[[#This Row],[作者]],FIND("[",作者统计[[#This Row],[作者]],1)+1,FIND("]",作者统计[[#This Row],[作者]],1)-FIND("[",作者统计[[#This Row],[作者]],1)-1),"")</f>
        <v/>
      </c>
      <c r="J1042" s="68" t="str">
        <f>IFERROR(MID(作者统计[[#This Row],[作者]],FIND("(",作者统计[[#This Row],[作者]],1)+1,FIND(")",作者统计[[#This Row],[作者]],1)-FIND("(",作者统计[[#This Row],[作者]],1)-1),"")</f>
        <v/>
      </c>
    </row>
    <row r="1043" spans="2:10" ht="18" customHeight="1" x14ac:dyDescent="0.25">
      <c r="B1043" s="309"/>
      <c r="C1043" s="120"/>
      <c r="D1043" s="121"/>
      <c r="E1043" s="121"/>
      <c r="F1043" s="92"/>
      <c r="G1043" s="92"/>
      <c r="H1043" s="122"/>
      <c r="I1043" s="68" t="str">
        <f>IFERROR(MID(作者统计[[#This Row],[作者]],FIND("[",作者统计[[#This Row],[作者]],1)+1,FIND("]",作者统计[[#This Row],[作者]],1)-FIND("[",作者统计[[#This Row],[作者]],1)-1),"")</f>
        <v/>
      </c>
      <c r="J1043" s="68" t="str">
        <f>IFERROR(MID(作者统计[[#This Row],[作者]],FIND("(",作者统计[[#This Row],[作者]],1)+1,FIND(")",作者统计[[#This Row],[作者]],1)-FIND("(",作者统计[[#This Row],[作者]],1)-1),"")</f>
        <v/>
      </c>
    </row>
    <row r="1044" spans="2:10" ht="18" customHeight="1" x14ac:dyDescent="0.25">
      <c r="B1044" s="309"/>
      <c r="C1044" s="120"/>
      <c r="D1044" s="121"/>
      <c r="E1044" s="121"/>
      <c r="F1044" s="92"/>
      <c r="G1044" s="92"/>
      <c r="H1044" s="122"/>
      <c r="I1044" s="68" t="str">
        <f>IFERROR(MID(作者统计[[#This Row],[作者]],FIND("[",作者统计[[#This Row],[作者]],1)+1,FIND("]",作者统计[[#This Row],[作者]],1)-FIND("[",作者统计[[#This Row],[作者]],1)-1),"")</f>
        <v/>
      </c>
      <c r="J1044" s="68" t="str">
        <f>IFERROR(MID(作者统计[[#This Row],[作者]],FIND("(",作者统计[[#This Row],[作者]],1)+1,FIND(")",作者统计[[#This Row],[作者]],1)-FIND("(",作者统计[[#This Row],[作者]],1)-1),"")</f>
        <v/>
      </c>
    </row>
    <row r="1045" spans="2:10" ht="18" customHeight="1" x14ac:dyDescent="0.25">
      <c r="B1045" s="85"/>
      <c r="C1045" s="120"/>
      <c r="D1045" s="121"/>
      <c r="E1045" s="121"/>
      <c r="F1045" s="92"/>
      <c r="G1045" s="92"/>
      <c r="H1045" s="122"/>
      <c r="I1045" s="68" t="str">
        <f>IFERROR(MID(作者统计[[#This Row],[作者]],FIND("[",作者统计[[#This Row],[作者]],1)+1,FIND("]",作者统计[[#This Row],[作者]],1)-FIND("[",作者统计[[#This Row],[作者]],1)-1),"")</f>
        <v/>
      </c>
      <c r="J1045" s="68" t="str">
        <f>IFERROR(MID(作者统计[[#This Row],[作者]],FIND("(",作者统计[[#This Row],[作者]],1)+1,FIND(")",作者统计[[#This Row],[作者]],1)-FIND("(",作者统计[[#This Row],[作者]],1)-1),"")</f>
        <v/>
      </c>
    </row>
    <row r="1046" spans="2:10" ht="18" customHeight="1" x14ac:dyDescent="0.25">
      <c r="B1046" s="309"/>
      <c r="C1046" s="120"/>
      <c r="D1046" s="121"/>
      <c r="E1046" s="121"/>
      <c r="F1046" s="92"/>
      <c r="G1046" s="92"/>
      <c r="H1046" s="122"/>
      <c r="I1046" s="68" t="str">
        <f>IFERROR(MID(作者统计[[#This Row],[作者]],FIND("[",作者统计[[#This Row],[作者]],1)+1,FIND("]",作者统计[[#This Row],[作者]],1)-FIND("[",作者统计[[#This Row],[作者]],1)-1),"")</f>
        <v/>
      </c>
      <c r="J1046" s="68" t="str">
        <f>IFERROR(MID(作者统计[[#This Row],[作者]],FIND("(",作者统计[[#This Row],[作者]],1)+1,FIND(")",作者统计[[#This Row],[作者]],1)-FIND("(",作者统计[[#This Row],[作者]],1)-1),"")</f>
        <v/>
      </c>
    </row>
    <row r="1047" spans="2:10" ht="18" customHeight="1" x14ac:dyDescent="0.25">
      <c r="B1047" s="309"/>
      <c r="C1047" s="120"/>
      <c r="D1047" s="121"/>
      <c r="E1047" s="121"/>
      <c r="F1047" s="92"/>
      <c r="G1047" s="92"/>
      <c r="H1047" s="122"/>
      <c r="I1047" s="68" t="str">
        <f>IFERROR(MID(作者统计[[#This Row],[作者]],FIND("[",作者统计[[#This Row],[作者]],1)+1,FIND("]",作者统计[[#This Row],[作者]],1)-FIND("[",作者统计[[#This Row],[作者]],1)-1),"")</f>
        <v/>
      </c>
      <c r="J1047" s="68" t="str">
        <f>IFERROR(MID(作者统计[[#This Row],[作者]],FIND("(",作者统计[[#This Row],[作者]],1)+1,FIND(")",作者统计[[#This Row],[作者]],1)-FIND("(",作者统计[[#This Row],[作者]],1)-1),"")</f>
        <v/>
      </c>
    </row>
    <row r="1048" spans="2:10" ht="18" customHeight="1" x14ac:dyDescent="0.25">
      <c r="B1048" s="256"/>
      <c r="C1048" s="257"/>
      <c r="D1048" s="258"/>
      <c r="E1048" s="258"/>
      <c r="F1048" s="259"/>
      <c r="G1048" s="259"/>
      <c r="H1048" s="260"/>
      <c r="I1048" s="261" t="str">
        <f>IFERROR(MID(作者统计[[#This Row],[作者]],FIND("[",作者统计[[#This Row],[作者]],1)+1,FIND("]",作者统计[[#This Row],[作者]],1)-FIND("[",作者统计[[#This Row],[作者]],1)-1),"")</f>
        <v/>
      </c>
      <c r="J104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49" spans="2:10" ht="18" customHeight="1" x14ac:dyDescent="0.25">
      <c r="B1049" s="256"/>
      <c r="C1049" s="257"/>
      <c r="D1049" s="258"/>
      <c r="E1049" s="258"/>
      <c r="F1049" s="259"/>
      <c r="G1049" s="259"/>
      <c r="H1049" s="260"/>
      <c r="I1049" s="261" t="str">
        <f>IFERROR(MID(作者统计[[#This Row],[作者]],FIND("[",作者统计[[#This Row],[作者]],1)+1,FIND("]",作者统计[[#This Row],[作者]],1)-FIND("[",作者统计[[#This Row],[作者]],1)-1),"")</f>
        <v/>
      </c>
      <c r="J104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50" spans="2:10" ht="18" customHeight="1" x14ac:dyDescent="0.25">
      <c r="B1050" s="309"/>
      <c r="C1050" s="120"/>
      <c r="D1050" s="121"/>
      <c r="E1050" s="121"/>
      <c r="F1050" s="92"/>
      <c r="G1050" s="92"/>
      <c r="H1050" s="122"/>
      <c r="I1050" s="68" t="str">
        <f>IFERROR(MID(作者统计[[#This Row],[作者]],FIND("[",作者统计[[#This Row],[作者]],1)+1,FIND("]",作者统计[[#This Row],[作者]],1)-FIND("[",作者统计[[#This Row],[作者]],1)-1),"")</f>
        <v/>
      </c>
      <c r="J1050" s="68" t="str">
        <f>IFERROR(MID(作者统计[[#This Row],[作者]],FIND("(",作者统计[[#This Row],[作者]],1)+1,FIND(")",作者统计[[#This Row],[作者]],1)-FIND("(",作者统计[[#This Row],[作者]],1)-1),"")</f>
        <v/>
      </c>
    </row>
    <row r="1051" spans="2:10" ht="18" customHeight="1" x14ac:dyDescent="0.25">
      <c r="B1051" s="309"/>
      <c r="C1051" s="120"/>
      <c r="D1051" s="121"/>
      <c r="E1051" s="121"/>
      <c r="F1051" s="92"/>
      <c r="G1051" s="92"/>
      <c r="H1051" s="122"/>
      <c r="I1051" s="68" t="str">
        <f>IFERROR(MID(作者统计[[#This Row],[作者]],FIND("[",作者统计[[#This Row],[作者]],1)+1,FIND("]",作者统计[[#This Row],[作者]],1)-FIND("[",作者统计[[#This Row],[作者]],1)-1),"")</f>
        <v/>
      </c>
      <c r="J105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52" spans="2:10" ht="18" customHeight="1" x14ac:dyDescent="0.25">
      <c r="B1052" s="309"/>
      <c r="C1052" s="120"/>
      <c r="D1052" s="121"/>
      <c r="E1052" s="121"/>
      <c r="F1052" s="92"/>
      <c r="G1052" s="92"/>
      <c r="H1052" s="122"/>
      <c r="I1052" s="68" t="str">
        <f>IFERROR(MID(作者统计[[#This Row],[作者]],FIND("[",作者统计[[#This Row],[作者]],1)+1,FIND("]",作者统计[[#This Row],[作者]],1)-FIND("[",作者统计[[#This Row],[作者]],1)-1),"")</f>
        <v/>
      </c>
      <c r="J1052" s="68" t="str">
        <f>IFERROR(MID(作者统计[[#This Row],[作者]],FIND("(",作者统计[[#This Row],[作者]],1)+1,FIND(")",作者统计[[#This Row],[作者]],1)-FIND("(",作者统计[[#This Row],[作者]],1)-1),"")</f>
        <v/>
      </c>
    </row>
    <row r="1053" spans="2:10" ht="18" customHeight="1" x14ac:dyDescent="0.25">
      <c r="B1053" s="309"/>
      <c r="C1053" s="120"/>
      <c r="D1053" s="121"/>
      <c r="E1053" s="121"/>
      <c r="F1053" s="92"/>
      <c r="G1053" s="92"/>
      <c r="H1053" s="123"/>
      <c r="I1053" s="68" t="str">
        <f>IFERROR(MID(作者统计[[#This Row],[作者]],FIND("[",作者统计[[#This Row],[作者]],1)+1,FIND("]",作者统计[[#This Row],[作者]],1)-FIND("[",作者统计[[#This Row],[作者]],1)-1),"")</f>
        <v/>
      </c>
      <c r="J1053" s="68" t="str">
        <f>IFERROR(MID(作者统计[[#This Row],[作者]],FIND("(",作者统计[[#This Row],[作者]],1)+1,FIND(")",作者统计[[#This Row],[作者]],1)-FIND("(",作者统计[[#This Row],[作者]],1)-1),"")</f>
        <v/>
      </c>
    </row>
    <row r="1054" spans="2:10" ht="18" customHeight="1" x14ac:dyDescent="0.25">
      <c r="B1054" s="256"/>
      <c r="C1054" s="257"/>
      <c r="D1054" s="258"/>
      <c r="E1054" s="258"/>
      <c r="F1054" s="259"/>
      <c r="G1054" s="259"/>
      <c r="H1054" s="260"/>
      <c r="I1054" s="261" t="str">
        <f>IFERROR(MID(作者统计[[#This Row],[作者]],FIND("[",作者统计[[#This Row],[作者]],1)+1,FIND("]",作者统计[[#This Row],[作者]],1)-FIND("[",作者统计[[#This Row],[作者]],1)-1),"")</f>
        <v/>
      </c>
      <c r="J105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55" spans="2:10" ht="18" customHeight="1" x14ac:dyDescent="0.25">
      <c r="B1055" s="85"/>
      <c r="C1055" s="120"/>
      <c r="D1055" s="121"/>
      <c r="E1055" s="121"/>
      <c r="F1055" s="92"/>
      <c r="G1055" s="92"/>
      <c r="H1055" s="122"/>
      <c r="I1055" s="68" t="str">
        <f>IFERROR(MID(作者统计[[#This Row],[作者]],FIND("[",作者统计[[#This Row],[作者]],1)+1,FIND("]",作者统计[[#This Row],[作者]],1)-FIND("[",作者统计[[#This Row],[作者]],1)-1),"")</f>
        <v/>
      </c>
      <c r="J1055" s="68" t="str">
        <f>IFERROR(MID(作者统计[[#This Row],[作者]],FIND("(",作者统计[[#This Row],[作者]],1)+1,FIND(")",作者统计[[#This Row],[作者]],1)-FIND("(",作者统计[[#This Row],[作者]],1)-1),"")</f>
        <v/>
      </c>
    </row>
    <row r="1056" spans="2:10" ht="18" customHeight="1" x14ac:dyDescent="0.25">
      <c r="B1056" s="256"/>
      <c r="C1056" s="257"/>
      <c r="D1056" s="258"/>
      <c r="E1056" s="258"/>
      <c r="F1056" s="259"/>
      <c r="G1056" s="259"/>
      <c r="H1056" s="260"/>
      <c r="I1056" s="261" t="str">
        <f>IFERROR(MID(作者统计[[#This Row],[作者]],FIND("[",作者统计[[#This Row],[作者]],1)+1,FIND("]",作者统计[[#This Row],[作者]],1)-FIND("[",作者统计[[#This Row],[作者]],1)-1),"")</f>
        <v/>
      </c>
      <c r="J105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57" spans="2:10" ht="18" customHeight="1" x14ac:dyDescent="0.25">
      <c r="B1057" s="256"/>
      <c r="C1057" s="257"/>
      <c r="D1057" s="258"/>
      <c r="E1057" s="258"/>
      <c r="F1057" s="259"/>
      <c r="G1057" s="259"/>
      <c r="H1057" s="260"/>
      <c r="I1057" s="261" t="str">
        <f>IFERROR(MID(作者统计[[#This Row],[作者]],FIND("[",作者统计[[#This Row],[作者]],1)+1,FIND("]",作者统计[[#This Row],[作者]],1)-FIND("[",作者统计[[#This Row],[作者]],1)-1),"")</f>
        <v/>
      </c>
      <c r="J105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58" spans="2:10" ht="18" customHeight="1" x14ac:dyDescent="0.25">
      <c r="B1058" s="85"/>
      <c r="C1058" s="120"/>
      <c r="D1058" s="121"/>
      <c r="E1058" s="121"/>
      <c r="F1058" s="92"/>
      <c r="G1058" s="92"/>
      <c r="H1058" s="122"/>
      <c r="I1058" s="68" t="str">
        <f>IFERROR(MID(作者统计[[#This Row],[作者]],FIND("[",作者统计[[#This Row],[作者]],1)+1,FIND("]",作者统计[[#This Row],[作者]],1)-FIND("[",作者统计[[#This Row],[作者]],1)-1),"")</f>
        <v/>
      </c>
      <c r="J1058" s="68" t="str">
        <f>IFERROR(MID(作者统计[[#This Row],[作者]],FIND("(",作者统计[[#This Row],[作者]],1)+1,FIND(")",作者统计[[#This Row],[作者]],1)-FIND("(",作者统计[[#This Row],[作者]],1)-1),"")</f>
        <v/>
      </c>
    </row>
    <row r="1059" spans="2:10" ht="18" customHeight="1" x14ac:dyDescent="0.25">
      <c r="B1059" s="85"/>
      <c r="C1059" s="120"/>
      <c r="D1059" s="121"/>
      <c r="E1059" s="121"/>
      <c r="F1059" s="92"/>
      <c r="G1059" s="92"/>
      <c r="H1059" s="122"/>
      <c r="I1059" s="68" t="str">
        <f>IFERROR(MID(作者统计[[#This Row],[作者]],FIND("[",作者统计[[#This Row],[作者]],1)+1,FIND("]",作者统计[[#This Row],[作者]],1)-FIND("[",作者统计[[#This Row],[作者]],1)-1),"")</f>
        <v/>
      </c>
      <c r="J1059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0" spans="2:10" ht="18" customHeight="1" x14ac:dyDescent="0.25">
      <c r="B1060" s="309"/>
      <c r="C1060" s="120"/>
      <c r="D1060" s="121"/>
      <c r="E1060" s="121"/>
      <c r="F1060" s="92"/>
      <c r="G1060" s="92"/>
      <c r="H1060" s="122"/>
      <c r="I1060" s="68" t="str">
        <f>IFERROR(MID(作者统计[[#This Row],[作者]],FIND("[",作者统计[[#This Row],[作者]],1)+1,FIND("]",作者统计[[#This Row],[作者]],1)-FIND("[",作者统计[[#This Row],[作者]],1)-1),"")</f>
        <v/>
      </c>
      <c r="J1060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1" spans="2:10" ht="18" customHeight="1" x14ac:dyDescent="0.25">
      <c r="B1061" s="309"/>
      <c r="C1061" s="120"/>
      <c r="D1061" s="121"/>
      <c r="E1061" s="121"/>
      <c r="F1061" s="92"/>
      <c r="G1061" s="92"/>
      <c r="H1061" s="122"/>
      <c r="I1061" s="68" t="str">
        <f>IFERROR(MID(作者统计[[#This Row],[作者]],FIND("[",作者统计[[#This Row],[作者]],1)+1,FIND("]",作者统计[[#This Row],[作者]],1)-FIND("[",作者统计[[#This Row],[作者]],1)-1),"")</f>
        <v/>
      </c>
      <c r="J106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2" spans="2:10" ht="18" customHeight="1" x14ac:dyDescent="0.25">
      <c r="B1062" s="85"/>
      <c r="C1062" s="120"/>
      <c r="D1062" s="121"/>
      <c r="E1062" s="121"/>
      <c r="F1062" s="92"/>
      <c r="G1062" s="92"/>
      <c r="H1062" s="123"/>
      <c r="I1062" s="68" t="str">
        <f>IFERROR(MID(作者统计[[#This Row],[作者]],FIND("[",作者统计[[#This Row],[作者]],1)+1,FIND("]",作者统计[[#This Row],[作者]],1)-FIND("[",作者统计[[#This Row],[作者]],1)-1),"")</f>
        <v/>
      </c>
      <c r="J1062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3" spans="2:10" ht="18" customHeight="1" x14ac:dyDescent="0.25">
      <c r="B1063" s="256"/>
      <c r="C1063" s="257"/>
      <c r="D1063" s="258"/>
      <c r="E1063" s="258"/>
      <c r="F1063" s="259"/>
      <c r="G1063" s="259"/>
      <c r="H1063" s="260"/>
      <c r="I1063" s="261" t="str">
        <f>IFERROR(MID(作者统计[[#This Row],[作者]],FIND("[",作者统计[[#This Row],[作者]],1)+1,FIND("]",作者统计[[#This Row],[作者]],1)-FIND("[",作者统计[[#This Row],[作者]],1)-1),"")</f>
        <v/>
      </c>
      <c r="J106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64" spans="2:10" ht="18" customHeight="1" x14ac:dyDescent="0.25">
      <c r="B1064" s="85"/>
      <c r="C1064" s="120"/>
      <c r="D1064" s="121"/>
      <c r="E1064" s="121"/>
      <c r="F1064" s="92"/>
      <c r="G1064" s="92"/>
      <c r="H1064" s="122"/>
      <c r="I1064" s="68" t="str">
        <f>IFERROR(MID(作者统计[[#This Row],[作者]],FIND("[",作者统计[[#This Row],[作者]],1)+1,FIND("]",作者统计[[#This Row],[作者]],1)-FIND("[",作者统计[[#This Row],[作者]],1)-1),"")</f>
        <v/>
      </c>
      <c r="J1064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5" spans="2:10" ht="18" customHeight="1" x14ac:dyDescent="0.25">
      <c r="B1065" s="85"/>
      <c r="C1065" s="120"/>
      <c r="D1065" s="121"/>
      <c r="E1065" s="121"/>
      <c r="F1065" s="92"/>
      <c r="G1065" s="92"/>
      <c r="H1065" s="123"/>
      <c r="I1065" s="68" t="str">
        <f>IFERROR(MID(作者统计[[#This Row],[作者]],FIND("[",作者统计[[#This Row],[作者]],1)+1,FIND("]",作者统计[[#This Row],[作者]],1)-FIND("[",作者统计[[#This Row],[作者]],1)-1),"")</f>
        <v/>
      </c>
      <c r="J1065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6" spans="2:10" ht="18" customHeight="1" x14ac:dyDescent="0.25">
      <c r="B1066" s="309"/>
      <c r="C1066" s="120"/>
      <c r="D1066" s="121"/>
      <c r="E1066" s="121"/>
      <c r="F1066" s="92"/>
      <c r="G1066" s="92"/>
      <c r="H1066" s="122"/>
      <c r="I1066" s="68" t="str">
        <f>IFERROR(MID(作者统计[[#This Row],[作者]],FIND("[",作者统计[[#This Row],[作者]],1)+1,FIND("]",作者统计[[#This Row],[作者]],1)-FIND("[",作者统计[[#This Row],[作者]],1)-1),"")</f>
        <v/>
      </c>
      <c r="J1066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7" spans="2:10" ht="18" customHeight="1" x14ac:dyDescent="0.25">
      <c r="B1067" s="85"/>
      <c r="C1067" s="120"/>
      <c r="D1067" s="121"/>
      <c r="E1067" s="121"/>
      <c r="F1067" s="92"/>
      <c r="G1067" s="92"/>
      <c r="H1067" s="122"/>
      <c r="I1067" s="68" t="str">
        <f>IFERROR(MID(作者统计[[#This Row],[作者]],FIND("[",作者统计[[#This Row],[作者]],1)+1,FIND("]",作者统计[[#This Row],[作者]],1)-FIND("[",作者统计[[#This Row],[作者]],1)-1),"")</f>
        <v/>
      </c>
      <c r="J1067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8" spans="2:10" ht="18" customHeight="1" x14ac:dyDescent="0.25">
      <c r="B1068" s="85"/>
      <c r="C1068" s="120"/>
      <c r="D1068" s="121"/>
      <c r="E1068" s="121"/>
      <c r="F1068" s="92"/>
      <c r="G1068" s="92"/>
      <c r="H1068" s="122"/>
      <c r="I1068" s="68" t="str">
        <f>IFERROR(MID(作者统计[[#This Row],[作者]],FIND("[",作者统计[[#This Row],[作者]],1)+1,FIND("]",作者统计[[#This Row],[作者]],1)-FIND("[",作者统计[[#This Row],[作者]],1)-1),"")</f>
        <v/>
      </c>
      <c r="J1068" s="68" t="str">
        <f>IFERROR(MID(作者统计[[#This Row],[作者]],FIND("(",作者统计[[#This Row],[作者]],1)+1,FIND(")",作者统计[[#This Row],[作者]],1)-FIND("(",作者统计[[#This Row],[作者]],1)-1),"")</f>
        <v/>
      </c>
    </row>
    <row r="1069" spans="2:10" ht="18" customHeight="1" x14ac:dyDescent="0.25">
      <c r="B1069" s="256"/>
      <c r="C1069" s="257"/>
      <c r="D1069" s="258"/>
      <c r="E1069" s="258"/>
      <c r="F1069" s="259"/>
      <c r="G1069" s="259"/>
      <c r="H1069" s="260"/>
      <c r="I1069" s="261" t="str">
        <f>IFERROR(MID(作者统计[[#This Row],[作者]],FIND("[",作者统计[[#This Row],[作者]],1)+1,FIND("]",作者统计[[#This Row],[作者]],1)-FIND("[",作者统计[[#This Row],[作者]],1)-1),"")</f>
        <v/>
      </c>
      <c r="J106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70" spans="2:10" ht="18" customHeight="1" x14ac:dyDescent="0.25">
      <c r="B1070" s="309"/>
      <c r="C1070" s="120"/>
      <c r="D1070" s="121"/>
      <c r="E1070" s="121"/>
      <c r="F1070" s="92"/>
      <c r="G1070" s="92"/>
      <c r="H1070" s="122"/>
      <c r="I1070" s="68" t="str">
        <f>IFERROR(MID(作者统计[[#This Row],[作者]],FIND("[",作者统计[[#This Row],[作者]],1)+1,FIND("]",作者统计[[#This Row],[作者]],1)-FIND("[",作者统计[[#This Row],[作者]],1)-1),"")</f>
        <v/>
      </c>
      <c r="J1070" s="68" t="str">
        <f>IFERROR(MID(作者统计[[#This Row],[作者]],FIND("(",作者统计[[#This Row],[作者]],1)+1,FIND(")",作者统计[[#This Row],[作者]],1)-FIND("(",作者统计[[#This Row],[作者]],1)-1),"")</f>
        <v/>
      </c>
    </row>
    <row r="1071" spans="2:10" ht="18" customHeight="1" x14ac:dyDescent="0.25">
      <c r="B1071" s="309"/>
      <c r="C1071" s="120"/>
      <c r="D1071" s="121"/>
      <c r="E1071" s="121"/>
      <c r="F1071" s="92"/>
      <c r="G1071" s="92"/>
      <c r="H1071" s="122"/>
      <c r="I1071" s="68" t="str">
        <f>IFERROR(MID(作者统计[[#This Row],[作者]],FIND("[",作者统计[[#This Row],[作者]],1)+1,FIND("]",作者统计[[#This Row],[作者]],1)-FIND("[",作者统计[[#This Row],[作者]],1)-1),"")</f>
        <v/>
      </c>
      <c r="J107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72" spans="2:10" ht="18" customHeight="1" x14ac:dyDescent="0.25">
      <c r="B1072" s="85"/>
      <c r="C1072" s="120"/>
      <c r="D1072" s="121"/>
      <c r="E1072" s="121"/>
      <c r="F1072" s="92"/>
      <c r="G1072" s="92"/>
      <c r="H1072" s="122"/>
      <c r="I1072" s="68" t="str">
        <f>IFERROR(MID(作者统计[[#This Row],[作者]],FIND("[",作者统计[[#This Row],[作者]],1)+1,FIND("]",作者统计[[#This Row],[作者]],1)-FIND("[",作者统计[[#This Row],[作者]],1)-1),"")</f>
        <v/>
      </c>
      <c r="J1072" s="68" t="str">
        <f>IFERROR(MID(作者统计[[#This Row],[作者]],FIND("(",作者统计[[#This Row],[作者]],1)+1,FIND(")",作者统计[[#This Row],[作者]],1)-FIND("(",作者统计[[#This Row],[作者]],1)-1),"")</f>
        <v/>
      </c>
    </row>
    <row r="1073" spans="2:10" ht="18" customHeight="1" x14ac:dyDescent="0.25">
      <c r="B1073" s="311"/>
      <c r="C1073" s="180"/>
      <c r="D1073" s="181"/>
      <c r="E1073" s="181"/>
      <c r="F1073" s="182"/>
      <c r="G1073" s="182"/>
      <c r="H1073" s="183"/>
      <c r="I1073" s="77" t="str">
        <f>IFERROR(MID(作者统计[[#This Row],[作者]],FIND("[",作者统计[[#This Row],[作者]],1)+1,FIND("]",作者统计[[#This Row],[作者]],1)-FIND("[",作者统计[[#This Row],[作者]],1)-1),"")</f>
        <v/>
      </c>
      <c r="J1073" s="77" t="str">
        <f>IFERROR(MID(作者统计[[#This Row],[作者]],FIND("(",作者统计[[#This Row],[作者]],1)+1,FIND(")",作者统计[[#This Row],[作者]],1)-FIND("(",作者统计[[#This Row],[作者]],1)-1),"")</f>
        <v/>
      </c>
    </row>
    <row r="1074" spans="2:10" ht="18" customHeight="1" x14ac:dyDescent="0.25">
      <c r="B1074" s="85"/>
      <c r="C1074" s="120"/>
      <c r="D1074" s="121"/>
      <c r="E1074" s="121"/>
      <c r="F1074" s="92"/>
      <c r="G1074" s="92"/>
      <c r="H1074" s="122"/>
      <c r="I1074" s="68" t="str">
        <f>IFERROR(MID(作者统计[[#This Row],[作者]],FIND("[",作者统计[[#This Row],[作者]],1)+1,FIND("]",作者统计[[#This Row],[作者]],1)-FIND("[",作者统计[[#This Row],[作者]],1)-1),"")</f>
        <v/>
      </c>
      <c r="J1074" s="68" t="str">
        <f>IFERROR(MID(作者统计[[#This Row],[作者]],FIND("(",作者统计[[#This Row],[作者]],1)+1,FIND(")",作者统计[[#This Row],[作者]],1)-FIND("(",作者统计[[#This Row],[作者]],1)-1),"")</f>
        <v/>
      </c>
    </row>
    <row r="1075" spans="2:10" ht="18" customHeight="1" x14ac:dyDescent="0.25">
      <c r="B1075" s="309"/>
      <c r="C1075" s="120"/>
      <c r="D1075" s="121"/>
      <c r="E1075" s="121"/>
      <c r="F1075" s="92"/>
      <c r="G1075" s="92"/>
      <c r="H1075" s="122"/>
      <c r="I1075" s="68" t="str">
        <f>IFERROR(MID(作者统计[[#This Row],[作者]],FIND("[",作者统计[[#This Row],[作者]],1)+1,FIND("]",作者统计[[#This Row],[作者]],1)-FIND("[",作者统计[[#This Row],[作者]],1)-1),"")</f>
        <v/>
      </c>
      <c r="J1075" s="68" t="str">
        <f>IFERROR(MID(作者统计[[#This Row],[作者]],FIND("(",作者统计[[#This Row],[作者]],1)+1,FIND(")",作者统计[[#This Row],[作者]],1)-FIND("(",作者统计[[#This Row],[作者]],1)-1),"")</f>
        <v/>
      </c>
    </row>
    <row r="1076" spans="2:10" ht="18" customHeight="1" x14ac:dyDescent="0.25">
      <c r="B1076" s="309"/>
      <c r="C1076" s="120"/>
      <c r="D1076" s="121"/>
      <c r="E1076" s="121"/>
      <c r="F1076" s="92"/>
      <c r="G1076" s="92"/>
      <c r="H1076" s="122"/>
      <c r="I1076" s="68" t="str">
        <f>IFERROR(MID(作者统计[[#This Row],[作者]],FIND("[",作者统计[[#This Row],[作者]],1)+1,FIND("]",作者统计[[#This Row],[作者]],1)-FIND("[",作者统计[[#This Row],[作者]],1)-1),"")</f>
        <v/>
      </c>
      <c r="J1076" s="68" t="str">
        <f>IFERROR(MID(作者统计[[#This Row],[作者]],FIND("(",作者统计[[#This Row],[作者]],1)+1,FIND(")",作者统计[[#This Row],[作者]],1)-FIND("(",作者统计[[#This Row],[作者]],1)-1),"")</f>
        <v/>
      </c>
    </row>
    <row r="1077" spans="2:10" ht="18" customHeight="1" x14ac:dyDescent="0.25">
      <c r="B1077" s="256"/>
      <c r="C1077" s="257"/>
      <c r="D1077" s="258"/>
      <c r="E1077" s="258"/>
      <c r="F1077" s="259"/>
      <c r="G1077" s="259"/>
      <c r="H1077" s="260"/>
      <c r="I1077" s="261" t="str">
        <f>IFERROR(MID(作者统计[[#This Row],[作者]],FIND("[",作者统计[[#This Row],[作者]],1)+1,FIND("]",作者统计[[#This Row],[作者]],1)-FIND("[",作者统计[[#This Row],[作者]],1)-1),"")</f>
        <v/>
      </c>
      <c r="J107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78" spans="2:10" ht="18" customHeight="1" x14ac:dyDescent="0.25">
      <c r="B1078" s="309"/>
      <c r="C1078" s="120"/>
      <c r="D1078" s="121"/>
      <c r="E1078" s="121"/>
      <c r="F1078" s="92"/>
      <c r="G1078" s="92"/>
      <c r="H1078" s="122"/>
      <c r="I1078" s="68" t="str">
        <f>IFERROR(MID(作者统计[[#This Row],[作者]],FIND("[",作者统计[[#This Row],[作者]],1)+1,FIND("]",作者统计[[#This Row],[作者]],1)-FIND("[",作者统计[[#This Row],[作者]],1)-1),"")</f>
        <v/>
      </c>
      <c r="J1078" s="68" t="str">
        <f>IFERROR(MID(作者统计[[#This Row],[作者]],FIND("(",作者统计[[#This Row],[作者]],1)+1,FIND(")",作者统计[[#This Row],[作者]],1)-FIND("(",作者统计[[#This Row],[作者]],1)-1),"")</f>
        <v/>
      </c>
    </row>
    <row r="1079" spans="2:10" ht="18" customHeight="1" x14ac:dyDescent="0.25">
      <c r="B1079" s="256"/>
      <c r="C1079" s="257"/>
      <c r="D1079" s="258"/>
      <c r="E1079" s="258"/>
      <c r="F1079" s="259"/>
      <c r="G1079" s="259"/>
      <c r="H1079" s="260"/>
      <c r="I1079" s="261" t="str">
        <f>IFERROR(MID(作者统计[[#This Row],[作者]],FIND("[",作者统计[[#This Row],[作者]],1)+1,FIND("]",作者统计[[#This Row],[作者]],1)-FIND("[",作者统计[[#This Row],[作者]],1)-1),"")</f>
        <v/>
      </c>
      <c r="J107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80" spans="2:10" ht="18" customHeight="1" x14ac:dyDescent="0.25">
      <c r="B1080" s="85"/>
      <c r="C1080" s="120"/>
      <c r="D1080" s="121"/>
      <c r="E1080" s="121"/>
      <c r="F1080" s="92"/>
      <c r="G1080" s="92"/>
      <c r="H1080" s="122"/>
      <c r="I1080" s="68" t="str">
        <f>IFERROR(MID(作者统计[[#This Row],[作者]],FIND("[",作者统计[[#This Row],[作者]],1)+1,FIND("]",作者统计[[#This Row],[作者]],1)-FIND("[",作者统计[[#This Row],[作者]],1)-1),"")</f>
        <v/>
      </c>
      <c r="J1080" s="68" t="str">
        <f>IFERROR(MID(作者统计[[#This Row],[作者]],FIND("(",作者统计[[#This Row],[作者]],1)+1,FIND(")",作者统计[[#This Row],[作者]],1)-FIND("(",作者统计[[#This Row],[作者]],1)-1),"")</f>
        <v/>
      </c>
    </row>
    <row r="1081" spans="2:10" ht="18" customHeight="1" x14ac:dyDescent="0.25">
      <c r="B1081" s="309"/>
      <c r="C1081" s="120"/>
      <c r="D1081" s="121"/>
      <c r="E1081" s="121"/>
      <c r="F1081" s="92"/>
      <c r="G1081" s="92"/>
      <c r="H1081" s="122"/>
      <c r="I1081" s="68" t="str">
        <f>IFERROR(MID(作者统计[[#This Row],[作者]],FIND("[",作者统计[[#This Row],[作者]],1)+1,FIND("]",作者统计[[#This Row],[作者]],1)-FIND("[",作者统计[[#This Row],[作者]],1)-1),"")</f>
        <v/>
      </c>
      <c r="J1081" s="68" t="str">
        <f>IFERROR(MID(作者统计[[#This Row],[作者]],FIND("(",作者统计[[#This Row],[作者]],1)+1,FIND(")",作者统计[[#This Row],[作者]],1)-FIND("(",作者统计[[#This Row],[作者]],1)-1),"")</f>
        <v/>
      </c>
    </row>
    <row r="1082" spans="2:10" ht="18" customHeight="1" x14ac:dyDescent="0.25">
      <c r="B1082" s="256"/>
      <c r="C1082" s="257"/>
      <c r="D1082" s="258"/>
      <c r="E1082" s="258"/>
      <c r="F1082" s="259"/>
      <c r="G1082" s="259"/>
      <c r="H1082" s="260"/>
      <c r="I1082" s="261" t="str">
        <f>IFERROR(MID(作者统计[[#This Row],[作者]],FIND("[",作者统计[[#This Row],[作者]],1)+1,FIND("]",作者统计[[#This Row],[作者]],1)-FIND("[",作者统计[[#This Row],[作者]],1)-1),"")</f>
        <v/>
      </c>
      <c r="J108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83" spans="2:10" ht="18" customHeight="1" x14ac:dyDescent="0.25">
      <c r="B1083" s="85"/>
      <c r="C1083" s="120"/>
      <c r="D1083" s="121"/>
      <c r="E1083" s="121"/>
      <c r="F1083" s="92"/>
      <c r="G1083" s="92"/>
      <c r="H1083" s="122"/>
      <c r="I1083" s="68" t="str">
        <f>IFERROR(MID(作者统计[[#This Row],[作者]],FIND("[",作者统计[[#This Row],[作者]],1)+1,FIND("]",作者统计[[#This Row],[作者]],1)-FIND("[",作者统计[[#This Row],[作者]],1)-1),"")</f>
        <v/>
      </c>
      <c r="J1083" s="68" t="str">
        <f>IFERROR(MID(作者统计[[#This Row],[作者]],FIND("(",作者统计[[#This Row],[作者]],1)+1,FIND(")",作者统计[[#This Row],[作者]],1)-FIND("(",作者统计[[#This Row],[作者]],1)-1),"")</f>
        <v/>
      </c>
    </row>
    <row r="1084" spans="2:10" ht="18" customHeight="1" x14ac:dyDescent="0.25">
      <c r="B1084" s="256"/>
      <c r="C1084" s="257"/>
      <c r="D1084" s="258"/>
      <c r="E1084" s="258"/>
      <c r="F1084" s="259"/>
      <c r="G1084" s="259"/>
      <c r="H1084" s="260"/>
      <c r="I1084" s="261" t="str">
        <f>IFERROR(MID(作者统计[[#This Row],[作者]],FIND("[",作者统计[[#This Row],[作者]],1)+1,FIND("]",作者统计[[#This Row],[作者]],1)-FIND("[",作者统计[[#This Row],[作者]],1)-1),"")</f>
        <v/>
      </c>
      <c r="J108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85" spans="2:10" ht="18" customHeight="1" x14ac:dyDescent="0.25">
      <c r="B1085" s="85"/>
      <c r="C1085" s="120"/>
      <c r="D1085" s="121"/>
      <c r="E1085" s="121"/>
      <c r="F1085" s="92"/>
      <c r="G1085" s="92"/>
      <c r="H1085" s="122"/>
      <c r="I1085" s="68" t="str">
        <f>IFERROR(MID(作者统计[[#This Row],[作者]],FIND("[",作者统计[[#This Row],[作者]],1)+1,FIND("]",作者统计[[#This Row],[作者]],1)-FIND("[",作者统计[[#This Row],[作者]],1)-1),"")</f>
        <v/>
      </c>
      <c r="J1085" s="68" t="str">
        <f>IFERROR(MID(作者统计[[#This Row],[作者]],FIND("(",作者统计[[#This Row],[作者]],1)+1,FIND(")",作者统计[[#This Row],[作者]],1)-FIND("(",作者统计[[#This Row],[作者]],1)-1),"")</f>
        <v/>
      </c>
    </row>
    <row r="1086" spans="2:10" ht="18" customHeight="1" x14ac:dyDescent="0.25">
      <c r="B1086" s="85"/>
      <c r="C1086" s="120"/>
      <c r="D1086" s="121"/>
      <c r="E1086" s="121"/>
      <c r="F1086" s="92"/>
      <c r="G1086" s="92"/>
      <c r="H1086" s="122"/>
      <c r="I1086" s="68" t="str">
        <f>IFERROR(MID(作者统计[[#This Row],[作者]],FIND("[",作者统计[[#This Row],[作者]],1)+1,FIND("]",作者统计[[#This Row],[作者]],1)-FIND("[",作者统计[[#This Row],[作者]],1)-1),"")</f>
        <v/>
      </c>
      <c r="J1086" s="68" t="str">
        <f>IFERROR(MID(作者统计[[#This Row],[作者]],FIND("(",作者统计[[#This Row],[作者]],1)+1,FIND(")",作者统计[[#This Row],[作者]],1)-FIND("(",作者统计[[#This Row],[作者]],1)-1),"")</f>
        <v/>
      </c>
    </row>
    <row r="1087" spans="2:10" ht="18" customHeight="1" x14ac:dyDescent="0.25">
      <c r="B1087" s="256"/>
      <c r="C1087" s="257"/>
      <c r="D1087" s="258"/>
      <c r="E1087" s="258"/>
      <c r="F1087" s="259"/>
      <c r="G1087" s="259"/>
      <c r="H1087" s="260"/>
      <c r="I1087" s="261" t="str">
        <f>IFERROR(MID(作者统计[[#This Row],[作者]],FIND("[",作者统计[[#This Row],[作者]],1)+1,FIND("]",作者统计[[#This Row],[作者]],1)-FIND("[",作者统计[[#This Row],[作者]],1)-1),"")</f>
        <v/>
      </c>
      <c r="J108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88" spans="2:10" ht="18" customHeight="1" x14ac:dyDescent="0.25">
      <c r="B1088" s="256"/>
      <c r="C1088" s="257"/>
      <c r="D1088" s="258"/>
      <c r="E1088" s="258"/>
      <c r="F1088" s="259"/>
      <c r="G1088" s="259"/>
      <c r="H1088" s="260"/>
      <c r="I1088" s="261" t="str">
        <f>IFERROR(MID(作者统计[[#This Row],[作者]],FIND("[",作者统计[[#This Row],[作者]],1)+1,FIND("]",作者统计[[#This Row],[作者]],1)-FIND("[",作者统计[[#This Row],[作者]],1)-1),"")</f>
        <v/>
      </c>
      <c r="J108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89" spans="2:10" ht="18" customHeight="1" x14ac:dyDescent="0.25">
      <c r="B1089" s="309"/>
      <c r="C1089" s="120"/>
      <c r="D1089" s="121"/>
      <c r="E1089" s="121"/>
      <c r="F1089" s="92"/>
      <c r="G1089" s="92"/>
      <c r="H1089" s="122"/>
      <c r="I1089" s="68" t="str">
        <f>IFERROR(MID(作者统计[[#This Row],[作者]],FIND("[",作者统计[[#This Row],[作者]],1)+1,FIND("]",作者统计[[#This Row],[作者]],1)-FIND("[",作者统计[[#This Row],[作者]],1)-1),"")</f>
        <v/>
      </c>
      <c r="J1089" s="68" t="str">
        <f>IFERROR(MID(作者统计[[#This Row],[作者]],FIND("(",作者统计[[#This Row],[作者]],1)+1,FIND(")",作者统计[[#This Row],[作者]],1)-FIND("(",作者统计[[#This Row],[作者]],1)-1),"")</f>
        <v/>
      </c>
    </row>
    <row r="1090" spans="2:10" ht="18" customHeight="1" x14ac:dyDescent="0.25">
      <c r="B1090" s="256"/>
      <c r="C1090" s="257"/>
      <c r="D1090" s="258"/>
      <c r="E1090" s="258"/>
      <c r="F1090" s="259"/>
      <c r="G1090" s="259"/>
      <c r="H1090" s="260"/>
      <c r="I1090" s="261" t="str">
        <f>IFERROR(MID(作者统计[[#This Row],[作者]],FIND("[",作者统计[[#This Row],[作者]],1)+1,FIND("]",作者统计[[#This Row],[作者]],1)-FIND("[",作者统计[[#This Row],[作者]],1)-1),"")</f>
        <v/>
      </c>
      <c r="J109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91" spans="2:10" ht="18" customHeight="1" x14ac:dyDescent="0.25">
      <c r="B1091" s="256"/>
      <c r="C1091" s="257"/>
      <c r="D1091" s="258"/>
      <c r="E1091" s="258"/>
      <c r="F1091" s="259"/>
      <c r="G1091" s="259"/>
      <c r="H1091" s="260"/>
      <c r="I1091" s="261" t="str">
        <f>IFERROR(MID(作者统计[[#This Row],[作者]],FIND("[",作者统计[[#This Row],[作者]],1)+1,FIND("]",作者统计[[#This Row],[作者]],1)-FIND("[",作者统计[[#This Row],[作者]],1)-1),"")</f>
        <v/>
      </c>
      <c r="J109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92" spans="2:10" ht="18" customHeight="1" x14ac:dyDescent="0.25">
      <c r="B1092" s="309"/>
      <c r="C1092" s="120"/>
      <c r="D1092" s="121"/>
      <c r="E1092" s="121"/>
      <c r="F1092" s="92"/>
      <c r="G1092" s="92"/>
      <c r="H1092" s="122"/>
      <c r="I1092" s="68" t="str">
        <f>IFERROR(MID(作者统计[[#This Row],[作者]],FIND("[",作者统计[[#This Row],[作者]],1)+1,FIND("]",作者统计[[#This Row],[作者]],1)-FIND("[",作者统计[[#This Row],[作者]],1)-1),"")</f>
        <v/>
      </c>
      <c r="J1092" s="68" t="str">
        <f>IFERROR(MID(作者统计[[#This Row],[作者]],FIND("(",作者统计[[#This Row],[作者]],1)+1,FIND(")",作者统计[[#This Row],[作者]],1)-FIND("(",作者统计[[#This Row],[作者]],1)-1),"")</f>
        <v/>
      </c>
    </row>
    <row r="1093" spans="2:10" ht="18" customHeight="1" x14ac:dyDescent="0.25">
      <c r="B1093" s="85"/>
      <c r="C1093" s="120"/>
      <c r="D1093" s="121"/>
      <c r="E1093" s="121"/>
      <c r="F1093" s="92"/>
      <c r="G1093" s="92"/>
      <c r="H1093" s="122"/>
      <c r="I1093" s="68" t="str">
        <f>IFERROR(MID(作者统计[[#This Row],[作者]],FIND("[",作者统计[[#This Row],[作者]],1)+1,FIND("]",作者统计[[#This Row],[作者]],1)-FIND("[",作者统计[[#This Row],[作者]],1)-1),"")</f>
        <v/>
      </c>
      <c r="J1093" s="68" t="str">
        <f>IFERROR(MID(作者统计[[#This Row],[作者]],FIND("(",作者统计[[#This Row],[作者]],1)+1,FIND(")",作者统计[[#This Row],[作者]],1)-FIND("(",作者统计[[#This Row],[作者]],1)-1),"")</f>
        <v/>
      </c>
    </row>
    <row r="1094" spans="2:10" ht="18" customHeight="1" x14ac:dyDescent="0.25">
      <c r="B1094" s="256"/>
      <c r="C1094" s="257"/>
      <c r="D1094" s="258"/>
      <c r="E1094" s="258"/>
      <c r="F1094" s="259"/>
      <c r="G1094" s="259"/>
      <c r="H1094" s="260"/>
      <c r="I1094" s="261" t="str">
        <f>IFERROR(MID(作者统计[[#This Row],[作者]],FIND("[",作者统计[[#This Row],[作者]],1)+1,FIND("]",作者统计[[#This Row],[作者]],1)-FIND("[",作者统计[[#This Row],[作者]],1)-1),"")</f>
        <v/>
      </c>
      <c r="J109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95" spans="2:10" ht="18" customHeight="1" x14ac:dyDescent="0.25">
      <c r="B1095" s="256"/>
      <c r="C1095" s="257"/>
      <c r="D1095" s="258"/>
      <c r="E1095" s="258"/>
      <c r="F1095" s="259"/>
      <c r="G1095" s="259"/>
      <c r="H1095" s="260"/>
      <c r="I1095" s="261" t="str">
        <f>IFERROR(MID(作者统计[[#This Row],[作者]],FIND("[",作者统计[[#This Row],[作者]],1)+1,FIND("]",作者统计[[#This Row],[作者]],1)-FIND("[",作者统计[[#This Row],[作者]],1)-1),"")</f>
        <v/>
      </c>
      <c r="J109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96" spans="2:10" ht="18" customHeight="1" x14ac:dyDescent="0.25">
      <c r="B1096" s="256"/>
      <c r="C1096" s="257"/>
      <c r="D1096" s="258"/>
      <c r="E1096" s="258"/>
      <c r="F1096" s="259"/>
      <c r="G1096" s="259"/>
      <c r="H1096" s="260"/>
      <c r="I1096" s="261" t="str">
        <f>IFERROR(MID(作者统计[[#This Row],[作者]],FIND("[",作者统计[[#This Row],[作者]],1)+1,FIND("]",作者统计[[#This Row],[作者]],1)-FIND("[",作者统计[[#This Row],[作者]],1)-1),"")</f>
        <v/>
      </c>
      <c r="J109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97" spans="2:10" ht="18" customHeight="1" x14ac:dyDescent="0.25">
      <c r="B1097" s="309"/>
      <c r="C1097" s="120"/>
      <c r="D1097" s="121"/>
      <c r="E1097" s="121"/>
      <c r="F1097" s="92"/>
      <c r="G1097" s="92"/>
      <c r="H1097" s="122"/>
      <c r="I1097" s="68" t="str">
        <f>IFERROR(MID(作者统计[[#This Row],[作者]],FIND("[",作者统计[[#This Row],[作者]],1)+1,FIND("]",作者统计[[#This Row],[作者]],1)-FIND("[",作者统计[[#This Row],[作者]],1)-1),"")</f>
        <v/>
      </c>
      <c r="J1097" s="68" t="str">
        <f>IFERROR(MID(作者统计[[#This Row],[作者]],FIND("(",作者统计[[#This Row],[作者]],1)+1,FIND(")",作者统计[[#This Row],[作者]],1)-FIND("(",作者统计[[#This Row],[作者]],1)-1),"")</f>
        <v/>
      </c>
    </row>
    <row r="1098" spans="2:10" ht="18" customHeight="1" x14ac:dyDescent="0.25">
      <c r="B1098" s="256"/>
      <c r="C1098" s="257"/>
      <c r="D1098" s="258"/>
      <c r="E1098" s="258"/>
      <c r="F1098" s="259"/>
      <c r="G1098" s="259"/>
      <c r="H1098" s="260"/>
      <c r="I1098" s="261" t="str">
        <f>IFERROR(MID(作者统计[[#This Row],[作者]],FIND("[",作者统计[[#This Row],[作者]],1)+1,FIND("]",作者统计[[#This Row],[作者]],1)-FIND("[",作者统计[[#This Row],[作者]],1)-1),"")</f>
        <v/>
      </c>
      <c r="J109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099" spans="2:10" ht="18" customHeight="1" x14ac:dyDescent="0.25">
      <c r="B1099" s="309"/>
      <c r="C1099" s="120"/>
      <c r="D1099" s="121"/>
      <c r="E1099" s="121"/>
      <c r="F1099" s="92"/>
      <c r="G1099" s="92"/>
      <c r="H1099" s="122"/>
      <c r="I1099" s="68" t="str">
        <f>IFERROR(MID(作者统计[[#This Row],[作者]],FIND("[",作者统计[[#This Row],[作者]],1)+1,FIND("]",作者统计[[#This Row],[作者]],1)-FIND("[",作者统计[[#This Row],[作者]],1)-1),"")</f>
        <v/>
      </c>
      <c r="J1099" s="68" t="str">
        <f>IFERROR(MID(作者统计[[#This Row],[作者]],FIND("(",作者统计[[#This Row],[作者]],1)+1,FIND(")",作者统计[[#This Row],[作者]],1)-FIND("(",作者统计[[#This Row],[作者]],1)-1),"")</f>
        <v/>
      </c>
    </row>
    <row r="1100" spans="2:10" ht="18" customHeight="1" x14ac:dyDescent="0.25">
      <c r="B1100" s="309"/>
      <c r="C1100" s="120"/>
      <c r="D1100" s="121"/>
      <c r="E1100" s="121"/>
      <c r="F1100" s="92"/>
      <c r="G1100" s="92"/>
      <c r="H1100" s="122"/>
      <c r="I1100" s="68" t="str">
        <f>IFERROR(MID(作者统计[[#This Row],[作者]],FIND("[",作者统计[[#This Row],[作者]],1)+1,FIND("]",作者统计[[#This Row],[作者]],1)-FIND("[",作者统计[[#This Row],[作者]],1)-1),"")</f>
        <v/>
      </c>
      <c r="J1100" s="68" t="str">
        <f>IFERROR(MID(作者统计[[#This Row],[作者]],FIND("(",作者统计[[#This Row],[作者]],1)+1,FIND(")",作者统计[[#This Row],[作者]],1)-FIND("(",作者统计[[#This Row],[作者]],1)-1),"")</f>
        <v/>
      </c>
    </row>
    <row r="1101" spans="2:10" ht="18" customHeight="1" x14ac:dyDescent="0.25">
      <c r="B1101" s="85"/>
      <c r="C1101" s="120"/>
      <c r="D1101" s="121"/>
      <c r="E1101" s="121"/>
      <c r="F1101" s="92"/>
      <c r="G1101" s="92"/>
      <c r="H1101" s="122"/>
      <c r="I1101" s="68" t="str">
        <f>IFERROR(MID(作者统计[[#This Row],[作者]],FIND("[",作者统计[[#This Row],[作者]],1)+1,FIND("]",作者统计[[#This Row],[作者]],1)-FIND("[",作者统计[[#This Row],[作者]],1)-1),"")</f>
        <v/>
      </c>
      <c r="J1101" s="68" t="str">
        <f>IFERROR(MID(作者统计[[#This Row],[作者]],FIND("(",作者统计[[#This Row],[作者]],1)+1,FIND(")",作者统计[[#This Row],[作者]],1)-FIND("(",作者统计[[#This Row],[作者]],1)-1),"")</f>
        <v/>
      </c>
    </row>
    <row r="1102" spans="2:10" ht="18" customHeight="1" x14ac:dyDescent="0.25">
      <c r="B1102" s="85"/>
      <c r="C1102" s="120"/>
      <c r="D1102" s="121"/>
      <c r="E1102" s="121"/>
      <c r="F1102" s="92"/>
      <c r="G1102" s="92"/>
      <c r="H1102" s="122"/>
      <c r="I1102" s="68" t="str">
        <f>IFERROR(MID(作者统计[[#This Row],[作者]],FIND("[",作者统计[[#This Row],[作者]],1)+1,FIND("]",作者统计[[#This Row],[作者]],1)-FIND("[",作者统计[[#This Row],[作者]],1)-1),"")</f>
        <v/>
      </c>
      <c r="J1102" s="68" t="str">
        <f>IFERROR(MID(作者统计[[#This Row],[作者]],FIND("(",作者统计[[#This Row],[作者]],1)+1,FIND(")",作者统计[[#This Row],[作者]],1)-FIND("(",作者统计[[#This Row],[作者]],1)-1),"")</f>
        <v/>
      </c>
    </row>
    <row r="1103" spans="2:10" ht="18" customHeight="1" x14ac:dyDescent="0.25">
      <c r="B1103" s="309"/>
      <c r="C1103" s="120"/>
      <c r="D1103" s="121"/>
      <c r="E1103" s="121"/>
      <c r="F1103" s="92"/>
      <c r="G1103" s="92"/>
      <c r="H1103" s="122"/>
      <c r="I1103" s="68" t="str">
        <f>IFERROR(MID(作者统计[[#This Row],[作者]],FIND("[",作者统计[[#This Row],[作者]],1)+1,FIND("]",作者统计[[#This Row],[作者]],1)-FIND("[",作者统计[[#This Row],[作者]],1)-1),"")</f>
        <v/>
      </c>
      <c r="J1103" s="68" t="str">
        <f>IFERROR(MID(作者统计[[#This Row],[作者]],FIND("(",作者统计[[#This Row],[作者]],1)+1,FIND(")",作者统计[[#This Row],[作者]],1)-FIND("(",作者统计[[#This Row],[作者]],1)-1),"")</f>
        <v/>
      </c>
    </row>
    <row r="1104" spans="2:10" ht="18" customHeight="1" x14ac:dyDescent="0.25">
      <c r="B1104" s="256"/>
      <c r="C1104" s="257"/>
      <c r="D1104" s="258"/>
      <c r="E1104" s="258"/>
      <c r="F1104" s="259"/>
      <c r="G1104" s="259"/>
      <c r="H1104" s="260"/>
      <c r="I1104" s="261" t="str">
        <f>IFERROR(MID(作者统计[[#This Row],[作者]],FIND("[",作者统计[[#This Row],[作者]],1)+1,FIND("]",作者统计[[#This Row],[作者]],1)-FIND("[",作者统计[[#This Row],[作者]],1)-1),"")</f>
        <v/>
      </c>
      <c r="J110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05" spans="2:10" ht="18" customHeight="1" x14ac:dyDescent="0.25">
      <c r="B1105" s="256"/>
      <c r="C1105" s="257"/>
      <c r="D1105" s="258"/>
      <c r="E1105" s="258"/>
      <c r="F1105" s="259"/>
      <c r="G1105" s="259"/>
      <c r="H1105" s="260"/>
      <c r="I1105" s="261" t="str">
        <f>IFERROR(MID(作者统计[[#This Row],[作者]],FIND("[",作者统计[[#This Row],[作者]],1)+1,FIND("]",作者统计[[#This Row],[作者]],1)-FIND("[",作者统计[[#This Row],[作者]],1)-1),"")</f>
        <v/>
      </c>
      <c r="J110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06" spans="2:10" ht="18" customHeight="1" x14ac:dyDescent="0.25">
      <c r="B1106" s="85"/>
      <c r="C1106" s="120"/>
      <c r="D1106" s="121"/>
      <c r="E1106" s="121"/>
      <c r="F1106" s="92"/>
      <c r="G1106" s="92"/>
      <c r="H1106" s="122"/>
      <c r="I1106" s="68" t="str">
        <f>IFERROR(MID(作者统计[[#This Row],[作者]],FIND("[",作者统计[[#This Row],[作者]],1)+1,FIND("]",作者统计[[#This Row],[作者]],1)-FIND("[",作者统计[[#This Row],[作者]],1)-1),"")</f>
        <v/>
      </c>
      <c r="J1106" s="68" t="str">
        <f>IFERROR(MID(作者统计[[#This Row],[作者]],FIND("(",作者统计[[#This Row],[作者]],1)+1,FIND(")",作者统计[[#This Row],[作者]],1)-FIND("(",作者统计[[#This Row],[作者]],1)-1),"")</f>
        <v/>
      </c>
    </row>
    <row r="1107" spans="2:10" ht="18" customHeight="1" x14ac:dyDescent="0.25">
      <c r="B1107" s="85"/>
      <c r="C1107" s="120"/>
      <c r="D1107" s="121"/>
      <c r="E1107" s="121"/>
      <c r="F1107" s="92"/>
      <c r="G1107" s="92"/>
      <c r="H1107" s="122"/>
      <c r="I1107" s="68" t="str">
        <f>IFERROR(MID(作者统计[[#This Row],[作者]],FIND("[",作者统计[[#This Row],[作者]],1)+1,FIND("]",作者统计[[#This Row],[作者]],1)-FIND("[",作者统计[[#This Row],[作者]],1)-1),"")</f>
        <v/>
      </c>
      <c r="J1107" s="68" t="str">
        <f>IFERROR(MID(作者统计[[#This Row],[作者]],FIND("(",作者统计[[#This Row],[作者]],1)+1,FIND(")",作者统计[[#This Row],[作者]],1)-FIND("(",作者统计[[#This Row],[作者]],1)-1),"")</f>
        <v/>
      </c>
    </row>
    <row r="1108" spans="2:10" ht="18" customHeight="1" x14ac:dyDescent="0.25">
      <c r="B1108" s="309"/>
      <c r="C1108" s="120"/>
      <c r="D1108" s="121"/>
      <c r="E1108" s="121"/>
      <c r="F1108" s="92"/>
      <c r="G1108" s="92"/>
      <c r="H1108" s="122"/>
      <c r="I1108" s="68" t="str">
        <f>IFERROR(MID(作者统计[[#This Row],[作者]],FIND("[",作者统计[[#This Row],[作者]],1)+1,FIND("]",作者统计[[#This Row],[作者]],1)-FIND("[",作者统计[[#This Row],[作者]],1)-1),"")</f>
        <v/>
      </c>
      <c r="J110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09" spans="2:10" ht="18" customHeight="1" x14ac:dyDescent="0.25">
      <c r="B1109" s="256"/>
      <c r="C1109" s="257"/>
      <c r="D1109" s="258"/>
      <c r="E1109" s="258"/>
      <c r="F1109" s="259"/>
      <c r="G1109" s="259"/>
      <c r="H1109" s="260"/>
      <c r="I1109" s="261" t="str">
        <f>IFERROR(MID(作者统计[[#This Row],[作者]],FIND("[",作者统计[[#This Row],[作者]],1)+1,FIND("]",作者统计[[#This Row],[作者]],1)-FIND("[",作者统计[[#This Row],[作者]],1)-1),"")</f>
        <v/>
      </c>
      <c r="J110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10" spans="2:10" ht="18" customHeight="1" x14ac:dyDescent="0.25">
      <c r="B1110" s="85"/>
      <c r="C1110" s="120"/>
      <c r="D1110" s="121"/>
      <c r="E1110" s="121"/>
      <c r="F1110" s="92"/>
      <c r="G1110" s="92"/>
      <c r="H1110" s="122"/>
      <c r="I1110" s="68" t="str">
        <f>IFERROR(MID(作者统计[[#This Row],[作者]],FIND("[",作者统计[[#This Row],[作者]],1)+1,FIND("]",作者统计[[#This Row],[作者]],1)-FIND("[",作者统计[[#This Row],[作者]],1)-1),"")</f>
        <v/>
      </c>
      <c r="J1110" s="68" t="str">
        <f>IFERROR(MID(作者统计[[#This Row],[作者]],FIND("(",作者统计[[#This Row],[作者]],1)+1,FIND(")",作者统计[[#This Row],[作者]],1)-FIND("(",作者统计[[#This Row],[作者]],1)-1),"")</f>
        <v/>
      </c>
    </row>
    <row r="1111" spans="2:10" ht="18" customHeight="1" x14ac:dyDescent="0.25">
      <c r="B1111" s="309"/>
      <c r="C1111" s="120"/>
      <c r="D1111" s="121"/>
      <c r="E1111" s="121"/>
      <c r="F1111" s="92"/>
      <c r="G1111" s="92"/>
      <c r="H1111" s="122"/>
      <c r="I1111" s="68" t="str">
        <f>IFERROR(MID(作者统计[[#This Row],[作者]],FIND("[",作者统计[[#This Row],[作者]],1)+1,FIND("]",作者统计[[#This Row],[作者]],1)-FIND("[",作者统计[[#This Row],[作者]],1)-1),"")</f>
        <v/>
      </c>
      <c r="J1111" s="68" t="str">
        <f>IFERROR(MID(作者统计[[#This Row],[作者]],FIND("(",作者统计[[#This Row],[作者]],1)+1,FIND(")",作者统计[[#This Row],[作者]],1)-FIND("(",作者统计[[#This Row],[作者]],1)-1),"")</f>
        <v/>
      </c>
    </row>
    <row r="1112" spans="2:10" ht="18" customHeight="1" x14ac:dyDescent="0.25">
      <c r="B1112" s="309"/>
      <c r="C1112" s="120"/>
      <c r="D1112" s="121"/>
      <c r="E1112" s="121"/>
      <c r="F1112" s="92"/>
      <c r="G1112" s="92"/>
      <c r="H1112" s="122"/>
      <c r="I1112" s="68" t="str">
        <f>IFERROR(MID(作者统计[[#This Row],[作者]],FIND("[",作者统计[[#This Row],[作者]],1)+1,FIND("]",作者统计[[#This Row],[作者]],1)-FIND("[",作者统计[[#This Row],[作者]],1)-1),"")</f>
        <v/>
      </c>
      <c r="J1112" s="68" t="str">
        <f>IFERROR(MID(作者统计[[#This Row],[作者]],FIND("(",作者统计[[#This Row],[作者]],1)+1,FIND(")",作者统计[[#This Row],[作者]],1)-FIND("(",作者统计[[#This Row],[作者]],1)-1),"")</f>
        <v/>
      </c>
    </row>
    <row r="1113" spans="2:10" ht="18" customHeight="1" x14ac:dyDescent="0.25">
      <c r="B1113" s="309"/>
      <c r="C1113" s="120"/>
      <c r="D1113" s="121"/>
      <c r="E1113" s="121"/>
      <c r="F1113" s="92"/>
      <c r="G1113" s="92"/>
      <c r="H1113" s="122"/>
      <c r="I1113" s="68" t="str">
        <f>IFERROR(MID(作者统计[[#This Row],[作者]],FIND("[",作者统计[[#This Row],[作者]],1)+1,FIND("]",作者统计[[#This Row],[作者]],1)-FIND("[",作者统计[[#This Row],[作者]],1)-1),"")</f>
        <v/>
      </c>
      <c r="J1113" s="68" t="str">
        <f>IFERROR(MID(作者统计[[#This Row],[作者]],FIND("(",作者统计[[#This Row],[作者]],1)+1,FIND(")",作者统计[[#This Row],[作者]],1)-FIND("(",作者统计[[#This Row],[作者]],1)-1),"")</f>
        <v/>
      </c>
    </row>
    <row r="1114" spans="2:10" ht="18" customHeight="1" x14ac:dyDescent="0.25">
      <c r="B1114" s="85"/>
      <c r="C1114" s="120"/>
      <c r="D1114" s="121"/>
      <c r="E1114" s="121"/>
      <c r="F1114" s="92"/>
      <c r="G1114" s="92"/>
      <c r="H1114" s="122"/>
      <c r="I1114" s="68" t="str">
        <f>IFERROR(MID(作者统计[[#This Row],[作者]],FIND("[",作者统计[[#This Row],[作者]],1)+1,FIND("]",作者统计[[#This Row],[作者]],1)-FIND("[",作者统计[[#This Row],[作者]],1)-1),"")</f>
        <v/>
      </c>
      <c r="J1114" s="68" t="str">
        <f>IFERROR(MID(作者统计[[#This Row],[作者]],FIND("(",作者统计[[#This Row],[作者]],1)+1,FIND(")",作者统计[[#This Row],[作者]],1)-FIND("(",作者统计[[#This Row],[作者]],1)-1),"")</f>
        <v/>
      </c>
    </row>
    <row r="1115" spans="2:10" ht="18" customHeight="1" x14ac:dyDescent="0.25">
      <c r="B1115" s="309"/>
      <c r="C1115" s="120"/>
      <c r="D1115" s="121"/>
      <c r="E1115" s="121"/>
      <c r="F1115" s="92"/>
      <c r="G1115" s="92"/>
      <c r="H1115" s="122"/>
      <c r="I1115" s="68" t="str">
        <f>IFERROR(MID(作者统计[[#This Row],[作者]],FIND("[",作者统计[[#This Row],[作者]],1)+1,FIND("]",作者统计[[#This Row],[作者]],1)-FIND("[",作者统计[[#This Row],[作者]],1)-1),"")</f>
        <v/>
      </c>
      <c r="J1115" s="68" t="str">
        <f>IFERROR(MID(作者统计[[#This Row],[作者]],FIND("(",作者统计[[#This Row],[作者]],1)+1,FIND(")",作者统计[[#This Row],[作者]],1)-FIND("(",作者统计[[#This Row],[作者]],1)-1),"")</f>
        <v/>
      </c>
    </row>
    <row r="1116" spans="2:10" ht="18" customHeight="1" x14ac:dyDescent="0.25">
      <c r="B1116" s="85"/>
      <c r="C1116" s="120"/>
      <c r="D1116" s="121"/>
      <c r="E1116" s="121"/>
      <c r="F1116" s="92"/>
      <c r="G1116" s="92"/>
      <c r="H1116" s="122"/>
      <c r="I1116" s="68" t="str">
        <f>IFERROR(MID(作者统计[[#This Row],[作者]],FIND("[",作者统计[[#This Row],[作者]],1)+1,FIND("]",作者统计[[#This Row],[作者]],1)-FIND("[",作者统计[[#This Row],[作者]],1)-1),"")</f>
        <v/>
      </c>
      <c r="J1116" s="68" t="str">
        <f>IFERROR(MID(作者统计[[#This Row],[作者]],FIND("(",作者统计[[#This Row],[作者]],1)+1,FIND(")",作者统计[[#This Row],[作者]],1)-FIND("(",作者统计[[#This Row],[作者]],1)-1),"")</f>
        <v/>
      </c>
    </row>
    <row r="1117" spans="2:10" ht="18" customHeight="1" x14ac:dyDescent="0.25">
      <c r="B1117" s="309"/>
      <c r="C1117" s="120"/>
      <c r="D1117" s="121"/>
      <c r="E1117" s="121"/>
      <c r="F1117" s="92"/>
      <c r="G1117" s="92"/>
      <c r="H1117" s="122"/>
      <c r="I1117" s="68" t="str">
        <f>IFERROR(MID(作者统计[[#This Row],[作者]],FIND("[",作者统计[[#This Row],[作者]],1)+1,FIND("]",作者统计[[#This Row],[作者]],1)-FIND("[",作者统计[[#This Row],[作者]],1)-1),"")</f>
        <v/>
      </c>
      <c r="J1117" s="68" t="str">
        <f>IFERROR(MID(作者统计[[#This Row],[作者]],FIND("(",作者统计[[#This Row],[作者]],1)+1,FIND(")",作者统计[[#This Row],[作者]],1)-FIND("(",作者统计[[#This Row],[作者]],1)-1),"")</f>
        <v/>
      </c>
    </row>
    <row r="1118" spans="2:10" ht="18" customHeight="1" x14ac:dyDescent="0.25">
      <c r="B1118" s="256"/>
      <c r="C1118" s="257"/>
      <c r="D1118" s="258"/>
      <c r="E1118" s="258"/>
      <c r="F1118" s="259"/>
      <c r="G1118" s="259"/>
      <c r="H1118" s="260"/>
      <c r="I1118" s="261" t="str">
        <f>IFERROR(MID(作者统计[[#This Row],[作者]],FIND("[",作者统计[[#This Row],[作者]],1)+1,FIND("]",作者统计[[#This Row],[作者]],1)-FIND("[",作者统计[[#This Row],[作者]],1)-1),"")</f>
        <v/>
      </c>
      <c r="J111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19" spans="2:10" ht="18" customHeight="1" x14ac:dyDescent="0.25">
      <c r="B1119" s="256"/>
      <c r="C1119" s="257"/>
      <c r="D1119" s="258"/>
      <c r="E1119" s="258"/>
      <c r="F1119" s="259"/>
      <c r="G1119" s="259"/>
      <c r="H1119" s="260"/>
      <c r="I1119" s="261" t="str">
        <f>IFERROR(MID(作者统计[[#This Row],[作者]],FIND("[",作者统计[[#This Row],[作者]],1)+1,FIND("]",作者统计[[#This Row],[作者]],1)-FIND("[",作者统计[[#This Row],[作者]],1)-1),"")</f>
        <v/>
      </c>
      <c r="J111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20" spans="2:10" ht="18" customHeight="1" x14ac:dyDescent="0.25">
      <c r="B1120" s="256"/>
      <c r="C1120" s="257"/>
      <c r="D1120" s="258"/>
      <c r="E1120" s="258"/>
      <c r="F1120" s="259"/>
      <c r="G1120" s="259"/>
      <c r="H1120" s="260"/>
      <c r="I1120" s="261" t="str">
        <f>IFERROR(MID(作者统计[[#This Row],[作者]],FIND("[",作者统计[[#This Row],[作者]],1)+1,FIND("]",作者统计[[#This Row],[作者]],1)-FIND("[",作者统计[[#This Row],[作者]],1)-1),"")</f>
        <v/>
      </c>
      <c r="J112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21" spans="2:10" ht="18" customHeight="1" x14ac:dyDescent="0.25">
      <c r="B1121" s="256"/>
      <c r="C1121" s="257"/>
      <c r="D1121" s="258"/>
      <c r="E1121" s="258"/>
      <c r="F1121" s="259"/>
      <c r="G1121" s="259"/>
      <c r="H1121" s="260"/>
      <c r="I1121" s="261" t="str">
        <f>IFERROR(MID(作者统计[[#This Row],[作者]],FIND("[",作者统计[[#This Row],[作者]],1)+1,FIND("]",作者统计[[#This Row],[作者]],1)-FIND("[",作者统计[[#This Row],[作者]],1)-1),"")</f>
        <v/>
      </c>
      <c r="J112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22" spans="2:10" ht="18" customHeight="1" x14ac:dyDescent="0.25">
      <c r="B1122" s="309"/>
      <c r="C1122" s="120"/>
      <c r="D1122" s="121"/>
      <c r="E1122" s="121"/>
      <c r="F1122" s="92"/>
      <c r="G1122" s="92"/>
      <c r="H1122" s="122"/>
      <c r="I1122" s="68" t="str">
        <f>IFERROR(MID(作者统计[[#This Row],[作者]],FIND("[",作者统计[[#This Row],[作者]],1)+1,FIND("]",作者统计[[#This Row],[作者]],1)-FIND("[",作者统计[[#This Row],[作者]],1)-1),"")</f>
        <v/>
      </c>
      <c r="J1122" s="68" t="str">
        <f>IFERROR(MID(作者统计[[#This Row],[作者]],FIND("(",作者统计[[#This Row],[作者]],1)+1,FIND(")",作者统计[[#This Row],[作者]],1)-FIND("(",作者统计[[#This Row],[作者]],1)-1),"")</f>
        <v/>
      </c>
    </row>
    <row r="1123" spans="2:10" ht="18" customHeight="1" x14ac:dyDescent="0.25">
      <c r="B1123" s="309"/>
      <c r="C1123" s="120"/>
      <c r="D1123" s="121"/>
      <c r="E1123" s="121"/>
      <c r="F1123" s="92"/>
      <c r="G1123" s="92"/>
      <c r="H1123" s="122"/>
      <c r="I1123" s="68" t="str">
        <f>IFERROR(MID(作者统计[[#This Row],[作者]],FIND("[",作者统计[[#This Row],[作者]],1)+1,FIND("]",作者统计[[#This Row],[作者]],1)-FIND("[",作者统计[[#This Row],[作者]],1)-1),"")</f>
        <v/>
      </c>
      <c r="J1123" s="68" t="str">
        <f>IFERROR(MID(作者统计[[#This Row],[作者]],FIND("(",作者统计[[#This Row],[作者]],1)+1,FIND(")",作者统计[[#This Row],[作者]],1)-FIND("(",作者统计[[#This Row],[作者]],1)-1),"")</f>
        <v/>
      </c>
    </row>
    <row r="1124" spans="2:10" ht="18" customHeight="1" x14ac:dyDescent="0.25">
      <c r="B1124" s="309"/>
      <c r="C1124" s="120"/>
      <c r="D1124" s="121"/>
      <c r="E1124" s="121"/>
      <c r="F1124" s="92"/>
      <c r="G1124" s="92"/>
      <c r="H1124" s="122"/>
      <c r="I1124" s="68" t="str">
        <f>IFERROR(MID(作者统计[[#This Row],[作者]],FIND("[",作者统计[[#This Row],[作者]],1)+1,FIND("]",作者统计[[#This Row],[作者]],1)-FIND("[",作者统计[[#This Row],[作者]],1)-1),"")</f>
        <v/>
      </c>
      <c r="J1124" s="68" t="str">
        <f>IFERROR(MID(作者统计[[#This Row],[作者]],FIND("(",作者统计[[#This Row],[作者]],1)+1,FIND(")",作者统计[[#This Row],[作者]],1)-FIND("(",作者统计[[#This Row],[作者]],1)-1),"")</f>
        <v/>
      </c>
    </row>
    <row r="1125" spans="2:10" ht="18" customHeight="1" x14ac:dyDescent="0.25">
      <c r="B1125" s="256"/>
      <c r="C1125" s="257"/>
      <c r="D1125" s="258"/>
      <c r="E1125" s="258"/>
      <c r="F1125" s="259"/>
      <c r="G1125" s="259"/>
      <c r="H1125" s="260"/>
      <c r="I1125" s="261" t="str">
        <f>IFERROR(MID(作者统计[[#This Row],[作者]],FIND("[",作者统计[[#This Row],[作者]],1)+1,FIND("]",作者统计[[#This Row],[作者]],1)-FIND("[",作者统计[[#This Row],[作者]],1)-1),"")</f>
        <v/>
      </c>
      <c r="J112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26" spans="2:10" ht="18" customHeight="1" x14ac:dyDescent="0.25">
      <c r="B1126" s="256"/>
      <c r="C1126" s="257"/>
      <c r="D1126" s="258"/>
      <c r="E1126" s="258"/>
      <c r="F1126" s="259"/>
      <c r="G1126" s="259"/>
      <c r="H1126" s="260"/>
      <c r="I1126" s="261" t="str">
        <f>IFERROR(MID(作者统计[[#This Row],[作者]],FIND("[",作者统计[[#This Row],[作者]],1)+1,FIND("]",作者统计[[#This Row],[作者]],1)-FIND("[",作者统计[[#This Row],[作者]],1)-1),"")</f>
        <v/>
      </c>
      <c r="J112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27" spans="2:10" ht="18" customHeight="1" x14ac:dyDescent="0.25">
      <c r="B1127" s="85"/>
      <c r="C1127" s="120"/>
      <c r="D1127" s="121"/>
      <c r="E1127" s="121"/>
      <c r="F1127" s="92"/>
      <c r="G1127" s="92"/>
      <c r="H1127" s="122"/>
      <c r="I1127" s="68" t="str">
        <f>IFERROR(MID(作者统计[[#This Row],[作者]],FIND("[",作者统计[[#This Row],[作者]],1)+1,FIND("]",作者统计[[#This Row],[作者]],1)-FIND("[",作者统计[[#This Row],[作者]],1)-1),"")</f>
        <v/>
      </c>
      <c r="J1127" s="68" t="str">
        <f>IFERROR(MID(作者统计[[#This Row],[作者]],FIND("(",作者统计[[#This Row],[作者]],1)+1,FIND(")",作者统计[[#This Row],[作者]],1)-FIND("(",作者统计[[#This Row],[作者]],1)-1),"")</f>
        <v/>
      </c>
    </row>
    <row r="1128" spans="2:10" ht="18" customHeight="1" x14ac:dyDescent="0.25">
      <c r="B1128" s="85"/>
      <c r="C1128" s="120"/>
      <c r="D1128" s="121"/>
      <c r="E1128" s="121"/>
      <c r="F1128" s="92"/>
      <c r="G1128" s="92"/>
      <c r="H1128" s="122"/>
      <c r="I1128" s="68" t="str">
        <f>IFERROR(MID(作者统计[[#This Row],[作者]],FIND("[",作者统计[[#This Row],[作者]],1)+1,FIND("]",作者统计[[#This Row],[作者]],1)-FIND("[",作者统计[[#This Row],[作者]],1)-1),"")</f>
        <v/>
      </c>
      <c r="J112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29" spans="2:10" ht="18" customHeight="1" x14ac:dyDescent="0.25">
      <c r="B1129" s="256"/>
      <c r="C1129" s="257"/>
      <c r="D1129" s="258"/>
      <c r="E1129" s="258"/>
      <c r="F1129" s="259"/>
      <c r="G1129" s="259"/>
      <c r="H1129" s="260"/>
      <c r="I1129" s="261" t="str">
        <f>IFERROR(MID(作者统计[[#This Row],[作者]],FIND("[",作者统计[[#This Row],[作者]],1)+1,FIND("]",作者统计[[#This Row],[作者]],1)-FIND("[",作者统计[[#This Row],[作者]],1)-1),"")</f>
        <v/>
      </c>
      <c r="J112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30" spans="2:10" ht="18" customHeight="1" x14ac:dyDescent="0.25">
      <c r="B1130" s="309"/>
      <c r="C1130" s="120"/>
      <c r="D1130" s="121"/>
      <c r="E1130" s="121"/>
      <c r="F1130" s="92"/>
      <c r="G1130" s="92"/>
      <c r="H1130" s="122"/>
      <c r="I1130" s="68" t="str">
        <f>IFERROR(MID(作者统计[[#This Row],[作者]],FIND("[",作者统计[[#This Row],[作者]],1)+1,FIND("]",作者统计[[#This Row],[作者]],1)-FIND("[",作者统计[[#This Row],[作者]],1)-1),"")</f>
        <v/>
      </c>
      <c r="J1130" s="68" t="str">
        <f>IFERROR(MID(作者统计[[#This Row],[作者]],FIND("(",作者统计[[#This Row],[作者]],1)+1,FIND(")",作者统计[[#This Row],[作者]],1)-FIND("(",作者统计[[#This Row],[作者]],1)-1),"")</f>
        <v/>
      </c>
    </row>
    <row r="1131" spans="2:10" ht="18" customHeight="1" x14ac:dyDescent="0.25">
      <c r="B1131" s="85"/>
      <c r="C1131" s="120"/>
      <c r="D1131" s="121"/>
      <c r="E1131" s="121"/>
      <c r="F1131" s="92"/>
      <c r="G1131" s="92"/>
      <c r="H1131" s="122"/>
      <c r="I1131" s="68" t="str">
        <f>IFERROR(MID(作者统计[[#This Row],[作者]],FIND("[",作者统计[[#This Row],[作者]],1)+1,FIND("]",作者统计[[#This Row],[作者]],1)-FIND("[",作者统计[[#This Row],[作者]],1)-1),"")</f>
        <v/>
      </c>
      <c r="J1131" s="68" t="str">
        <f>IFERROR(MID(作者统计[[#This Row],[作者]],FIND("(",作者统计[[#This Row],[作者]],1)+1,FIND(")",作者统计[[#This Row],[作者]],1)-FIND("(",作者统计[[#This Row],[作者]],1)-1),"")</f>
        <v/>
      </c>
    </row>
    <row r="1132" spans="2:10" ht="18" customHeight="1" x14ac:dyDescent="0.25">
      <c r="B1132" s="256"/>
      <c r="C1132" s="257"/>
      <c r="D1132" s="258"/>
      <c r="E1132" s="258"/>
      <c r="F1132" s="259"/>
      <c r="G1132" s="259"/>
      <c r="H1132" s="260"/>
      <c r="I1132" s="261" t="str">
        <f>IFERROR(MID(作者统计[[#This Row],[作者]],FIND("[",作者统计[[#This Row],[作者]],1)+1,FIND("]",作者统计[[#This Row],[作者]],1)-FIND("[",作者统计[[#This Row],[作者]],1)-1),"")</f>
        <v/>
      </c>
      <c r="J113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33" spans="2:10" ht="18" customHeight="1" x14ac:dyDescent="0.25">
      <c r="B1133" s="256"/>
      <c r="C1133" s="257"/>
      <c r="D1133" s="258"/>
      <c r="E1133" s="258"/>
      <c r="F1133" s="259"/>
      <c r="G1133" s="259"/>
      <c r="H1133" s="260"/>
      <c r="I1133" s="261" t="str">
        <f>IFERROR(MID(作者统计[[#This Row],[作者]],FIND("[",作者统计[[#This Row],[作者]],1)+1,FIND("]",作者统计[[#This Row],[作者]],1)-FIND("[",作者统计[[#This Row],[作者]],1)-1),"")</f>
        <v/>
      </c>
      <c r="J113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34" spans="2:10" ht="18" customHeight="1" x14ac:dyDescent="0.25">
      <c r="B1134" s="256"/>
      <c r="C1134" s="257"/>
      <c r="D1134" s="258"/>
      <c r="E1134" s="258"/>
      <c r="F1134" s="259"/>
      <c r="G1134" s="259"/>
      <c r="H1134" s="260"/>
      <c r="I1134" s="261" t="str">
        <f>IFERROR(MID(作者统计[[#This Row],[作者]],FIND("[",作者统计[[#This Row],[作者]],1)+1,FIND("]",作者统计[[#This Row],[作者]],1)-FIND("[",作者统计[[#This Row],[作者]],1)-1),"")</f>
        <v/>
      </c>
      <c r="J11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35" spans="2:10" ht="18" customHeight="1" x14ac:dyDescent="0.25">
      <c r="B1135" s="309"/>
      <c r="C1135" s="120"/>
      <c r="D1135" s="121"/>
      <c r="E1135" s="121"/>
      <c r="F1135" s="92"/>
      <c r="G1135" s="92"/>
      <c r="H1135" s="122"/>
      <c r="I1135" s="68" t="str">
        <f>IFERROR(MID(作者统计[[#This Row],[作者]],FIND("[",作者统计[[#This Row],[作者]],1)+1,FIND("]",作者统计[[#This Row],[作者]],1)-FIND("[",作者统计[[#This Row],[作者]],1)-1),"")</f>
        <v/>
      </c>
      <c r="J1135" s="68" t="str">
        <f>IFERROR(MID(作者统计[[#This Row],[作者]],FIND("(",作者统计[[#This Row],[作者]],1)+1,FIND(")",作者统计[[#This Row],[作者]],1)-FIND("(",作者统计[[#This Row],[作者]],1)-1),"")</f>
        <v/>
      </c>
    </row>
    <row r="1136" spans="2:10" ht="18" customHeight="1" x14ac:dyDescent="0.25">
      <c r="B1136" s="309"/>
      <c r="C1136" s="120"/>
      <c r="D1136" s="121"/>
      <c r="E1136" s="121"/>
      <c r="F1136" s="92"/>
      <c r="G1136" s="92"/>
      <c r="H1136" s="122"/>
      <c r="I1136" s="68" t="str">
        <f>IFERROR(MID(作者统计[[#This Row],[作者]],FIND("[",作者统计[[#This Row],[作者]],1)+1,FIND("]",作者统计[[#This Row],[作者]],1)-FIND("[",作者统计[[#This Row],[作者]],1)-1),"")</f>
        <v/>
      </c>
      <c r="J1136" s="68" t="str">
        <f>IFERROR(MID(作者统计[[#This Row],[作者]],FIND("(",作者统计[[#This Row],[作者]],1)+1,FIND(")",作者统计[[#This Row],[作者]],1)-FIND("(",作者统计[[#This Row],[作者]],1)-1),"")</f>
        <v/>
      </c>
    </row>
    <row r="1137" spans="2:10" ht="18" customHeight="1" x14ac:dyDescent="0.25">
      <c r="B1137" s="256"/>
      <c r="C1137" s="257"/>
      <c r="D1137" s="258"/>
      <c r="E1137" s="258"/>
      <c r="F1137" s="259"/>
      <c r="G1137" s="259"/>
      <c r="H1137" s="260"/>
      <c r="I1137" s="261" t="str">
        <f>IFERROR(MID(作者统计[[#This Row],[作者]],FIND("[",作者统计[[#This Row],[作者]],1)+1,FIND("]",作者统计[[#This Row],[作者]],1)-FIND("[",作者统计[[#This Row],[作者]],1)-1),"")</f>
        <v/>
      </c>
      <c r="J113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38" spans="2:10" ht="18" customHeight="1" x14ac:dyDescent="0.25">
      <c r="B1138" s="309"/>
      <c r="C1138" s="120"/>
      <c r="D1138" s="121"/>
      <c r="E1138" s="121"/>
      <c r="F1138" s="92"/>
      <c r="G1138" s="92"/>
      <c r="H1138" s="122"/>
      <c r="I1138" s="68" t="str">
        <f>IFERROR(MID(作者统计[[#This Row],[作者]],FIND("[",作者统计[[#This Row],[作者]],1)+1,FIND("]",作者统计[[#This Row],[作者]],1)-FIND("[",作者统计[[#This Row],[作者]],1)-1),"")</f>
        <v/>
      </c>
      <c r="J113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39" spans="2:10" ht="18" customHeight="1" x14ac:dyDescent="0.25">
      <c r="B1139" s="309"/>
      <c r="C1139" s="120"/>
      <c r="D1139" s="121"/>
      <c r="E1139" s="121"/>
      <c r="F1139" s="92"/>
      <c r="G1139" s="92"/>
      <c r="H1139" s="122"/>
      <c r="I1139" s="68" t="str">
        <f>IFERROR(MID(作者统计[[#This Row],[作者]],FIND("[",作者统计[[#This Row],[作者]],1)+1,FIND("]",作者统计[[#This Row],[作者]],1)-FIND("[",作者统计[[#This Row],[作者]],1)-1),"")</f>
        <v/>
      </c>
      <c r="J1139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0" spans="2:10" ht="18" customHeight="1" x14ac:dyDescent="0.25">
      <c r="B1140" s="85"/>
      <c r="C1140" s="120"/>
      <c r="D1140" s="121"/>
      <c r="E1140" s="121"/>
      <c r="F1140" s="92"/>
      <c r="G1140" s="92"/>
      <c r="H1140" s="122"/>
      <c r="I1140" s="68" t="str">
        <f>IFERROR(MID(作者统计[[#This Row],[作者]],FIND("[",作者统计[[#This Row],[作者]],1)+1,FIND("]",作者统计[[#This Row],[作者]],1)-FIND("[",作者统计[[#This Row],[作者]],1)-1),"")</f>
        <v/>
      </c>
      <c r="J1140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1" spans="2:10" ht="18" customHeight="1" x14ac:dyDescent="0.25">
      <c r="B1141" s="85"/>
      <c r="C1141" s="120"/>
      <c r="D1141" s="121"/>
      <c r="E1141" s="121"/>
      <c r="F1141" s="92"/>
      <c r="G1141" s="92"/>
      <c r="H1141" s="122"/>
      <c r="I1141" s="68" t="str">
        <f>IFERROR(MID(作者统计[[#This Row],[作者]],FIND("[",作者统计[[#This Row],[作者]],1)+1,FIND("]",作者统计[[#This Row],[作者]],1)-FIND("[",作者统计[[#This Row],[作者]],1)-1),"")</f>
        <v/>
      </c>
      <c r="J1141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2" spans="2:10" ht="18" customHeight="1" x14ac:dyDescent="0.25">
      <c r="B1142" s="309"/>
      <c r="C1142" s="120"/>
      <c r="D1142" s="121"/>
      <c r="E1142" s="121"/>
      <c r="F1142" s="92"/>
      <c r="G1142" s="92"/>
      <c r="H1142" s="122"/>
      <c r="I1142" s="68" t="str">
        <f>IFERROR(MID(作者统计[[#This Row],[作者]],FIND("[",作者统计[[#This Row],[作者]],1)+1,FIND("]",作者统计[[#This Row],[作者]],1)-FIND("[",作者统计[[#This Row],[作者]],1)-1),"")</f>
        <v/>
      </c>
      <c r="J1142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3" spans="2:10" ht="18" customHeight="1" x14ac:dyDescent="0.25">
      <c r="B1143" s="311"/>
      <c r="C1143" s="180"/>
      <c r="D1143" s="181"/>
      <c r="E1143" s="181"/>
      <c r="F1143" s="182"/>
      <c r="G1143" s="182"/>
      <c r="H1143" s="183"/>
      <c r="I1143" s="77" t="str">
        <f>IFERROR(MID(作者统计[[#This Row],[作者]],FIND("[",作者统计[[#This Row],[作者]],1)+1,FIND("]",作者统计[[#This Row],[作者]],1)-FIND("[",作者统计[[#This Row],[作者]],1)-1),"")</f>
        <v/>
      </c>
      <c r="J1143" s="77" t="str">
        <f>IFERROR(MID(作者统计[[#This Row],[作者]],FIND("(",作者统计[[#This Row],[作者]],1)+1,FIND(")",作者统计[[#This Row],[作者]],1)-FIND("(",作者统计[[#This Row],[作者]],1)-1),"")</f>
        <v/>
      </c>
    </row>
    <row r="1144" spans="2:10" ht="18" customHeight="1" x14ac:dyDescent="0.25">
      <c r="B1144" s="309"/>
      <c r="C1144" s="120"/>
      <c r="D1144" s="121"/>
      <c r="E1144" s="121"/>
      <c r="F1144" s="92"/>
      <c r="G1144" s="92"/>
      <c r="H1144" s="122"/>
      <c r="I1144" s="68" t="str">
        <f>IFERROR(MID(作者统计[[#This Row],[作者]],FIND("[",作者统计[[#This Row],[作者]],1)+1,FIND("]",作者统计[[#This Row],[作者]],1)-FIND("[",作者统计[[#This Row],[作者]],1)-1),"")</f>
        <v/>
      </c>
      <c r="J1144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5" spans="2:10" ht="18" customHeight="1" x14ac:dyDescent="0.25">
      <c r="B1145" s="85"/>
      <c r="C1145" s="120"/>
      <c r="D1145" s="121"/>
      <c r="E1145" s="121"/>
      <c r="F1145" s="92"/>
      <c r="G1145" s="92"/>
      <c r="H1145" s="122"/>
      <c r="I1145" s="68" t="str">
        <f>IFERROR(MID(作者统计[[#This Row],[作者]],FIND("[",作者统计[[#This Row],[作者]],1)+1,FIND("]",作者统计[[#This Row],[作者]],1)-FIND("[",作者统计[[#This Row],[作者]],1)-1),"")</f>
        <v/>
      </c>
      <c r="J1145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6" spans="2:10" ht="18" customHeight="1" x14ac:dyDescent="0.25">
      <c r="B1146" s="309"/>
      <c r="C1146" s="120"/>
      <c r="D1146" s="121"/>
      <c r="E1146" s="121"/>
      <c r="F1146" s="92"/>
      <c r="G1146" s="92"/>
      <c r="H1146" s="122"/>
      <c r="I1146" s="68" t="str">
        <f>IFERROR(MID(作者统计[[#This Row],[作者]],FIND("[",作者统计[[#This Row],[作者]],1)+1,FIND("]",作者统计[[#This Row],[作者]],1)-FIND("[",作者统计[[#This Row],[作者]],1)-1),"")</f>
        <v/>
      </c>
      <c r="J1146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7" spans="2:10" ht="18" customHeight="1" x14ac:dyDescent="0.25">
      <c r="B1147" s="85"/>
      <c r="C1147" s="120"/>
      <c r="D1147" s="121"/>
      <c r="E1147" s="121"/>
      <c r="F1147" s="92"/>
      <c r="G1147" s="92"/>
      <c r="H1147" s="122"/>
      <c r="I1147" s="68" t="str">
        <f>IFERROR(MID(作者统计[[#This Row],[作者]],FIND("[",作者统计[[#This Row],[作者]],1)+1,FIND("]",作者统计[[#This Row],[作者]],1)-FIND("[",作者统计[[#This Row],[作者]],1)-1),"")</f>
        <v/>
      </c>
      <c r="J1147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8" spans="2:10" ht="18" customHeight="1" x14ac:dyDescent="0.25">
      <c r="B1148" s="85"/>
      <c r="C1148" s="120"/>
      <c r="D1148" s="121"/>
      <c r="E1148" s="121"/>
      <c r="F1148" s="92"/>
      <c r="G1148" s="92"/>
      <c r="H1148" s="122"/>
      <c r="I1148" s="68" t="str">
        <f>IFERROR(MID(作者统计[[#This Row],[作者]],FIND("[",作者统计[[#This Row],[作者]],1)+1,FIND("]",作者统计[[#This Row],[作者]],1)-FIND("[",作者统计[[#This Row],[作者]],1)-1),"")</f>
        <v/>
      </c>
      <c r="J114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49" spans="2:10" ht="18" customHeight="1" x14ac:dyDescent="0.25">
      <c r="B1149" s="309"/>
      <c r="C1149" s="120"/>
      <c r="D1149" s="121"/>
      <c r="E1149" s="121"/>
      <c r="F1149" s="92"/>
      <c r="G1149" s="92"/>
      <c r="H1149" s="122"/>
      <c r="I1149" s="68" t="str">
        <f>IFERROR(MID(作者统计[[#This Row],[作者]],FIND("[",作者统计[[#This Row],[作者]],1)+1,FIND("]",作者统计[[#This Row],[作者]],1)-FIND("[",作者统计[[#This Row],[作者]],1)-1),"")</f>
        <v/>
      </c>
      <c r="J1149" s="68" t="str">
        <f>IFERROR(MID(作者统计[[#This Row],[作者]],FIND("(",作者统计[[#This Row],[作者]],1)+1,FIND(")",作者统计[[#This Row],[作者]],1)-FIND("(",作者统计[[#This Row],[作者]],1)-1),"")</f>
        <v/>
      </c>
    </row>
    <row r="1150" spans="2:10" ht="18" customHeight="1" x14ac:dyDescent="0.25">
      <c r="B1150" s="85"/>
      <c r="C1150" s="120"/>
      <c r="D1150" s="121"/>
      <c r="E1150" s="121"/>
      <c r="F1150" s="92"/>
      <c r="G1150" s="92"/>
      <c r="H1150" s="122"/>
      <c r="I1150" s="68" t="str">
        <f>IFERROR(MID(作者统计[[#This Row],[作者]],FIND("[",作者统计[[#This Row],[作者]],1)+1,FIND("]",作者统计[[#This Row],[作者]],1)-FIND("[",作者统计[[#This Row],[作者]],1)-1),"")</f>
        <v/>
      </c>
      <c r="J1150" s="68" t="str">
        <f>IFERROR(MID(作者统计[[#This Row],[作者]],FIND("(",作者统计[[#This Row],[作者]],1)+1,FIND(")",作者统计[[#This Row],[作者]],1)-FIND("(",作者统计[[#This Row],[作者]],1)-1),"")</f>
        <v/>
      </c>
    </row>
    <row r="1151" spans="2:10" ht="18" customHeight="1" x14ac:dyDescent="0.25">
      <c r="B1151" s="256"/>
      <c r="C1151" s="257"/>
      <c r="D1151" s="258"/>
      <c r="E1151" s="258"/>
      <c r="F1151" s="259"/>
      <c r="G1151" s="259"/>
      <c r="H1151" s="260"/>
      <c r="I1151" s="261" t="str">
        <f>IFERROR(MID(作者统计[[#This Row],[作者]],FIND("[",作者统计[[#This Row],[作者]],1)+1,FIND("]",作者统计[[#This Row],[作者]],1)-FIND("[",作者统计[[#This Row],[作者]],1)-1),"")</f>
        <v/>
      </c>
      <c r="J115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52" spans="2:10" ht="18" customHeight="1" x14ac:dyDescent="0.25">
      <c r="B1152" s="256"/>
      <c r="C1152" s="257"/>
      <c r="D1152" s="258"/>
      <c r="E1152" s="258"/>
      <c r="F1152" s="259"/>
      <c r="G1152" s="259"/>
      <c r="H1152" s="260"/>
      <c r="I1152" s="261" t="str">
        <f>IFERROR(MID(作者统计[[#This Row],[作者]],FIND("[",作者统计[[#This Row],[作者]],1)+1,FIND("]",作者统计[[#This Row],[作者]],1)-FIND("[",作者统计[[#This Row],[作者]],1)-1),"")</f>
        <v/>
      </c>
      <c r="J115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53" spans="2:10" ht="18" customHeight="1" x14ac:dyDescent="0.25">
      <c r="B1153" s="85"/>
      <c r="C1153" s="120"/>
      <c r="D1153" s="121"/>
      <c r="E1153" s="121"/>
      <c r="F1153" s="92"/>
      <c r="G1153" s="92"/>
      <c r="H1153" s="122"/>
      <c r="I1153" s="68" t="str">
        <f>IFERROR(MID(作者统计[[#This Row],[作者]],FIND("[",作者统计[[#This Row],[作者]],1)+1,FIND("]",作者统计[[#This Row],[作者]],1)-FIND("[",作者统计[[#This Row],[作者]],1)-1),"")</f>
        <v/>
      </c>
      <c r="J1153" s="68" t="str">
        <f>IFERROR(MID(作者统计[[#This Row],[作者]],FIND("(",作者统计[[#This Row],[作者]],1)+1,FIND(")",作者统计[[#This Row],[作者]],1)-FIND("(",作者统计[[#This Row],[作者]],1)-1),"")</f>
        <v/>
      </c>
    </row>
    <row r="1154" spans="2:10" ht="18" customHeight="1" x14ac:dyDescent="0.25">
      <c r="B1154" s="85"/>
      <c r="C1154" s="120"/>
      <c r="D1154" s="121"/>
      <c r="E1154" s="121"/>
      <c r="F1154" s="92"/>
      <c r="G1154" s="92"/>
      <c r="H1154" s="122"/>
      <c r="I1154" s="68" t="str">
        <f>IFERROR(MID(作者统计[[#This Row],[作者]],FIND("[",作者统计[[#This Row],[作者]],1)+1,FIND("]",作者统计[[#This Row],[作者]],1)-FIND("[",作者统计[[#This Row],[作者]],1)-1),"")</f>
        <v/>
      </c>
      <c r="J1154" s="68" t="str">
        <f>IFERROR(MID(作者统计[[#This Row],[作者]],FIND("(",作者统计[[#This Row],[作者]],1)+1,FIND(")",作者统计[[#This Row],[作者]],1)-FIND("(",作者统计[[#This Row],[作者]],1)-1),"")</f>
        <v/>
      </c>
    </row>
    <row r="1155" spans="2:10" ht="18" customHeight="1" x14ac:dyDescent="0.25">
      <c r="B1155" s="85"/>
      <c r="C1155" s="120"/>
      <c r="D1155" s="121"/>
      <c r="E1155" s="121"/>
      <c r="F1155" s="92"/>
      <c r="G1155" s="92"/>
      <c r="H1155" s="122"/>
      <c r="I1155" s="68" t="str">
        <f>IFERROR(MID(作者统计[[#This Row],[作者]],FIND("[",作者统计[[#This Row],[作者]],1)+1,FIND("]",作者统计[[#This Row],[作者]],1)-FIND("[",作者统计[[#This Row],[作者]],1)-1),"")</f>
        <v/>
      </c>
      <c r="J1155" s="68" t="str">
        <f>IFERROR(MID(作者统计[[#This Row],[作者]],FIND("(",作者统计[[#This Row],[作者]],1)+1,FIND(")",作者统计[[#This Row],[作者]],1)-FIND("(",作者统计[[#This Row],[作者]],1)-1),"")</f>
        <v/>
      </c>
    </row>
    <row r="1156" spans="2:10" ht="18" customHeight="1" x14ac:dyDescent="0.25">
      <c r="B1156" s="85"/>
      <c r="C1156" s="120"/>
      <c r="D1156" s="121"/>
      <c r="E1156" s="121"/>
      <c r="F1156" s="92"/>
      <c r="G1156" s="92"/>
      <c r="H1156" s="122"/>
      <c r="I1156" s="68" t="str">
        <f>IFERROR(MID(作者统计[[#This Row],[作者]],FIND("[",作者统计[[#This Row],[作者]],1)+1,FIND("]",作者统计[[#This Row],[作者]],1)-FIND("[",作者统计[[#This Row],[作者]],1)-1),"")</f>
        <v/>
      </c>
      <c r="J1156" s="68" t="str">
        <f>IFERROR(MID(作者统计[[#This Row],[作者]],FIND("(",作者统计[[#This Row],[作者]],1)+1,FIND(")",作者统计[[#This Row],[作者]],1)-FIND("(",作者统计[[#This Row],[作者]],1)-1),"")</f>
        <v/>
      </c>
    </row>
    <row r="1157" spans="2:10" ht="18" customHeight="1" x14ac:dyDescent="0.25">
      <c r="B1157" s="256"/>
      <c r="C1157" s="257"/>
      <c r="D1157" s="258"/>
      <c r="E1157" s="258"/>
      <c r="F1157" s="259"/>
      <c r="G1157" s="259"/>
      <c r="H1157" s="260"/>
      <c r="I1157" s="261" t="str">
        <f>IFERROR(MID(作者统计[[#This Row],[作者]],FIND("[",作者统计[[#This Row],[作者]],1)+1,FIND("]",作者统计[[#This Row],[作者]],1)-FIND("[",作者统计[[#This Row],[作者]],1)-1),"")</f>
        <v/>
      </c>
      <c r="J115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58" spans="2:10" ht="18" customHeight="1" x14ac:dyDescent="0.25">
      <c r="B1158" s="309"/>
      <c r="C1158" s="120"/>
      <c r="D1158" s="121"/>
      <c r="E1158" s="121"/>
      <c r="F1158" s="92"/>
      <c r="G1158" s="92"/>
      <c r="H1158" s="122"/>
      <c r="I1158" s="68" t="str">
        <f>IFERROR(MID(作者统计[[#This Row],[作者]],FIND("[",作者统计[[#This Row],[作者]],1)+1,FIND("]",作者统计[[#This Row],[作者]],1)-FIND("[",作者统计[[#This Row],[作者]],1)-1),"")</f>
        <v/>
      </c>
      <c r="J115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59" spans="2:10" ht="18" customHeight="1" x14ac:dyDescent="0.25">
      <c r="B1159" s="262"/>
      <c r="C1159" s="263"/>
      <c r="D1159" s="264"/>
      <c r="E1159" s="264"/>
      <c r="F1159" s="265"/>
      <c r="G1159" s="265"/>
      <c r="H1159" s="266"/>
      <c r="I1159" s="267" t="str">
        <f>IFERROR(MID(作者统计[[#This Row],[作者]],FIND("[",作者统计[[#This Row],[作者]],1)+1,FIND("]",作者统计[[#This Row],[作者]],1)-FIND("[",作者统计[[#This Row],[作者]],1)-1),"")</f>
        <v/>
      </c>
      <c r="J1159" s="267" t="str">
        <f>IFERROR(MID(作者统计[[#This Row],[作者]],FIND("(",作者统计[[#This Row],[作者]],1)+1,FIND(")",作者统计[[#This Row],[作者]],1)-FIND("(",作者统计[[#This Row],[作者]],1)-1),"")</f>
        <v/>
      </c>
    </row>
    <row r="1160" spans="2:10" ht="18" customHeight="1" x14ac:dyDescent="0.25">
      <c r="B1160" s="309"/>
      <c r="C1160" s="120"/>
      <c r="D1160" s="121"/>
      <c r="E1160" s="121"/>
      <c r="F1160" s="92"/>
      <c r="G1160" s="92"/>
      <c r="H1160" s="122"/>
      <c r="I1160" s="68" t="str">
        <f>IFERROR(MID(作者统计[[#This Row],[作者]],FIND("[",作者统计[[#This Row],[作者]],1)+1,FIND("]",作者统计[[#This Row],[作者]],1)-FIND("[",作者统计[[#This Row],[作者]],1)-1),"")</f>
        <v/>
      </c>
      <c r="J1160" s="68" t="str">
        <f>IFERROR(MID(作者统计[[#This Row],[作者]],FIND("(",作者统计[[#This Row],[作者]],1)+1,FIND(")",作者统计[[#This Row],[作者]],1)-FIND("(",作者统计[[#This Row],[作者]],1)-1),"")</f>
        <v/>
      </c>
    </row>
    <row r="1161" spans="2:10" ht="18" customHeight="1" x14ac:dyDescent="0.25">
      <c r="B1161" s="85"/>
      <c r="C1161" s="120"/>
      <c r="D1161" s="121"/>
      <c r="E1161" s="121"/>
      <c r="F1161" s="92"/>
      <c r="G1161" s="92"/>
      <c r="H1161" s="122"/>
      <c r="I1161" s="68" t="str">
        <f>IFERROR(MID(作者统计[[#This Row],[作者]],FIND("[",作者统计[[#This Row],[作者]],1)+1,FIND("]",作者统计[[#This Row],[作者]],1)-FIND("[",作者统计[[#This Row],[作者]],1)-1),"")</f>
        <v/>
      </c>
      <c r="J1161" s="68" t="str">
        <f>IFERROR(MID(作者统计[[#This Row],[作者]],FIND("(",作者统计[[#This Row],[作者]],1)+1,FIND(")",作者统计[[#This Row],[作者]],1)-FIND("(",作者统计[[#This Row],[作者]],1)-1),"")</f>
        <v/>
      </c>
    </row>
    <row r="1162" spans="2:10" ht="18" customHeight="1" x14ac:dyDescent="0.25">
      <c r="B1162" s="85"/>
      <c r="C1162" s="120"/>
      <c r="D1162" s="121"/>
      <c r="E1162" s="121"/>
      <c r="F1162" s="92"/>
      <c r="G1162" s="92"/>
      <c r="H1162" s="122"/>
      <c r="I1162" s="68" t="str">
        <f>IFERROR(MID(作者统计[[#This Row],[作者]],FIND("[",作者统计[[#This Row],[作者]],1)+1,FIND("]",作者统计[[#This Row],[作者]],1)-FIND("[",作者统计[[#This Row],[作者]],1)-1),"")</f>
        <v/>
      </c>
      <c r="J1162" s="68" t="str">
        <f>IFERROR(MID(作者统计[[#This Row],[作者]],FIND("(",作者统计[[#This Row],[作者]],1)+1,FIND(")",作者统计[[#This Row],[作者]],1)-FIND("(",作者统计[[#This Row],[作者]],1)-1),"")</f>
        <v/>
      </c>
    </row>
    <row r="1163" spans="2:10" ht="18" customHeight="1" x14ac:dyDescent="0.25">
      <c r="B1163" s="309"/>
      <c r="C1163" s="120"/>
      <c r="D1163" s="121"/>
      <c r="E1163" s="121"/>
      <c r="F1163" s="92"/>
      <c r="G1163" s="92"/>
      <c r="H1163" s="122"/>
      <c r="I1163" s="68" t="str">
        <f>IFERROR(MID(作者统计[[#This Row],[作者]],FIND("[",作者统计[[#This Row],[作者]],1)+1,FIND("]",作者统计[[#This Row],[作者]],1)-FIND("[",作者统计[[#This Row],[作者]],1)-1),"")</f>
        <v/>
      </c>
      <c r="J1163" s="68" t="str">
        <f>IFERROR(MID(作者统计[[#This Row],[作者]],FIND("(",作者统计[[#This Row],[作者]],1)+1,FIND(")",作者统计[[#This Row],[作者]],1)-FIND("(",作者统计[[#This Row],[作者]],1)-1),"")</f>
        <v/>
      </c>
    </row>
    <row r="1164" spans="2:10" ht="18" customHeight="1" x14ac:dyDescent="0.25">
      <c r="B1164" s="85"/>
      <c r="C1164" s="120"/>
      <c r="D1164" s="121"/>
      <c r="E1164" s="121"/>
      <c r="F1164" s="92"/>
      <c r="G1164" s="92"/>
      <c r="H1164" s="122"/>
      <c r="I1164" s="68" t="str">
        <f>IFERROR(MID(作者统计[[#This Row],[作者]],FIND("[",作者统计[[#This Row],[作者]],1)+1,FIND("]",作者统计[[#This Row],[作者]],1)-FIND("[",作者统计[[#This Row],[作者]],1)-1),"")</f>
        <v/>
      </c>
      <c r="J1164" s="68" t="str">
        <f>IFERROR(MID(作者统计[[#This Row],[作者]],FIND("(",作者统计[[#This Row],[作者]],1)+1,FIND(")",作者统计[[#This Row],[作者]],1)-FIND("(",作者统计[[#This Row],[作者]],1)-1),"")</f>
        <v/>
      </c>
    </row>
    <row r="1165" spans="2:10" ht="18" customHeight="1" x14ac:dyDescent="0.25">
      <c r="B1165" s="311"/>
      <c r="C1165" s="180"/>
      <c r="D1165" s="181"/>
      <c r="E1165" s="181"/>
      <c r="F1165" s="182"/>
      <c r="G1165" s="182"/>
      <c r="H1165" s="183"/>
      <c r="I1165" s="77" t="str">
        <f>IFERROR(MID(作者统计[[#This Row],[作者]],FIND("[",作者统计[[#This Row],[作者]],1)+1,FIND("]",作者统计[[#This Row],[作者]],1)-FIND("[",作者统计[[#This Row],[作者]],1)-1),"")</f>
        <v/>
      </c>
      <c r="J1165" s="77" t="str">
        <f>IFERROR(MID(作者统计[[#This Row],[作者]],FIND("(",作者统计[[#This Row],[作者]],1)+1,FIND(")",作者统计[[#This Row],[作者]],1)-FIND("(",作者统计[[#This Row],[作者]],1)-1),"")</f>
        <v/>
      </c>
    </row>
    <row r="1166" spans="2:10" ht="18" customHeight="1" x14ac:dyDescent="0.25">
      <c r="B1166" s="309"/>
      <c r="C1166" s="120"/>
      <c r="D1166" s="121"/>
      <c r="E1166" s="121"/>
      <c r="F1166" s="92"/>
      <c r="G1166" s="92"/>
      <c r="H1166" s="122"/>
      <c r="I1166" s="68" t="str">
        <f>IFERROR(MID(作者统计[[#This Row],[作者]],FIND("[",作者统计[[#This Row],[作者]],1)+1,FIND("]",作者统计[[#This Row],[作者]],1)-FIND("[",作者统计[[#This Row],[作者]],1)-1),"")</f>
        <v/>
      </c>
      <c r="J1166" s="68" t="str">
        <f>IFERROR(MID(作者统计[[#This Row],[作者]],FIND("(",作者统计[[#This Row],[作者]],1)+1,FIND(")",作者统计[[#This Row],[作者]],1)-FIND("(",作者统计[[#This Row],[作者]],1)-1),"")</f>
        <v/>
      </c>
    </row>
    <row r="1167" spans="2:10" ht="18" customHeight="1" x14ac:dyDescent="0.25">
      <c r="B1167" s="309"/>
      <c r="C1167" s="120"/>
      <c r="D1167" s="121"/>
      <c r="E1167" s="121"/>
      <c r="F1167" s="92"/>
      <c r="G1167" s="92"/>
      <c r="H1167" s="122"/>
      <c r="I1167" s="68" t="str">
        <f>IFERROR(MID(作者统计[[#This Row],[作者]],FIND("[",作者统计[[#This Row],[作者]],1)+1,FIND("]",作者统计[[#This Row],[作者]],1)-FIND("[",作者统计[[#This Row],[作者]],1)-1),"")</f>
        <v/>
      </c>
      <c r="J1167" s="68" t="str">
        <f>IFERROR(MID(作者统计[[#This Row],[作者]],FIND("(",作者统计[[#This Row],[作者]],1)+1,FIND(")",作者统计[[#This Row],[作者]],1)-FIND("(",作者统计[[#This Row],[作者]],1)-1),"")</f>
        <v/>
      </c>
    </row>
    <row r="1168" spans="2:10" ht="18" customHeight="1" x14ac:dyDescent="0.25">
      <c r="B1168" s="309"/>
      <c r="C1168" s="120"/>
      <c r="D1168" s="121"/>
      <c r="E1168" s="121"/>
      <c r="F1168" s="92"/>
      <c r="G1168" s="92"/>
      <c r="H1168" s="122"/>
      <c r="I1168" s="68" t="str">
        <f>IFERROR(MID(作者统计[[#This Row],[作者]],FIND("[",作者统计[[#This Row],[作者]],1)+1,FIND("]",作者统计[[#This Row],[作者]],1)-FIND("[",作者统计[[#This Row],[作者]],1)-1),"")</f>
        <v/>
      </c>
      <c r="J116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69" spans="2:10" ht="18" customHeight="1" x14ac:dyDescent="0.25">
      <c r="B1169" s="256"/>
      <c r="C1169" s="257"/>
      <c r="D1169" s="258"/>
      <c r="E1169" s="258"/>
      <c r="F1169" s="259"/>
      <c r="G1169" s="259"/>
      <c r="H1169" s="260"/>
      <c r="I1169" s="261" t="str">
        <f>IFERROR(MID(作者统计[[#This Row],[作者]],FIND("[",作者统计[[#This Row],[作者]],1)+1,FIND("]",作者统计[[#This Row],[作者]],1)-FIND("[",作者统计[[#This Row],[作者]],1)-1),"")</f>
        <v/>
      </c>
      <c r="J116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70" spans="2:10" ht="18" customHeight="1" x14ac:dyDescent="0.25">
      <c r="B1170" s="309"/>
      <c r="C1170" s="120"/>
      <c r="D1170" s="121"/>
      <c r="E1170" s="121"/>
      <c r="F1170" s="92"/>
      <c r="G1170" s="92"/>
      <c r="H1170" s="122"/>
      <c r="I1170" s="68" t="str">
        <f>IFERROR(MID(作者统计[[#This Row],[作者]],FIND("[",作者统计[[#This Row],[作者]],1)+1,FIND("]",作者统计[[#This Row],[作者]],1)-FIND("[",作者统计[[#This Row],[作者]],1)-1),"")</f>
        <v/>
      </c>
      <c r="J1170" s="68" t="str">
        <f>IFERROR(MID(作者统计[[#This Row],[作者]],FIND("(",作者统计[[#This Row],[作者]],1)+1,FIND(")",作者统计[[#This Row],[作者]],1)-FIND("(",作者统计[[#This Row],[作者]],1)-1),"")</f>
        <v/>
      </c>
    </row>
    <row r="1171" spans="2:10" ht="18" customHeight="1" x14ac:dyDescent="0.25">
      <c r="B1171" s="85"/>
      <c r="C1171" s="120"/>
      <c r="D1171" s="121"/>
      <c r="E1171" s="121"/>
      <c r="F1171" s="92"/>
      <c r="G1171" s="92"/>
      <c r="H1171" s="122"/>
      <c r="I1171" s="68" t="str">
        <f>IFERROR(MID(作者统计[[#This Row],[作者]],FIND("[",作者统计[[#This Row],[作者]],1)+1,FIND("]",作者统计[[#This Row],[作者]],1)-FIND("[",作者统计[[#This Row],[作者]],1)-1),"")</f>
        <v/>
      </c>
      <c r="J1171" s="68" t="str">
        <f>IFERROR(MID(作者统计[[#This Row],[作者]],FIND("(",作者统计[[#This Row],[作者]],1)+1,FIND(")",作者统计[[#This Row],[作者]],1)-FIND("(",作者统计[[#This Row],[作者]],1)-1),"")</f>
        <v/>
      </c>
    </row>
    <row r="1172" spans="2:10" ht="18" customHeight="1" x14ac:dyDescent="0.25">
      <c r="B1172" s="309"/>
      <c r="C1172" s="120"/>
      <c r="D1172" s="121"/>
      <c r="E1172" s="121"/>
      <c r="F1172" s="92"/>
      <c r="G1172" s="92"/>
      <c r="H1172" s="122"/>
      <c r="I1172" s="68" t="str">
        <f>IFERROR(MID(作者统计[[#This Row],[作者]],FIND("[",作者统计[[#This Row],[作者]],1)+1,FIND("]",作者统计[[#This Row],[作者]],1)-FIND("[",作者统计[[#This Row],[作者]],1)-1),"")</f>
        <v/>
      </c>
      <c r="J1172" s="68" t="str">
        <f>IFERROR(MID(作者统计[[#This Row],[作者]],FIND("(",作者统计[[#This Row],[作者]],1)+1,FIND(")",作者统计[[#This Row],[作者]],1)-FIND("(",作者统计[[#This Row],[作者]],1)-1),"")</f>
        <v/>
      </c>
    </row>
    <row r="1173" spans="2:10" ht="18" customHeight="1" x14ac:dyDescent="0.25">
      <c r="B1173" s="309"/>
      <c r="C1173" s="120"/>
      <c r="D1173" s="121"/>
      <c r="E1173" s="121"/>
      <c r="F1173" s="92"/>
      <c r="G1173" s="92"/>
      <c r="H1173" s="122"/>
      <c r="I1173" s="68" t="str">
        <f>IFERROR(MID(作者统计[[#This Row],[作者]],FIND("[",作者统计[[#This Row],[作者]],1)+1,FIND("]",作者统计[[#This Row],[作者]],1)-FIND("[",作者统计[[#This Row],[作者]],1)-1),"")</f>
        <v/>
      </c>
      <c r="J1173" s="68" t="str">
        <f>IFERROR(MID(作者统计[[#This Row],[作者]],FIND("(",作者统计[[#This Row],[作者]],1)+1,FIND(")",作者统计[[#This Row],[作者]],1)-FIND("(",作者统计[[#This Row],[作者]],1)-1),"")</f>
        <v/>
      </c>
    </row>
    <row r="1174" spans="2:10" ht="18" customHeight="1" x14ac:dyDescent="0.25">
      <c r="B1174" s="256"/>
      <c r="C1174" s="257"/>
      <c r="D1174" s="258"/>
      <c r="E1174" s="258"/>
      <c r="F1174" s="259"/>
      <c r="G1174" s="259"/>
      <c r="H1174" s="260"/>
      <c r="I1174" s="261" t="str">
        <f>IFERROR(MID(作者统计[[#This Row],[作者]],FIND("[",作者统计[[#This Row],[作者]],1)+1,FIND("]",作者统计[[#This Row],[作者]],1)-FIND("[",作者统计[[#This Row],[作者]],1)-1),"")</f>
        <v/>
      </c>
      <c r="J117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75" spans="2:10" ht="18" customHeight="1" x14ac:dyDescent="0.25">
      <c r="B1175" s="85"/>
      <c r="C1175" s="120"/>
      <c r="D1175" s="121"/>
      <c r="E1175" s="121"/>
      <c r="F1175" s="92"/>
      <c r="G1175" s="92"/>
      <c r="H1175" s="122"/>
      <c r="I1175" s="68" t="str">
        <f>IFERROR(MID(作者统计[[#This Row],[作者]],FIND("[",作者统计[[#This Row],[作者]],1)+1,FIND("]",作者统计[[#This Row],[作者]],1)-FIND("[",作者统计[[#This Row],[作者]],1)-1),"")</f>
        <v/>
      </c>
      <c r="J1175" s="68" t="str">
        <f>IFERROR(MID(作者统计[[#This Row],[作者]],FIND("(",作者统计[[#This Row],[作者]],1)+1,FIND(")",作者统计[[#This Row],[作者]],1)-FIND("(",作者统计[[#This Row],[作者]],1)-1),"")</f>
        <v/>
      </c>
    </row>
    <row r="1176" spans="2:10" ht="18" customHeight="1" x14ac:dyDescent="0.25">
      <c r="B1176" s="309"/>
      <c r="C1176" s="120"/>
      <c r="D1176" s="121"/>
      <c r="E1176" s="121"/>
      <c r="F1176" s="92"/>
      <c r="G1176" s="92"/>
      <c r="H1176" s="122"/>
      <c r="I1176" s="68" t="str">
        <f>IFERROR(MID(作者统计[[#This Row],[作者]],FIND("[",作者统计[[#This Row],[作者]],1)+1,FIND("]",作者统计[[#This Row],[作者]],1)-FIND("[",作者统计[[#This Row],[作者]],1)-1),"")</f>
        <v/>
      </c>
      <c r="J1176" s="68" t="str">
        <f>IFERROR(MID(作者统计[[#This Row],[作者]],FIND("(",作者统计[[#This Row],[作者]],1)+1,FIND(")",作者统计[[#This Row],[作者]],1)-FIND("(",作者统计[[#This Row],[作者]],1)-1),"")</f>
        <v/>
      </c>
    </row>
    <row r="1177" spans="2:10" ht="18" customHeight="1" x14ac:dyDescent="0.25">
      <c r="B1177" s="309"/>
      <c r="C1177" s="120"/>
      <c r="D1177" s="121"/>
      <c r="E1177" s="121"/>
      <c r="F1177" s="92"/>
      <c r="G1177" s="92"/>
      <c r="H1177" s="122"/>
      <c r="I1177" s="68" t="str">
        <f>IFERROR(MID(作者统计[[#This Row],[作者]],FIND("[",作者统计[[#This Row],[作者]],1)+1,FIND("]",作者统计[[#This Row],[作者]],1)-FIND("[",作者统计[[#This Row],[作者]],1)-1),"")</f>
        <v/>
      </c>
      <c r="J1177" s="68" t="str">
        <f>IFERROR(MID(作者统计[[#This Row],[作者]],FIND("(",作者统计[[#This Row],[作者]],1)+1,FIND(")",作者统计[[#This Row],[作者]],1)-FIND("(",作者统计[[#This Row],[作者]],1)-1),"")</f>
        <v/>
      </c>
    </row>
    <row r="1178" spans="2:10" ht="18" customHeight="1" x14ac:dyDescent="0.25">
      <c r="B1178" s="85"/>
      <c r="C1178" s="120"/>
      <c r="D1178" s="121"/>
      <c r="E1178" s="121"/>
      <c r="F1178" s="92"/>
      <c r="G1178" s="92"/>
      <c r="H1178" s="122"/>
      <c r="I1178" s="68" t="str">
        <f>IFERROR(MID(作者统计[[#This Row],[作者]],FIND("[",作者统计[[#This Row],[作者]],1)+1,FIND("]",作者统计[[#This Row],[作者]],1)-FIND("[",作者统计[[#This Row],[作者]],1)-1),"")</f>
        <v/>
      </c>
      <c r="J117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79" spans="2:10" ht="18" customHeight="1" x14ac:dyDescent="0.25">
      <c r="B1179" s="85"/>
      <c r="C1179" s="120"/>
      <c r="D1179" s="121"/>
      <c r="E1179" s="121"/>
      <c r="F1179" s="92"/>
      <c r="G1179" s="92"/>
      <c r="H1179" s="122"/>
      <c r="I1179" s="68" t="str">
        <f>IFERROR(MID(作者统计[[#This Row],[作者]],FIND("[",作者统计[[#This Row],[作者]],1)+1,FIND("]",作者统计[[#This Row],[作者]],1)-FIND("[",作者统计[[#This Row],[作者]],1)-1),"")</f>
        <v/>
      </c>
      <c r="J1179" s="68" t="str">
        <f>IFERROR(MID(作者统计[[#This Row],[作者]],FIND("(",作者统计[[#This Row],[作者]],1)+1,FIND(")",作者统计[[#This Row],[作者]],1)-FIND("(",作者统计[[#This Row],[作者]],1)-1),"")</f>
        <v/>
      </c>
    </row>
    <row r="1180" spans="2:10" ht="18" customHeight="1" x14ac:dyDescent="0.25">
      <c r="B1180" s="309"/>
      <c r="C1180" s="120"/>
      <c r="D1180" s="121"/>
      <c r="E1180" s="121"/>
      <c r="F1180" s="92"/>
      <c r="G1180" s="92"/>
      <c r="H1180" s="122"/>
      <c r="I1180" s="68" t="str">
        <f>IFERROR(MID(作者统计[[#This Row],[作者]],FIND("[",作者统计[[#This Row],[作者]],1)+1,FIND("]",作者统计[[#This Row],[作者]],1)-FIND("[",作者统计[[#This Row],[作者]],1)-1),"")</f>
        <v/>
      </c>
      <c r="J1180" s="68" t="str">
        <f>IFERROR(MID(作者统计[[#This Row],[作者]],FIND("(",作者统计[[#This Row],[作者]],1)+1,FIND(")",作者统计[[#This Row],[作者]],1)-FIND("(",作者统计[[#This Row],[作者]],1)-1),"")</f>
        <v/>
      </c>
    </row>
    <row r="1181" spans="2:10" ht="18" customHeight="1" x14ac:dyDescent="0.25">
      <c r="B1181" s="311"/>
      <c r="C1181" s="180"/>
      <c r="D1181" s="181"/>
      <c r="E1181" s="181"/>
      <c r="F1181" s="182"/>
      <c r="G1181" s="182"/>
      <c r="H1181" s="183"/>
      <c r="I1181" s="77" t="str">
        <f>IFERROR(MID(作者统计[[#This Row],[作者]],FIND("[",作者统计[[#This Row],[作者]],1)+1,FIND("]",作者统计[[#This Row],[作者]],1)-FIND("[",作者统计[[#This Row],[作者]],1)-1),"")</f>
        <v/>
      </c>
      <c r="J1181" s="77" t="str">
        <f>IFERROR(MID(作者统计[[#This Row],[作者]],FIND("(",作者统计[[#This Row],[作者]],1)+1,FIND(")",作者统计[[#This Row],[作者]],1)-FIND("(",作者统计[[#This Row],[作者]],1)-1),"")</f>
        <v/>
      </c>
    </row>
    <row r="1182" spans="2:10" ht="18" customHeight="1" x14ac:dyDescent="0.25">
      <c r="B1182" s="309"/>
      <c r="C1182" s="120"/>
      <c r="D1182" s="121"/>
      <c r="E1182" s="121"/>
      <c r="F1182" s="92"/>
      <c r="G1182" s="92"/>
      <c r="H1182" s="122"/>
      <c r="I1182" s="68" t="str">
        <f>IFERROR(MID(作者统计[[#This Row],[作者]],FIND("[",作者统计[[#This Row],[作者]],1)+1,FIND("]",作者统计[[#This Row],[作者]],1)-FIND("[",作者统计[[#This Row],[作者]],1)-1),"")</f>
        <v/>
      </c>
      <c r="J1182" s="68" t="str">
        <f>IFERROR(MID(作者统计[[#This Row],[作者]],FIND("(",作者统计[[#This Row],[作者]],1)+1,FIND(")",作者统计[[#This Row],[作者]],1)-FIND("(",作者统计[[#This Row],[作者]],1)-1),"")</f>
        <v/>
      </c>
    </row>
    <row r="1183" spans="2:10" ht="18" customHeight="1" x14ac:dyDescent="0.25">
      <c r="B1183" s="309"/>
      <c r="C1183" s="120"/>
      <c r="D1183" s="121"/>
      <c r="E1183" s="121"/>
      <c r="F1183" s="92"/>
      <c r="G1183" s="92"/>
      <c r="H1183" s="122"/>
      <c r="I1183" s="68" t="str">
        <f>IFERROR(MID(作者统计[[#This Row],[作者]],FIND("[",作者统计[[#This Row],[作者]],1)+1,FIND("]",作者统计[[#This Row],[作者]],1)-FIND("[",作者统计[[#This Row],[作者]],1)-1),"")</f>
        <v/>
      </c>
      <c r="J1183" s="68" t="str">
        <f>IFERROR(MID(作者统计[[#This Row],[作者]],FIND("(",作者统计[[#This Row],[作者]],1)+1,FIND(")",作者统计[[#This Row],[作者]],1)-FIND("(",作者统计[[#This Row],[作者]],1)-1),"")</f>
        <v/>
      </c>
    </row>
    <row r="1184" spans="2:10" ht="18" customHeight="1" x14ac:dyDescent="0.25">
      <c r="B1184" s="309"/>
      <c r="C1184" s="120"/>
      <c r="D1184" s="121"/>
      <c r="E1184" s="121"/>
      <c r="F1184" s="92"/>
      <c r="G1184" s="92"/>
      <c r="H1184" s="122"/>
      <c r="I1184" s="68" t="str">
        <f>IFERROR(MID(作者统计[[#This Row],[作者]],FIND("[",作者统计[[#This Row],[作者]],1)+1,FIND("]",作者统计[[#This Row],[作者]],1)-FIND("[",作者统计[[#This Row],[作者]],1)-1),"")</f>
        <v/>
      </c>
      <c r="J1184" s="68" t="str">
        <f>IFERROR(MID(作者统计[[#This Row],[作者]],FIND("(",作者统计[[#This Row],[作者]],1)+1,FIND(")",作者统计[[#This Row],[作者]],1)-FIND("(",作者统计[[#This Row],[作者]],1)-1),"")</f>
        <v/>
      </c>
    </row>
    <row r="1185" spans="2:10" ht="18" customHeight="1" x14ac:dyDescent="0.25">
      <c r="B1185" s="256"/>
      <c r="C1185" s="257"/>
      <c r="D1185" s="258"/>
      <c r="E1185" s="258"/>
      <c r="F1185" s="259"/>
      <c r="G1185" s="259"/>
      <c r="H1185" s="260"/>
      <c r="I1185" s="261" t="str">
        <f>IFERROR(MID(作者统计[[#This Row],[作者]],FIND("[",作者统计[[#This Row],[作者]],1)+1,FIND("]",作者统计[[#This Row],[作者]],1)-FIND("[",作者统计[[#This Row],[作者]],1)-1),"")</f>
        <v/>
      </c>
      <c r="J118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86" spans="2:10" ht="18" customHeight="1" x14ac:dyDescent="0.25">
      <c r="B1186" s="256"/>
      <c r="C1186" s="257"/>
      <c r="D1186" s="258"/>
      <c r="E1186" s="258"/>
      <c r="F1186" s="259"/>
      <c r="G1186" s="259"/>
      <c r="H1186" s="260"/>
      <c r="I1186" s="261" t="str">
        <f>IFERROR(MID(作者统计[[#This Row],[作者]],FIND("[",作者统计[[#This Row],[作者]],1)+1,FIND("]",作者统计[[#This Row],[作者]],1)-FIND("[",作者统计[[#This Row],[作者]],1)-1),"")</f>
        <v/>
      </c>
      <c r="J118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87" spans="2:10" ht="18" customHeight="1" x14ac:dyDescent="0.25">
      <c r="B1187" s="256"/>
      <c r="C1187" s="257"/>
      <c r="D1187" s="258"/>
      <c r="E1187" s="258"/>
      <c r="F1187" s="259"/>
      <c r="G1187" s="259"/>
      <c r="H1187" s="260"/>
      <c r="I1187" s="261" t="str">
        <f>IFERROR(MID(作者统计[[#This Row],[作者]],FIND("[",作者统计[[#This Row],[作者]],1)+1,FIND("]",作者统计[[#This Row],[作者]],1)-FIND("[",作者统计[[#This Row],[作者]],1)-1),"")</f>
        <v/>
      </c>
      <c r="J118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88" spans="2:10" ht="18" customHeight="1" x14ac:dyDescent="0.25">
      <c r="B1188" s="309"/>
      <c r="C1188" s="120"/>
      <c r="D1188" s="121"/>
      <c r="E1188" s="121"/>
      <c r="F1188" s="92"/>
      <c r="G1188" s="92"/>
      <c r="H1188" s="122"/>
      <c r="I1188" s="68" t="str">
        <f>IFERROR(MID(作者统计[[#This Row],[作者]],FIND("[",作者统计[[#This Row],[作者]],1)+1,FIND("]",作者统计[[#This Row],[作者]],1)-FIND("[",作者统计[[#This Row],[作者]],1)-1),"")</f>
        <v/>
      </c>
      <c r="J118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89" spans="2:10" ht="18" customHeight="1" x14ac:dyDescent="0.25">
      <c r="B1189" s="309"/>
      <c r="C1189" s="120"/>
      <c r="D1189" s="121"/>
      <c r="E1189" s="121"/>
      <c r="F1189" s="92"/>
      <c r="G1189" s="92"/>
      <c r="H1189" s="122"/>
      <c r="I1189" s="68" t="str">
        <f>IFERROR(MID(作者统计[[#This Row],[作者]],FIND("[",作者统计[[#This Row],[作者]],1)+1,FIND("]",作者统计[[#This Row],[作者]],1)-FIND("[",作者统计[[#This Row],[作者]],1)-1),"")</f>
        <v/>
      </c>
      <c r="J1189" s="68" t="str">
        <f>IFERROR(MID(作者统计[[#This Row],[作者]],FIND("(",作者统计[[#This Row],[作者]],1)+1,FIND(")",作者统计[[#This Row],[作者]],1)-FIND("(",作者统计[[#This Row],[作者]],1)-1),"")</f>
        <v/>
      </c>
    </row>
    <row r="1190" spans="2:10" ht="18" customHeight="1" x14ac:dyDescent="0.25">
      <c r="B1190" s="256"/>
      <c r="C1190" s="257"/>
      <c r="D1190" s="258"/>
      <c r="E1190" s="258"/>
      <c r="F1190" s="259"/>
      <c r="G1190" s="259"/>
      <c r="H1190" s="260"/>
      <c r="I1190" s="261" t="str">
        <f>IFERROR(MID(作者统计[[#This Row],[作者]],FIND("[",作者统计[[#This Row],[作者]],1)+1,FIND("]",作者统计[[#This Row],[作者]],1)-FIND("[",作者统计[[#This Row],[作者]],1)-1),"")</f>
        <v/>
      </c>
      <c r="J119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91" spans="2:10" ht="18" customHeight="1" x14ac:dyDescent="0.25">
      <c r="B1191" s="256"/>
      <c r="C1191" s="257"/>
      <c r="D1191" s="258"/>
      <c r="E1191" s="258"/>
      <c r="F1191" s="259"/>
      <c r="G1191" s="259"/>
      <c r="H1191" s="260"/>
      <c r="I1191" s="261" t="str">
        <f>IFERROR(MID(作者统计[[#This Row],[作者]],FIND("[",作者统计[[#This Row],[作者]],1)+1,FIND("]",作者统计[[#This Row],[作者]],1)-FIND("[",作者统计[[#This Row],[作者]],1)-1),"")</f>
        <v/>
      </c>
      <c r="J119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92" spans="2:10" ht="18" customHeight="1" x14ac:dyDescent="0.25">
      <c r="B1192" s="256"/>
      <c r="C1192" s="257"/>
      <c r="D1192" s="258"/>
      <c r="E1192" s="258"/>
      <c r="F1192" s="259"/>
      <c r="G1192" s="259"/>
      <c r="H1192" s="260"/>
      <c r="I1192" s="261" t="str">
        <f>IFERROR(MID(作者统计[[#This Row],[作者]],FIND("[",作者统计[[#This Row],[作者]],1)+1,FIND("]",作者统计[[#This Row],[作者]],1)-FIND("[",作者统计[[#This Row],[作者]],1)-1),"")</f>
        <v/>
      </c>
      <c r="J119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93" spans="2:10" ht="18" customHeight="1" x14ac:dyDescent="0.25">
      <c r="B1193" s="85"/>
      <c r="C1193" s="120"/>
      <c r="D1193" s="121"/>
      <c r="E1193" s="121"/>
      <c r="F1193" s="92"/>
      <c r="G1193" s="92"/>
      <c r="H1193" s="122"/>
      <c r="I1193" s="68" t="str">
        <f>IFERROR(MID(作者统计[[#This Row],[作者]],FIND("[",作者统计[[#This Row],[作者]],1)+1,FIND("]",作者统计[[#This Row],[作者]],1)-FIND("[",作者统计[[#This Row],[作者]],1)-1),"")</f>
        <v/>
      </c>
      <c r="J1193" s="68" t="str">
        <f>IFERROR(MID(作者统计[[#This Row],[作者]],FIND("(",作者统计[[#This Row],[作者]],1)+1,FIND(")",作者统计[[#This Row],[作者]],1)-FIND("(",作者统计[[#This Row],[作者]],1)-1),"")</f>
        <v/>
      </c>
    </row>
    <row r="1194" spans="2:10" ht="18" customHeight="1" x14ac:dyDescent="0.25">
      <c r="B1194" s="256"/>
      <c r="C1194" s="257"/>
      <c r="D1194" s="258"/>
      <c r="E1194" s="258"/>
      <c r="F1194" s="259"/>
      <c r="G1194" s="259"/>
      <c r="H1194" s="260"/>
      <c r="I1194" s="261" t="str">
        <f>IFERROR(MID(作者统计[[#This Row],[作者]],FIND("[",作者统计[[#This Row],[作者]],1)+1,FIND("]",作者统计[[#This Row],[作者]],1)-FIND("[",作者统计[[#This Row],[作者]],1)-1),"")</f>
        <v/>
      </c>
      <c r="J119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195" spans="2:10" ht="18" customHeight="1" x14ac:dyDescent="0.25">
      <c r="B1195" s="309"/>
      <c r="C1195" s="120"/>
      <c r="D1195" s="121"/>
      <c r="E1195" s="121"/>
      <c r="F1195" s="92"/>
      <c r="G1195" s="92"/>
      <c r="H1195" s="122"/>
      <c r="I1195" s="68" t="str">
        <f>IFERROR(MID(作者统计[[#This Row],[作者]],FIND("[",作者统计[[#This Row],[作者]],1)+1,FIND("]",作者统计[[#This Row],[作者]],1)-FIND("[",作者统计[[#This Row],[作者]],1)-1),"")</f>
        <v/>
      </c>
      <c r="J1195" s="68" t="str">
        <f>IFERROR(MID(作者统计[[#This Row],[作者]],FIND("(",作者统计[[#This Row],[作者]],1)+1,FIND(")",作者统计[[#This Row],[作者]],1)-FIND("(",作者统计[[#This Row],[作者]],1)-1),"")</f>
        <v/>
      </c>
    </row>
    <row r="1196" spans="2:10" ht="18" customHeight="1" x14ac:dyDescent="0.25">
      <c r="B1196" s="85"/>
      <c r="C1196" s="120"/>
      <c r="D1196" s="121"/>
      <c r="E1196" s="121"/>
      <c r="F1196" s="92"/>
      <c r="G1196" s="92"/>
      <c r="H1196" s="122"/>
      <c r="I1196" s="68" t="str">
        <f>IFERROR(MID(作者统计[[#This Row],[作者]],FIND("[",作者统计[[#This Row],[作者]],1)+1,FIND("]",作者统计[[#This Row],[作者]],1)-FIND("[",作者统计[[#This Row],[作者]],1)-1),"")</f>
        <v/>
      </c>
      <c r="J1196" s="68" t="str">
        <f>IFERROR(MID(作者统计[[#This Row],[作者]],FIND("(",作者统计[[#This Row],[作者]],1)+1,FIND(")",作者统计[[#This Row],[作者]],1)-FIND("(",作者统计[[#This Row],[作者]],1)-1),"")</f>
        <v/>
      </c>
    </row>
    <row r="1197" spans="2:10" ht="18" customHeight="1" x14ac:dyDescent="0.25">
      <c r="B1197" s="85"/>
      <c r="C1197" s="120"/>
      <c r="D1197" s="121"/>
      <c r="E1197" s="121"/>
      <c r="F1197" s="92"/>
      <c r="G1197" s="92"/>
      <c r="H1197" s="122"/>
      <c r="I1197" s="68" t="str">
        <f>IFERROR(MID(作者统计[[#This Row],[作者]],FIND("[",作者统计[[#This Row],[作者]],1)+1,FIND("]",作者统计[[#This Row],[作者]],1)-FIND("[",作者统计[[#This Row],[作者]],1)-1),"")</f>
        <v/>
      </c>
      <c r="J1197" s="68" t="str">
        <f>IFERROR(MID(作者统计[[#This Row],[作者]],FIND("(",作者统计[[#This Row],[作者]],1)+1,FIND(")",作者统计[[#This Row],[作者]],1)-FIND("(",作者统计[[#This Row],[作者]],1)-1),"")</f>
        <v/>
      </c>
    </row>
    <row r="1198" spans="2:10" ht="18" customHeight="1" x14ac:dyDescent="0.25">
      <c r="B1198" s="85"/>
      <c r="C1198" s="120"/>
      <c r="D1198" s="121"/>
      <c r="E1198" s="121"/>
      <c r="F1198" s="92"/>
      <c r="G1198" s="92"/>
      <c r="H1198" s="122"/>
      <c r="I1198" s="68" t="str">
        <f>IFERROR(MID(作者统计[[#This Row],[作者]],FIND("[",作者统计[[#This Row],[作者]],1)+1,FIND("]",作者统计[[#This Row],[作者]],1)-FIND("[",作者统计[[#This Row],[作者]],1)-1),"")</f>
        <v/>
      </c>
      <c r="J1198" s="68" t="str">
        <f>IFERROR(MID(作者统计[[#This Row],[作者]],FIND("(",作者统计[[#This Row],[作者]],1)+1,FIND(")",作者统计[[#This Row],[作者]],1)-FIND("(",作者统计[[#This Row],[作者]],1)-1),"")</f>
        <v/>
      </c>
    </row>
    <row r="1199" spans="2:10" ht="18" customHeight="1" x14ac:dyDescent="0.25">
      <c r="B1199" s="85"/>
      <c r="C1199" s="120"/>
      <c r="D1199" s="121"/>
      <c r="E1199" s="121"/>
      <c r="F1199" s="92"/>
      <c r="G1199" s="92"/>
      <c r="H1199" s="122"/>
      <c r="I1199" s="68" t="str">
        <f>IFERROR(MID(作者统计[[#This Row],[作者]],FIND("[",作者统计[[#This Row],[作者]],1)+1,FIND("]",作者统计[[#This Row],[作者]],1)-FIND("[",作者统计[[#This Row],[作者]],1)-1),"")</f>
        <v/>
      </c>
      <c r="J1199" s="68" t="str">
        <f>IFERROR(MID(作者统计[[#This Row],[作者]],FIND("(",作者统计[[#This Row],[作者]],1)+1,FIND(")",作者统计[[#This Row],[作者]],1)-FIND("(",作者统计[[#This Row],[作者]],1)-1),"")</f>
        <v/>
      </c>
    </row>
    <row r="1200" spans="2:10" ht="18" customHeight="1" x14ac:dyDescent="0.25">
      <c r="B1200" s="85"/>
      <c r="C1200" s="120"/>
      <c r="D1200" s="121"/>
      <c r="E1200" s="121"/>
      <c r="F1200" s="92"/>
      <c r="G1200" s="92"/>
      <c r="H1200" s="122"/>
      <c r="I1200" s="68" t="str">
        <f>IFERROR(MID(作者统计[[#This Row],[作者]],FIND("[",作者统计[[#This Row],[作者]],1)+1,FIND("]",作者统计[[#This Row],[作者]],1)-FIND("[",作者统计[[#This Row],[作者]],1)-1),"")</f>
        <v/>
      </c>
      <c r="J1200" s="68" t="str">
        <f>IFERROR(MID(作者统计[[#This Row],[作者]],FIND("(",作者统计[[#This Row],[作者]],1)+1,FIND(")",作者统计[[#This Row],[作者]],1)-FIND("(",作者统计[[#This Row],[作者]],1)-1),"")</f>
        <v/>
      </c>
    </row>
    <row r="1201" spans="2:10" ht="18" customHeight="1" x14ac:dyDescent="0.25">
      <c r="B1201" s="85"/>
      <c r="C1201" s="120"/>
      <c r="D1201" s="121"/>
      <c r="E1201" s="121"/>
      <c r="F1201" s="92"/>
      <c r="G1201" s="92"/>
      <c r="H1201" s="122"/>
      <c r="I1201" s="68" t="str">
        <f>IFERROR(MID(作者统计[[#This Row],[作者]],FIND("[",作者统计[[#This Row],[作者]],1)+1,FIND("]",作者统计[[#This Row],[作者]],1)-FIND("[",作者统计[[#This Row],[作者]],1)-1),"")</f>
        <v/>
      </c>
      <c r="J1201" s="68" t="str">
        <f>IFERROR(MID(作者统计[[#This Row],[作者]],FIND("(",作者统计[[#This Row],[作者]],1)+1,FIND(")",作者统计[[#This Row],[作者]],1)-FIND("(",作者统计[[#This Row],[作者]],1)-1),"")</f>
        <v/>
      </c>
    </row>
    <row r="1202" spans="2:10" ht="18" customHeight="1" x14ac:dyDescent="0.25">
      <c r="B1202" s="309"/>
      <c r="C1202" s="120"/>
      <c r="D1202" s="121"/>
      <c r="E1202" s="121"/>
      <c r="F1202" s="92"/>
      <c r="G1202" s="92"/>
      <c r="H1202" s="122"/>
      <c r="I1202" s="68" t="str">
        <f>IFERROR(MID(作者统计[[#This Row],[作者]],FIND("[",作者统计[[#This Row],[作者]],1)+1,FIND("]",作者统计[[#This Row],[作者]],1)-FIND("[",作者统计[[#This Row],[作者]],1)-1),"")</f>
        <v/>
      </c>
      <c r="J1202" s="68" t="str">
        <f>IFERROR(MID(作者统计[[#This Row],[作者]],FIND("(",作者统计[[#This Row],[作者]],1)+1,FIND(")",作者统计[[#This Row],[作者]],1)-FIND("(",作者统计[[#This Row],[作者]],1)-1),"")</f>
        <v/>
      </c>
    </row>
    <row r="1203" spans="2:10" ht="18" customHeight="1" x14ac:dyDescent="0.25">
      <c r="B1203" s="85"/>
      <c r="C1203" s="120"/>
      <c r="D1203" s="121"/>
      <c r="E1203" s="121"/>
      <c r="F1203" s="92"/>
      <c r="G1203" s="92"/>
      <c r="H1203" s="122"/>
      <c r="I1203" s="68" t="str">
        <f>IFERROR(MID(作者统计[[#This Row],[作者]],FIND("[",作者统计[[#This Row],[作者]],1)+1,FIND("]",作者统计[[#This Row],[作者]],1)-FIND("[",作者统计[[#This Row],[作者]],1)-1),"")</f>
        <v/>
      </c>
      <c r="J1203" s="68" t="str">
        <f>IFERROR(MID(作者统计[[#This Row],[作者]],FIND("(",作者统计[[#This Row],[作者]],1)+1,FIND(")",作者统计[[#This Row],[作者]],1)-FIND("(",作者统计[[#This Row],[作者]],1)-1),"")</f>
        <v/>
      </c>
    </row>
    <row r="1204" spans="2:10" ht="18" customHeight="1" x14ac:dyDescent="0.25">
      <c r="B1204" s="256"/>
      <c r="C1204" s="257"/>
      <c r="D1204" s="258"/>
      <c r="E1204" s="258"/>
      <c r="F1204" s="259"/>
      <c r="G1204" s="259"/>
      <c r="H1204" s="260"/>
      <c r="I1204" s="261" t="str">
        <f>IFERROR(MID(作者统计[[#This Row],[作者]],FIND("[",作者统计[[#This Row],[作者]],1)+1,FIND("]",作者统计[[#This Row],[作者]],1)-FIND("[",作者统计[[#This Row],[作者]],1)-1),"")</f>
        <v/>
      </c>
      <c r="J120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05" spans="2:10" ht="18" customHeight="1" x14ac:dyDescent="0.25">
      <c r="B1205" s="256"/>
      <c r="C1205" s="257"/>
      <c r="D1205" s="258"/>
      <c r="E1205" s="258"/>
      <c r="F1205" s="259"/>
      <c r="G1205" s="259"/>
      <c r="H1205" s="260"/>
      <c r="I1205" s="261" t="str">
        <f>IFERROR(MID(作者统计[[#This Row],[作者]],FIND("[",作者统计[[#This Row],[作者]],1)+1,FIND("]",作者统计[[#This Row],[作者]],1)-FIND("[",作者统计[[#This Row],[作者]],1)-1),"")</f>
        <v/>
      </c>
      <c r="J120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06" spans="2:10" ht="18" customHeight="1" x14ac:dyDescent="0.25">
      <c r="B1206" s="309"/>
      <c r="C1206" s="120"/>
      <c r="D1206" s="121"/>
      <c r="E1206" s="121"/>
      <c r="F1206" s="92"/>
      <c r="G1206" s="92"/>
      <c r="H1206" s="122"/>
      <c r="I1206" s="68" t="str">
        <f>IFERROR(MID(作者统计[[#This Row],[作者]],FIND("[",作者统计[[#This Row],[作者]],1)+1,FIND("]",作者统计[[#This Row],[作者]],1)-FIND("[",作者统计[[#This Row],[作者]],1)-1),"")</f>
        <v/>
      </c>
      <c r="J120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07" spans="2:10" ht="18" customHeight="1" x14ac:dyDescent="0.25">
      <c r="B1207" s="309"/>
      <c r="C1207" s="120"/>
      <c r="D1207" s="121"/>
      <c r="E1207" s="121"/>
      <c r="F1207" s="92"/>
      <c r="G1207" s="92"/>
      <c r="H1207" s="122"/>
      <c r="I1207" s="68" t="str">
        <f>IFERROR(MID(作者统计[[#This Row],[作者]],FIND("[",作者统计[[#This Row],[作者]],1)+1,FIND("]",作者统计[[#This Row],[作者]],1)-FIND("[",作者统计[[#This Row],[作者]],1)-1),"")</f>
        <v/>
      </c>
      <c r="J1207" s="68" t="str">
        <f>IFERROR(MID(作者统计[[#This Row],[作者]],FIND("(",作者统计[[#This Row],[作者]],1)+1,FIND(")",作者统计[[#This Row],[作者]],1)-FIND("(",作者统计[[#This Row],[作者]],1)-1),"")</f>
        <v/>
      </c>
    </row>
    <row r="1208" spans="2:10" ht="18" customHeight="1" x14ac:dyDescent="0.25">
      <c r="B1208" s="309"/>
      <c r="C1208" s="120"/>
      <c r="D1208" s="121"/>
      <c r="E1208" s="121"/>
      <c r="F1208" s="92"/>
      <c r="G1208" s="92"/>
      <c r="H1208" s="122"/>
      <c r="I1208" s="68" t="str">
        <f>IFERROR(MID(作者统计[[#This Row],[作者]],FIND("[",作者统计[[#This Row],[作者]],1)+1,FIND("]",作者统计[[#This Row],[作者]],1)-FIND("[",作者统计[[#This Row],[作者]],1)-1),"")</f>
        <v/>
      </c>
      <c r="J1208" s="68" t="str">
        <f>IFERROR(MID(作者统计[[#This Row],[作者]],FIND("(",作者统计[[#This Row],[作者]],1)+1,FIND(")",作者统计[[#This Row],[作者]],1)-FIND("(",作者统计[[#This Row],[作者]],1)-1),"")</f>
        <v/>
      </c>
    </row>
    <row r="1209" spans="2:10" ht="18" customHeight="1" x14ac:dyDescent="0.25">
      <c r="B1209" s="256"/>
      <c r="C1209" s="257"/>
      <c r="D1209" s="258"/>
      <c r="E1209" s="258"/>
      <c r="F1209" s="259"/>
      <c r="G1209" s="259"/>
      <c r="H1209" s="260"/>
      <c r="I1209" s="261" t="str">
        <f>IFERROR(MID(作者统计[[#This Row],[作者]],FIND("[",作者统计[[#This Row],[作者]],1)+1,FIND("]",作者统计[[#This Row],[作者]],1)-FIND("[",作者统计[[#This Row],[作者]],1)-1),"")</f>
        <v/>
      </c>
      <c r="J120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10" spans="2:10" ht="18" customHeight="1" x14ac:dyDescent="0.25">
      <c r="B1210" s="85"/>
      <c r="C1210" s="120"/>
      <c r="D1210" s="121"/>
      <c r="E1210" s="121"/>
      <c r="F1210" s="92"/>
      <c r="G1210" s="92"/>
      <c r="H1210" s="122"/>
      <c r="I1210" s="68" t="str">
        <f>IFERROR(MID(作者统计[[#This Row],[作者]],FIND("[",作者统计[[#This Row],[作者]],1)+1,FIND("]",作者统计[[#This Row],[作者]],1)-FIND("[",作者统计[[#This Row],[作者]],1)-1),"")</f>
        <v/>
      </c>
      <c r="J1210" s="68" t="str">
        <f>IFERROR(MID(作者统计[[#This Row],[作者]],FIND("(",作者统计[[#This Row],[作者]],1)+1,FIND(")",作者统计[[#This Row],[作者]],1)-FIND("(",作者统计[[#This Row],[作者]],1)-1),"")</f>
        <v/>
      </c>
    </row>
    <row r="1211" spans="2:10" ht="18" customHeight="1" x14ac:dyDescent="0.25">
      <c r="B1211" s="85"/>
      <c r="C1211" s="120"/>
      <c r="D1211" s="121"/>
      <c r="E1211" s="121"/>
      <c r="F1211" s="92"/>
      <c r="G1211" s="92"/>
      <c r="H1211" s="122"/>
      <c r="I1211" s="68" t="str">
        <f>IFERROR(MID(作者统计[[#This Row],[作者]],FIND("[",作者统计[[#This Row],[作者]],1)+1,FIND("]",作者统计[[#This Row],[作者]],1)-FIND("[",作者统计[[#This Row],[作者]],1)-1),"")</f>
        <v/>
      </c>
      <c r="J1211" s="68" t="str">
        <f>IFERROR(MID(作者统计[[#This Row],[作者]],FIND("(",作者统计[[#This Row],[作者]],1)+1,FIND(")",作者统计[[#This Row],[作者]],1)-FIND("(",作者统计[[#This Row],[作者]],1)-1),"")</f>
        <v/>
      </c>
    </row>
    <row r="1212" spans="2:10" ht="18" customHeight="1" x14ac:dyDescent="0.25">
      <c r="B1212" s="256"/>
      <c r="C1212" s="257"/>
      <c r="D1212" s="258"/>
      <c r="E1212" s="258"/>
      <c r="F1212" s="259"/>
      <c r="G1212" s="259"/>
      <c r="H1212" s="260"/>
      <c r="I1212" s="261" t="str">
        <f>IFERROR(MID(作者统计[[#This Row],[作者]],FIND("[",作者统计[[#This Row],[作者]],1)+1,FIND("]",作者统计[[#This Row],[作者]],1)-FIND("[",作者统计[[#This Row],[作者]],1)-1),"")</f>
        <v/>
      </c>
      <c r="J121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13" spans="2:10" ht="18" customHeight="1" x14ac:dyDescent="0.25">
      <c r="B1213" s="85"/>
      <c r="C1213" s="120"/>
      <c r="D1213" s="121"/>
      <c r="E1213" s="121"/>
      <c r="F1213" s="92"/>
      <c r="G1213" s="92"/>
      <c r="H1213" s="122"/>
      <c r="I1213" s="68" t="str">
        <f>IFERROR(MID(作者统计[[#This Row],[作者]],FIND("[",作者统计[[#This Row],[作者]],1)+1,FIND("]",作者统计[[#This Row],[作者]],1)-FIND("[",作者统计[[#This Row],[作者]],1)-1),"")</f>
        <v/>
      </c>
      <c r="J1213" s="68" t="str">
        <f>IFERROR(MID(作者统计[[#This Row],[作者]],FIND("(",作者统计[[#This Row],[作者]],1)+1,FIND(")",作者统计[[#This Row],[作者]],1)-FIND("(",作者统计[[#This Row],[作者]],1)-1),"")</f>
        <v/>
      </c>
    </row>
    <row r="1214" spans="2:10" ht="18" customHeight="1" x14ac:dyDescent="0.25">
      <c r="B1214" s="309"/>
      <c r="C1214" s="120"/>
      <c r="D1214" s="121"/>
      <c r="E1214" s="121"/>
      <c r="F1214" s="92"/>
      <c r="G1214" s="92"/>
      <c r="H1214" s="122"/>
      <c r="I1214" s="68" t="str">
        <f>IFERROR(MID(作者统计[[#This Row],[作者]],FIND("[",作者统计[[#This Row],[作者]],1)+1,FIND("]",作者统计[[#This Row],[作者]],1)-FIND("[",作者统计[[#This Row],[作者]],1)-1),"")</f>
        <v/>
      </c>
      <c r="J1214" s="68" t="str">
        <f>IFERROR(MID(作者统计[[#This Row],[作者]],FIND("(",作者统计[[#This Row],[作者]],1)+1,FIND(")",作者统计[[#This Row],[作者]],1)-FIND("(",作者统计[[#This Row],[作者]],1)-1),"")</f>
        <v/>
      </c>
    </row>
    <row r="1215" spans="2:10" ht="18" customHeight="1" x14ac:dyDescent="0.25">
      <c r="B1215" s="85"/>
      <c r="C1215" s="120"/>
      <c r="D1215" s="121"/>
      <c r="E1215" s="121"/>
      <c r="F1215" s="92"/>
      <c r="G1215" s="92"/>
      <c r="H1215" s="122"/>
      <c r="I1215" s="68" t="str">
        <f>IFERROR(MID(作者统计[[#This Row],[作者]],FIND("[",作者统计[[#This Row],[作者]],1)+1,FIND("]",作者统计[[#This Row],[作者]],1)-FIND("[",作者统计[[#This Row],[作者]],1)-1),"")</f>
        <v/>
      </c>
      <c r="J1215" s="68" t="str">
        <f>IFERROR(MID(作者统计[[#This Row],[作者]],FIND("(",作者统计[[#This Row],[作者]],1)+1,FIND(")",作者统计[[#This Row],[作者]],1)-FIND("(",作者统计[[#This Row],[作者]],1)-1),"")</f>
        <v/>
      </c>
    </row>
    <row r="1216" spans="2:10" ht="18" customHeight="1" x14ac:dyDescent="0.25">
      <c r="B1216" s="309"/>
      <c r="C1216" s="120"/>
      <c r="D1216" s="121"/>
      <c r="E1216" s="121"/>
      <c r="F1216" s="92"/>
      <c r="G1216" s="92"/>
      <c r="H1216" s="122"/>
      <c r="I1216" s="68" t="str">
        <f>IFERROR(MID(作者统计[[#This Row],[作者]],FIND("[",作者统计[[#This Row],[作者]],1)+1,FIND("]",作者统计[[#This Row],[作者]],1)-FIND("[",作者统计[[#This Row],[作者]],1)-1),"")</f>
        <v/>
      </c>
      <c r="J121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17" spans="2:10" ht="18" customHeight="1" x14ac:dyDescent="0.25">
      <c r="B1217" s="309"/>
      <c r="C1217" s="120"/>
      <c r="D1217" s="121"/>
      <c r="E1217" s="121"/>
      <c r="F1217" s="92"/>
      <c r="G1217" s="92"/>
      <c r="H1217" s="122"/>
      <c r="I1217" s="68" t="str">
        <f>IFERROR(MID(作者统计[[#This Row],[作者]],FIND("[",作者统计[[#This Row],[作者]],1)+1,FIND("]",作者统计[[#This Row],[作者]],1)-FIND("[",作者统计[[#This Row],[作者]],1)-1),"")</f>
        <v/>
      </c>
      <c r="J1217" s="68" t="str">
        <f>IFERROR(MID(作者统计[[#This Row],[作者]],FIND("(",作者统计[[#This Row],[作者]],1)+1,FIND(")",作者统计[[#This Row],[作者]],1)-FIND("(",作者统计[[#This Row],[作者]],1)-1),"")</f>
        <v/>
      </c>
    </row>
    <row r="1218" spans="2:10" ht="18" customHeight="1" x14ac:dyDescent="0.25">
      <c r="B1218" s="85"/>
      <c r="C1218" s="120"/>
      <c r="D1218" s="121"/>
      <c r="E1218" s="121"/>
      <c r="F1218" s="92"/>
      <c r="G1218" s="92"/>
      <c r="H1218" s="122"/>
      <c r="I1218" s="68" t="str">
        <f>IFERROR(MID(作者统计[[#This Row],[作者]],FIND("[",作者统计[[#This Row],[作者]],1)+1,FIND("]",作者统计[[#This Row],[作者]],1)-FIND("[",作者统计[[#This Row],[作者]],1)-1),"")</f>
        <v/>
      </c>
      <c r="J1218" s="68" t="str">
        <f>IFERROR(MID(作者统计[[#This Row],[作者]],FIND("(",作者统计[[#This Row],[作者]],1)+1,FIND(")",作者统计[[#This Row],[作者]],1)-FIND("(",作者统计[[#This Row],[作者]],1)-1),"")</f>
        <v/>
      </c>
    </row>
    <row r="1219" spans="2:10" ht="18" customHeight="1" x14ac:dyDescent="0.25">
      <c r="B1219" s="85"/>
      <c r="C1219" s="120"/>
      <c r="D1219" s="121"/>
      <c r="E1219" s="121"/>
      <c r="F1219" s="92"/>
      <c r="G1219" s="92"/>
      <c r="H1219" s="122"/>
      <c r="I1219" s="68" t="str">
        <f>IFERROR(MID(作者统计[[#This Row],[作者]],FIND("[",作者统计[[#This Row],[作者]],1)+1,FIND("]",作者统计[[#This Row],[作者]],1)-FIND("[",作者统计[[#This Row],[作者]],1)-1),"")</f>
        <v/>
      </c>
      <c r="J1219" s="68" t="str">
        <f>IFERROR(MID(作者统计[[#This Row],[作者]],FIND("(",作者统计[[#This Row],[作者]],1)+1,FIND(")",作者统计[[#This Row],[作者]],1)-FIND("(",作者统计[[#This Row],[作者]],1)-1),"")</f>
        <v/>
      </c>
    </row>
    <row r="1220" spans="2:10" ht="18" customHeight="1" x14ac:dyDescent="0.25">
      <c r="B1220" s="85"/>
      <c r="C1220" s="120"/>
      <c r="D1220" s="121"/>
      <c r="E1220" s="121"/>
      <c r="F1220" s="92"/>
      <c r="G1220" s="92"/>
      <c r="H1220" s="122"/>
      <c r="I1220" s="68" t="str">
        <f>IFERROR(MID(作者统计[[#This Row],[作者]],FIND("[",作者统计[[#This Row],[作者]],1)+1,FIND("]",作者统计[[#This Row],[作者]],1)-FIND("[",作者统计[[#This Row],[作者]],1)-1),"")</f>
        <v/>
      </c>
      <c r="J1220" s="68" t="str">
        <f>IFERROR(MID(作者统计[[#This Row],[作者]],FIND("(",作者统计[[#This Row],[作者]],1)+1,FIND(")",作者统计[[#This Row],[作者]],1)-FIND("(",作者统计[[#This Row],[作者]],1)-1),"")</f>
        <v/>
      </c>
    </row>
    <row r="1221" spans="2:10" ht="18" customHeight="1" x14ac:dyDescent="0.25">
      <c r="B1221" s="309"/>
      <c r="C1221" s="120"/>
      <c r="D1221" s="121"/>
      <c r="E1221" s="121"/>
      <c r="F1221" s="92"/>
      <c r="G1221" s="92"/>
      <c r="H1221" s="122"/>
      <c r="I1221" s="68" t="str">
        <f>IFERROR(MID(作者统计[[#This Row],[作者]],FIND("[",作者统计[[#This Row],[作者]],1)+1,FIND("]",作者统计[[#This Row],[作者]],1)-FIND("[",作者统计[[#This Row],[作者]],1)-1),"")</f>
        <v/>
      </c>
      <c r="J1221" s="68" t="str">
        <f>IFERROR(MID(作者统计[[#This Row],[作者]],FIND("(",作者统计[[#This Row],[作者]],1)+1,FIND(")",作者统计[[#This Row],[作者]],1)-FIND("(",作者统计[[#This Row],[作者]],1)-1),"")</f>
        <v/>
      </c>
    </row>
    <row r="1222" spans="2:10" ht="18" customHeight="1" x14ac:dyDescent="0.25">
      <c r="B1222" s="256"/>
      <c r="C1222" s="257"/>
      <c r="D1222" s="258"/>
      <c r="E1222" s="258"/>
      <c r="F1222" s="259"/>
      <c r="G1222" s="259"/>
      <c r="H1222" s="260"/>
      <c r="I1222" s="261" t="str">
        <f>IFERROR(MID(作者统计[[#This Row],[作者]],FIND("[",作者统计[[#This Row],[作者]],1)+1,FIND("]",作者统计[[#This Row],[作者]],1)-FIND("[",作者统计[[#This Row],[作者]],1)-1),"")</f>
        <v/>
      </c>
      <c r="J122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23" spans="2:10" ht="18" customHeight="1" x14ac:dyDescent="0.25">
      <c r="B1223" s="256"/>
      <c r="C1223" s="257"/>
      <c r="D1223" s="258"/>
      <c r="E1223" s="258"/>
      <c r="F1223" s="259"/>
      <c r="G1223" s="259"/>
      <c r="H1223" s="260"/>
      <c r="I1223" s="261" t="str">
        <f>IFERROR(MID(作者统计[[#This Row],[作者]],FIND("[",作者统计[[#This Row],[作者]],1)+1,FIND("]",作者统计[[#This Row],[作者]],1)-FIND("[",作者统计[[#This Row],[作者]],1)-1),"")</f>
        <v/>
      </c>
      <c r="J122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24" spans="2:10" ht="18" customHeight="1" x14ac:dyDescent="0.25">
      <c r="B1224" s="309"/>
      <c r="C1224" s="120"/>
      <c r="D1224" s="121"/>
      <c r="E1224" s="121"/>
      <c r="F1224" s="92"/>
      <c r="G1224" s="92"/>
      <c r="H1224" s="122"/>
      <c r="I1224" s="68" t="str">
        <f>IFERROR(MID(作者统计[[#This Row],[作者]],FIND("[",作者统计[[#This Row],[作者]],1)+1,FIND("]",作者统计[[#This Row],[作者]],1)-FIND("[",作者统计[[#This Row],[作者]],1)-1),"")</f>
        <v/>
      </c>
      <c r="J1224" s="68" t="str">
        <f>IFERROR(MID(作者统计[[#This Row],[作者]],FIND("(",作者统计[[#This Row],[作者]],1)+1,FIND(")",作者统计[[#This Row],[作者]],1)-FIND("(",作者统计[[#This Row],[作者]],1)-1),"")</f>
        <v/>
      </c>
    </row>
    <row r="1225" spans="2:10" ht="18" customHeight="1" x14ac:dyDescent="0.25">
      <c r="B1225" s="85"/>
      <c r="C1225" s="120"/>
      <c r="D1225" s="121"/>
      <c r="E1225" s="121"/>
      <c r="F1225" s="92"/>
      <c r="G1225" s="92"/>
      <c r="H1225" s="122"/>
      <c r="I1225" s="68" t="str">
        <f>IFERROR(MID(作者统计[[#This Row],[作者]],FIND("[",作者统计[[#This Row],[作者]],1)+1,FIND("]",作者统计[[#This Row],[作者]],1)-FIND("[",作者统计[[#This Row],[作者]],1)-1),"")</f>
        <v/>
      </c>
      <c r="J1225" s="68" t="str">
        <f>IFERROR(MID(作者统计[[#This Row],[作者]],FIND("(",作者统计[[#This Row],[作者]],1)+1,FIND(")",作者统计[[#This Row],[作者]],1)-FIND("(",作者统计[[#This Row],[作者]],1)-1),"")</f>
        <v/>
      </c>
    </row>
    <row r="1226" spans="2:10" ht="18" customHeight="1" x14ac:dyDescent="0.25">
      <c r="B1226" s="85"/>
      <c r="C1226" s="120"/>
      <c r="D1226" s="121"/>
      <c r="E1226" s="121"/>
      <c r="F1226" s="92"/>
      <c r="G1226" s="92"/>
      <c r="H1226" s="122"/>
      <c r="I1226" s="68" t="str">
        <f>IFERROR(MID(作者统计[[#This Row],[作者]],FIND("[",作者统计[[#This Row],[作者]],1)+1,FIND("]",作者统计[[#This Row],[作者]],1)-FIND("[",作者统计[[#This Row],[作者]],1)-1),"")</f>
        <v/>
      </c>
      <c r="J122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27" spans="2:10" ht="18" customHeight="1" x14ac:dyDescent="0.25">
      <c r="B1227" s="309"/>
      <c r="C1227" s="120"/>
      <c r="D1227" s="121"/>
      <c r="E1227" s="121"/>
      <c r="F1227" s="92"/>
      <c r="G1227" s="92"/>
      <c r="H1227" s="122"/>
      <c r="I1227" s="68" t="str">
        <f>IFERROR(MID(作者统计[[#This Row],[作者]],FIND("[",作者统计[[#This Row],[作者]],1)+1,FIND("]",作者统计[[#This Row],[作者]],1)-FIND("[",作者统计[[#This Row],[作者]],1)-1),"")</f>
        <v/>
      </c>
      <c r="J1227" s="68" t="str">
        <f>IFERROR(MID(作者统计[[#This Row],[作者]],FIND("(",作者统计[[#This Row],[作者]],1)+1,FIND(")",作者统计[[#This Row],[作者]],1)-FIND("(",作者统计[[#This Row],[作者]],1)-1),"")</f>
        <v/>
      </c>
    </row>
    <row r="1228" spans="2:10" ht="18" customHeight="1" x14ac:dyDescent="0.25">
      <c r="B1228" s="85"/>
      <c r="C1228" s="120"/>
      <c r="D1228" s="121"/>
      <c r="E1228" s="121"/>
      <c r="F1228" s="92"/>
      <c r="G1228" s="92"/>
      <c r="H1228" s="122"/>
      <c r="I1228" s="68" t="str">
        <f>IFERROR(MID(作者统计[[#This Row],[作者]],FIND("[",作者统计[[#This Row],[作者]],1)+1,FIND("]",作者统计[[#This Row],[作者]],1)-FIND("[",作者统计[[#This Row],[作者]],1)-1),"")</f>
        <v/>
      </c>
      <c r="J1228" s="68" t="str">
        <f>IFERROR(MID(作者统计[[#This Row],[作者]],FIND("(",作者统计[[#This Row],[作者]],1)+1,FIND(")",作者统计[[#This Row],[作者]],1)-FIND("(",作者统计[[#This Row],[作者]],1)-1),"")</f>
        <v/>
      </c>
    </row>
    <row r="1229" spans="2:10" ht="18" customHeight="1" x14ac:dyDescent="0.25">
      <c r="B1229" s="85"/>
      <c r="C1229" s="120"/>
      <c r="D1229" s="121"/>
      <c r="E1229" s="121"/>
      <c r="F1229" s="92"/>
      <c r="G1229" s="92"/>
      <c r="H1229" s="122"/>
      <c r="I1229" s="68" t="str">
        <f>IFERROR(MID(作者统计[[#This Row],[作者]],FIND("[",作者统计[[#This Row],[作者]],1)+1,FIND("]",作者统计[[#This Row],[作者]],1)-FIND("[",作者统计[[#This Row],[作者]],1)-1),"")</f>
        <v/>
      </c>
      <c r="J1229" s="68" t="str">
        <f>IFERROR(MID(作者统计[[#This Row],[作者]],FIND("(",作者统计[[#This Row],[作者]],1)+1,FIND(")",作者统计[[#This Row],[作者]],1)-FIND("(",作者统计[[#This Row],[作者]],1)-1),"")</f>
        <v/>
      </c>
    </row>
    <row r="1230" spans="2:10" ht="18" customHeight="1" x14ac:dyDescent="0.25">
      <c r="B1230" s="309"/>
      <c r="C1230" s="120"/>
      <c r="D1230" s="121"/>
      <c r="E1230" s="121"/>
      <c r="F1230" s="92"/>
      <c r="G1230" s="92"/>
      <c r="H1230" s="122"/>
      <c r="I1230" s="68" t="str">
        <f>IFERROR(MID(作者统计[[#This Row],[作者]],FIND("[",作者统计[[#This Row],[作者]],1)+1,FIND("]",作者统计[[#This Row],[作者]],1)-FIND("[",作者统计[[#This Row],[作者]],1)-1),"")</f>
        <v/>
      </c>
      <c r="J1230" s="68" t="str">
        <f>IFERROR(MID(作者统计[[#This Row],[作者]],FIND("(",作者统计[[#This Row],[作者]],1)+1,FIND(")",作者统计[[#This Row],[作者]],1)-FIND("(",作者统计[[#This Row],[作者]],1)-1),"")</f>
        <v/>
      </c>
    </row>
    <row r="1231" spans="2:10" ht="18" customHeight="1" x14ac:dyDescent="0.25">
      <c r="B1231" s="85"/>
      <c r="C1231" s="120"/>
      <c r="D1231" s="121"/>
      <c r="E1231" s="121"/>
      <c r="F1231" s="92"/>
      <c r="G1231" s="92"/>
      <c r="H1231" s="122"/>
      <c r="I1231" s="68" t="str">
        <f>IFERROR(MID(作者统计[[#This Row],[作者]],FIND("[",作者统计[[#This Row],[作者]],1)+1,FIND("]",作者统计[[#This Row],[作者]],1)-FIND("[",作者统计[[#This Row],[作者]],1)-1),"")</f>
        <v/>
      </c>
      <c r="J1231" s="68" t="str">
        <f>IFERROR(MID(作者统计[[#This Row],[作者]],FIND("(",作者统计[[#This Row],[作者]],1)+1,FIND(")",作者统计[[#This Row],[作者]],1)-FIND("(",作者统计[[#This Row],[作者]],1)-1),"")</f>
        <v/>
      </c>
    </row>
    <row r="1232" spans="2:10" ht="18" customHeight="1" x14ac:dyDescent="0.25">
      <c r="B1232" s="85"/>
      <c r="C1232" s="120"/>
      <c r="D1232" s="121"/>
      <c r="E1232" s="121"/>
      <c r="F1232" s="92"/>
      <c r="G1232" s="92"/>
      <c r="H1232" s="122"/>
      <c r="I1232" s="68" t="str">
        <f>IFERROR(MID(作者统计[[#This Row],[作者]],FIND("[",作者统计[[#This Row],[作者]],1)+1,FIND("]",作者统计[[#This Row],[作者]],1)-FIND("[",作者统计[[#This Row],[作者]],1)-1),"")</f>
        <v/>
      </c>
      <c r="J1232" s="68" t="str">
        <f>IFERROR(MID(作者统计[[#This Row],[作者]],FIND("(",作者统计[[#This Row],[作者]],1)+1,FIND(")",作者统计[[#This Row],[作者]],1)-FIND("(",作者统计[[#This Row],[作者]],1)-1),"")</f>
        <v/>
      </c>
    </row>
    <row r="1233" spans="2:10" ht="18" customHeight="1" x14ac:dyDescent="0.25">
      <c r="B1233" s="256"/>
      <c r="C1233" s="257"/>
      <c r="D1233" s="258"/>
      <c r="E1233" s="258"/>
      <c r="F1233" s="259"/>
      <c r="G1233" s="259"/>
      <c r="H1233" s="260"/>
      <c r="I1233" s="261" t="str">
        <f>IFERROR(MID(作者统计[[#This Row],[作者]],FIND("[",作者统计[[#This Row],[作者]],1)+1,FIND("]",作者统计[[#This Row],[作者]],1)-FIND("[",作者统计[[#This Row],[作者]],1)-1),"")</f>
        <v/>
      </c>
      <c r="J123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34" spans="2:10" ht="18" customHeight="1" x14ac:dyDescent="0.25">
      <c r="B1234" s="311"/>
      <c r="C1234" s="180"/>
      <c r="D1234" s="181"/>
      <c r="E1234" s="181"/>
      <c r="F1234" s="182"/>
      <c r="G1234" s="182"/>
      <c r="H1234" s="183"/>
      <c r="I1234" s="77" t="str">
        <f>IFERROR(MID(作者统计[[#This Row],[作者]],FIND("[",作者统计[[#This Row],[作者]],1)+1,FIND("]",作者统计[[#This Row],[作者]],1)-FIND("[",作者统计[[#This Row],[作者]],1)-1),"")</f>
        <v/>
      </c>
      <c r="J1234" s="77" t="str">
        <f>IFERROR(MID(作者统计[[#This Row],[作者]],FIND("(",作者统计[[#This Row],[作者]],1)+1,FIND(")",作者统计[[#This Row],[作者]],1)-FIND("(",作者统计[[#This Row],[作者]],1)-1),"")</f>
        <v/>
      </c>
    </row>
    <row r="1235" spans="2:10" ht="18" customHeight="1" x14ac:dyDescent="0.25">
      <c r="B1235" s="85"/>
      <c r="C1235" s="120"/>
      <c r="D1235" s="121"/>
      <c r="E1235" s="121"/>
      <c r="F1235" s="92"/>
      <c r="G1235" s="92"/>
      <c r="H1235" s="122"/>
      <c r="I1235" s="68" t="str">
        <f>IFERROR(MID(作者统计[[#This Row],[作者]],FIND("[",作者统计[[#This Row],[作者]],1)+1,FIND("]",作者统计[[#This Row],[作者]],1)-FIND("[",作者统计[[#This Row],[作者]],1)-1),"")</f>
        <v/>
      </c>
      <c r="J1235" s="68" t="str">
        <f>IFERROR(MID(作者统计[[#This Row],[作者]],FIND("(",作者统计[[#This Row],[作者]],1)+1,FIND(")",作者统计[[#This Row],[作者]],1)-FIND("(",作者统计[[#This Row],[作者]],1)-1),"")</f>
        <v/>
      </c>
    </row>
    <row r="1236" spans="2:10" ht="18" customHeight="1" x14ac:dyDescent="0.25">
      <c r="B1236" s="309"/>
      <c r="C1236" s="120"/>
      <c r="D1236" s="121"/>
      <c r="E1236" s="121"/>
      <c r="F1236" s="92"/>
      <c r="G1236" s="92"/>
      <c r="H1236" s="122"/>
      <c r="I1236" s="68" t="str">
        <f>IFERROR(MID(作者统计[[#This Row],[作者]],FIND("[",作者统计[[#This Row],[作者]],1)+1,FIND("]",作者统计[[#This Row],[作者]],1)-FIND("[",作者统计[[#This Row],[作者]],1)-1),"")</f>
        <v/>
      </c>
      <c r="J123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37" spans="2:10" ht="18" customHeight="1" x14ac:dyDescent="0.25">
      <c r="B1237" s="309"/>
      <c r="C1237" s="120"/>
      <c r="D1237" s="121"/>
      <c r="E1237" s="121"/>
      <c r="F1237" s="92"/>
      <c r="G1237" s="92"/>
      <c r="H1237" s="122"/>
      <c r="I1237" s="68" t="str">
        <f>IFERROR(MID(作者统计[[#This Row],[作者]],FIND("[",作者统计[[#This Row],[作者]],1)+1,FIND("]",作者统计[[#This Row],[作者]],1)-FIND("[",作者统计[[#This Row],[作者]],1)-1),"")</f>
        <v/>
      </c>
      <c r="J1237" s="68" t="str">
        <f>IFERROR(MID(作者统计[[#This Row],[作者]],FIND("(",作者统计[[#This Row],[作者]],1)+1,FIND(")",作者统计[[#This Row],[作者]],1)-FIND("(",作者统计[[#This Row],[作者]],1)-1),"")</f>
        <v/>
      </c>
    </row>
    <row r="1238" spans="2:10" ht="18" customHeight="1" x14ac:dyDescent="0.25">
      <c r="B1238" s="256"/>
      <c r="C1238" s="257"/>
      <c r="D1238" s="258"/>
      <c r="E1238" s="258"/>
      <c r="F1238" s="259"/>
      <c r="G1238" s="259"/>
      <c r="H1238" s="260"/>
      <c r="I1238" s="261" t="str">
        <f>IFERROR(MID(作者统计[[#This Row],[作者]],FIND("[",作者统计[[#This Row],[作者]],1)+1,FIND("]",作者统计[[#This Row],[作者]],1)-FIND("[",作者统计[[#This Row],[作者]],1)-1),"")</f>
        <v/>
      </c>
      <c r="J123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39" spans="2:10" ht="18" customHeight="1" x14ac:dyDescent="0.25">
      <c r="B1239" s="85"/>
      <c r="C1239" s="120"/>
      <c r="D1239" s="121"/>
      <c r="E1239" s="121"/>
      <c r="F1239" s="92"/>
      <c r="G1239" s="92"/>
      <c r="H1239" s="122"/>
      <c r="I1239" s="68" t="str">
        <f>IFERROR(MID(作者统计[[#This Row],[作者]],FIND("[",作者统计[[#This Row],[作者]],1)+1,FIND("]",作者统计[[#This Row],[作者]],1)-FIND("[",作者统计[[#This Row],[作者]],1)-1),"")</f>
        <v/>
      </c>
      <c r="J1239" s="68" t="str">
        <f>IFERROR(MID(作者统计[[#This Row],[作者]],FIND("(",作者统计[[#This Row],[作者]],1)+1,FIND(")",作者统计[[#This Row],[作者]],1)-FIND("(",作者统计[[#This Row],[作者]],1)-1),"")</f>
        <v/>
      </c>
    </row>
    <row r="1240" spans="2:10" ht="18" customHeight="1" x14ac:dyDescent="0.25">
      <c r="B1240" s="256"/>
      <c r="C1240" s="257"/>
      <c r="D1240" s="258"/>
      <c r="E1240" s="258"/>
      <c r="F1240" s="259"/>
      <c r="G1240" s="259"/>
      <c r="H1240" s="260"/>
      <c r="I1240" s="261" t="str">
        <f>IFERROR(MID(作者统计[[#This Row],[作者]],FIND("[",作者统计[[#This Row],[作者]],1)+1,FIND("]",作者统计[[#This Row],[作者]],1)-FIND("[",作者统计[[#This Row],[作者]],1)-1),"")</f>
        <v/>
      </c>
      <c r="J124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41" spans="2:10" ht="18" customHeight="1" x14ac:dyDescent="0.25">
      <c r="B1241" s="309"/>
      <c r="C1241" s="120"/>
      <c r="D1241" s="121"/>
      <c r="E1241" s="121"/>
      <c r="F1241" s="92"/>
      <c r="G1241" s="92"/>
      <c r="H1241" s="122"/>
      <c r="I1241" s="68" t="str">
        <f>IFERROR(MID(作者统计[[#This Row],[作者]],FIND("[",作者统计[[#This Row],[作者]],1)+1,FIND("]",作者统计[[#This Row],[作者]],1)-FIND("[",作者统计[[#This Row],[作者]],1)-1),"")</f>
        <v/>
      </c>
      <c r="J1241" s="68" t="str">
        <f>IFERROR(MID(作者统计[[#This Row],[作者]],FIND("(",作者统计[[#This Row],[作者]],1)+1,FIND(")",作者统计[[#This Row],[作者]],1)-FIND("(",作者统计[[#This Row],[作者]],1)-1),"")</f>
        <v/>
      </c>
    </row>
    <row r="1242" spans="2:10" ht="18" customHeight="1" x14ac:dyDescent="0.25">
      <c r="B1242" s="309"/>
      <c r="C1242" s="120"/>
      <c r="D1242" s="121"/>
      <c r="E1242" s="121"/>
      <c r="F1242" s="92"/>
      <c r="G1242" s="92"/>
      <c r="H1242" s="122"/>
      <c r="I1242" s="68" t="str">
        <f>IFERROR(MID(作者统计[[#This Row],[作者]],FIND("[",作者统计[[#This Row],[作者]],1)+1,FIND("]",作者统计[[#This Row],[作者]],1)-FIND("[",作者统计[[#This Row],[作者]],1)-1),"")</f>
        <v/>
      </c>
      <c r="J1242" s="68" t="str">
        <f>IFERROR(MID(作者统计[[#This Row],[作者]],FIND("(",作者统计[[#This Row],[作者]],1)+1,FIND(")",作者统计[[#This Row],[作者]],1)-FIND("(",作者统计[[#This Row],[作者]],1)-1),"")</f>
        <v/>
      </c>
    </row>
    <row r="1243" spans="2:10" ht="18" customHeight="1" x14ac:dyDescent="0.25">
      <c r="B1243" s="256"/>
      <c r="C1243" s="257"/>
      <c r="D1243" s="258"/>
      <c r="E1243" s="258"/>
      <c r="F1243" s="259"/>
      <c r="G1243" s="259"/>
      <c r="H1243" s="260"/>
      <c r="I1243" s="261" t="str">
        <f>IFERROR(MID(作者统计[[#This Row],[作者]],FIND("[",作者统计[[#This Row],[作者]],1)+1,FIND("]",作者统计[[#This Row],[作者]],1)-FIND("[",作者统计[[#This Row],[作者]],1)-1),"")</f>
        <v/>
      </c>
      <c r="J124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44" spans="2:10" ht="18" customHeight="1" x14ac:dyDescent="0.25">
      <c r="B1244" s="85"/>
      <c r="C1244" s="120"/>
      <c r="D1244" s="121"/>
      <c r="E1244" s="121"/>
      <c r="F1244" s="92"/>
      <c r="G1244" s="92"/>
      <c r="H1244" s="122"/>
      <c r="I1244" s="68" t="str">
        <f>IFERROR(MID(作者统计[[#This Row],[作者]],FIND("[",作者统计[[#This Row],[作者]],1)+1,FIND("]",作者统计[[#This Row],[作者]],1)-FIND("[",作者统计[[#This Row],[作者]],1)-1),"")</f>
        <v/>
      </c>
      <c r="J1244" s="68" t="str">
        <f>IFERROR(MID(作者统计[[#This Row],[作者]],FIND("(",作者统计[[#This Row],[作者]],1)+1,FIND(")",作者统计[[#This Row],[作者]],1)-FIND("(",作者统计[[#This Row],[作者]],1)-1),"")</f>
        <v/>
      </c>
    </row>
    <row r="1245" spans="2:10" ht="18" customHeight="1" x14ac:dyDescent="0.25">
      <c r="B1245" s="85"/>
      <c r="C1245" s="120"/>
      <c r="D1245" s="121"/>
      <c r="E1245" s="121"/>
      <c r="F1245" s="92"/>
      <c r="G1245" s="92"/>
      <c r="H1245" s="122"/>
      <c r="I1245" s="68" t="str">
        <f>IFERROR(MID(作者统计[[#This Row],[作者]],FIND("[",作者统计[[#This Row],[作者]],1)+1,FIND("]",作者统计[[#This Row],[作者]],1)-FIND("[",作者统计[[#This Row],[作者]],1)-1),"")</f>
        <v/>
      </c>
      <c r="J1245" s="68" t="str">
        <f>IFERROR(MID(作者统计[[#This Row],[作者]],FIND("(",作者统计[[#This Row],[作者]],1)+1,FIND(")",作者统计[[#This Row],[作者]],1)-FIND("(",作者统计[[#This Row],[作者]],1)-1),"")</f>
        <v/>
      </c>
    </row>
    <row r="1246" spans="2:10" ht="18" customHeight="1" x14ac:dyDescent="0.25">
      <c r="B1246" s="309"/>
      <c r="C1246" s="120"/>
      <c r="D1246" s="121"/>
      <c r="E1246" s="121"/>
      <c r="F1246" s="92"/>
      <c r="G1246" s="92"/>
      <c r="H1246" s="122"/>
      <c r="I1246" s="68" t="str">
        <f>IFERROR(MID(作者统计[[#This Row],[作者]],FIND("[",作者统计[[#This Row],[作者]],1)+1,FIND("]",作者统计[[#This Row],[作者]],1)-FIND("[",作者统计[[#This Row],[作者]],1)-1),"")</f>
        <v/>
      </c>
      <c r="J124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47" spans="2:10" ht="18" customHeight="1" x14ac:dyDescent="0.25">
      <c r="B1247" s="256"/>
      <c r="C1247" s="257"/>
      <c r="D1247" s="258"/>
      <c r="E1247" s="258"/>
      <c r="F1247" s="259"/>
      <c r="G1247" s="259"/>
      <c r="H1247" s="260"/>
      <c r="I1247" s="261" t="str">
        <f>IFERROR(MID(作者统计[[#This Row],[作者]],FIND("[",作者统计[[#This Row],[作者]],1)+1,FIND("]",作者统计[[#This Row],[作者]],1)-FIND("[",作者统计[[#This Row],[作者]],1)-1),"")</f>
        <v/>
      </c>
      <c r="J124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48" spans="2:10" ht="18" customHeight="1" x14ac:dyDescent="0.25">
      <c r="B1248" s="85"/>
      <c r="C1248" s="120"/>
      <c r="D1248" s="121"/>
      <c r="E1248" s="121"/>
      <c r="F1248" s="92"/>
      <c r="G1248" s="92"/>
      <c r="H1248" s="122"/>
      <c r="I1248" s="68" t="str">
        <f>IFERROR(MID(作者统计[[#This Row],[作者]],FIND("[",作者统计[[#This Row],[作者]],1)+1,FIND("]",作者统计[[#This Row],[作者]],1)-FIND("[",作者统计[[#This Row],[作者]],1)-1),"")</f>
        <v/>
      </c>
      <c r="J1248" s="68" t="str">
        <f>IFERROR(MID(作者统计[[#This Row],[作者]],FIND("(",作者统计[[#This Row],[作者]],1)+1,FIND(")",作者统计[[#This Row],[作者]],1)-FIND("(",作者统计[[#This Row],[作者]],1)-1),"")</f>
        <v/>
      </c>
    </row>
    <row r="1249" spans="2:10" ht="18" customHeight="1" x14ac:dyDescent="0.25">
      <c r="B1249" s="85"/>
      <c r="C1249" s="120"/>
      <c r="D1249" s="121"/>
      <c r="E1249" s="121"/>
      <c r="F1249" s="92"/>
      <c r="G1249" s="92"/>
      <c r="H1249" s="122"/>
      <c r="I1249" s="68" t="str">
        <f>IFERROR(MID(作者统计[[#This Row],[作者]],FIND("[",作者统计[[#This Row],[作者]],1)+1,FIND("]",作者统计[[#This Row],[作者]],1)-FIND("[",作者统计[[#This Row],[作者]],1)-1),"")</f>
        <v/>
      </c>
      <c r="J1249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0" spans="2:10" ht="18" customHeight="1" x14ac:dyDescent="0.25">
      <c r="B1250" s="256"/>
      <c r="C1250" s="257"/>
      <c r="D1250" s="258"/>
      <c r="E1250" s="258"/>
      <c r="F1250" s="259"/>
      <c r="G1250" s="259"/>
      <c r="H1250" s="260"/>
      <c r="I1250" s="261" t="str">
        <f>IFERROR(MID(作者统计[[#This Row],[作者]],FIND("[",作者统计[[#This Row],[作者]],1)+1,FIND("]",作者统计[[#This Row],[作者]],1)-FIND("[",作者统计[[#This Row],[作者]],1)-1),"")</f>
        <v/>
      </c>
      <c r="J125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51" spans="2:10" ht="18" customHeight="1" x14ac:dyDescent="0.25">
      <c r="B1251" s="309"/>
      <c r="C1251" s="120"/>
      <c r="D1251" s="121"/>
      <c r="E1251" s="121"/>
      <c r="F1251" s="92"/>
      <c r="G1251" s="92"/>
      <c r="H1251" s="122"/>
      <c r="I1251" s="68" t="str">
        <f>IFERROR(MID(作者统计[[#This Row],[作者]],FIND("[",作者统计[[#This Row],[作者]],1)+1,FIND("]",作者统计[[#This Row],[作者]],1)-FIND("[",作者统计[[#This Row],[作者]],1)-1),"")</f>
        <v/>
      </c>
      <c r="J1251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2" spans="2:10" ht="18" customHeight="1" x14ac:dyDescent="0.25">
      <c r="B1252" s="85"/>
      <c r="C1252" s="120"/>
      <c r="D1252" s="121"/>
      <c r="E1252" s="121"/>
      <c r="F1252" s="92"/>
      <c r="G1252" s="92"/>
      <c r="H1252" s="122"/>
      <c r="I1252" s="68" t="str">
        <f>IFERROR(MID(作者统计[[#This Row],[作者]],FIND("[",作者统计[[#This Row],[作者]],1)+1,FIND("]",作者统计[[#This Row],[作者]],1)-FIND("[",作者统计[[#This Row],[作者]],1)-1),"")</f>
        <v/>
      </c>
      <c r="J1252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3" spans="2:10" ht="18" customHeight="1" x14ac:dyDescent="0.25">
      <c r="B1253" s="85"/>
      <c r="C1253" s="120"/>
      <c r="D1253" s="121"/>
      <c r="E1253" s="121"/>
      <c r="F1253" s="92"/>
      <c r="G1253" s="92"/>
      <c r="H1253" s="122"/>
      <c r="I1253" s="68" t="str">
        <f>IFERROR(MID(作者统计[[#This Row],[作者]],FIND("[",作者统计[[#This Row],[作者]],1)+1,FIND("]",作者统计[[#This Row],[作者]],1)-FIND("[",作者统计[[#This Row],[作者]],1)-1),"")</f>
        <v/>
      </c>
      <c r="J1253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4" spans="2:10" ht="18" customHeight="1" x14ac:dyDescent="0.25">
      <c r="B1254" s="309"/>
      <c r="C1254" s="120"/>
      <c r="D1254" s="121"/>
      <c r="E1254" s="121"/>
      <c r="F1254" s="92"/>
      <c r="G1254" s="92"/>
      <c r="H1254" s="122"/>
      <c r="I1254" s="68" t="str">
        <f>IFERROR(MID(作者统计[[#This Row],[作者]],FIND("[",作者统计[[#This Row],[作者]],1)+1,FIND("]",作者统计[[#This Row],[作者]],1)-FIND("[",作者统计[[#This Row],[作者]],1)-1),"")</f>
        <v/>
      </c>
      <c r="J1254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5" spans="2:10" ht="18" customHeight="1" x14ac:dyDescent="0.25">
      <c r="B1255" s="85"/>
      <c r="C1255" s="120"/>
      <c r="D1255" s="121"/>
      <c r="E1255" s="121"/>
      <c r="F1255" s="92"/>
      <c r="G1255" s="92"/>
      <c r="H1255" s="122"/>
      <c r="I1255" s="68" t="str">
        <f>IFERROR(MID(作者统计[[#This Row],[作者]],FIND("[",作者统计[[#This Row],[作者]],1)+1,FIND("]",作者统计[[#This Row],[作者]],1)-FIND("[",作者统计[[#This Row],[作者]],1)-1),"")</f>
        <v/>
      </c>
      <c r="J1255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6" spans="2:10" ht="18" customHeight="1" x14ac:dyDescent="0.25">
      <c r="B1256" s="309"/>
      <c r="C1256" s="120"/>
      <c r="D1256" s="121"/>
      <c r="E1256" s="121"/>
      <c r="F1256" s="92"/>
      <c r="G1256" s="92"/>
      <c r="H1256" s="122"/>
      <c r="I1256" s="68" t="str">
        <f>IFERROR(MID(作者统计[[#This Row],[作者]],FIND("[",作者统计[[#This Row],[作者]],1)+1,FIND("]",作者统计[[#This Row],[作者]],1)-FIND("[",作者统计[[#This Row],[作者]],1)-1),"")</f>
        <v/>
      </c>
      <c r="J125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7" spans="2:10" ht="18" customHeight="1" x14ac:dyDescent="0.25">
      <c r="B1257" s="309"/>
      <c r="C1257" s="120"/>
      <c r="D1257" s="121"/>
      <c r="E1257" s="121"/>
      <c r="F1257" s="92"/>
      <c r="G1257" s="92"/>
      <c r="H1257" s="122"/>
      <c r="I1257" s="68" t="str">
        <f>IFERROR(MID(作者统计[[#This Row],[作者]],FIND("[",作者统计[[#This Row],[作者]],1)+1,FIND("]",作者统计[[#This Row],[作者]],1)-FIND("[",作者统计[[#This Row],[作者]],1)-1),"")</f>
        <v/>
      </c>
      <c r="J1257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8" spans="2:10" ht="18" customHeight="1" x14ac:dyDescent="0.25">
      <c r="B1258" s="309"/>
      <c r="C1258" s="120"/>
      <c r="D1258" s="121"/>
      <c r="E1258" s="121"/>
      <c r="F1258" s="92"/>
      <c r="G1258" s="92"/>
      <c r="H1258" s="122"/>
      <c r="I1258" s="68" t="str">
        <f>IFERROR(MID(作者统计[[#This Row],[作者]],FIND("[",作者统计[[#This Row],[作者]],1)+1,FIND("]",作者统计[[#This Row],[作者]],1)-FIND("[",作者统计[[#This Row],[作者]],1)-1),"")</f>
        <v/>
      </c>
      <c r="J1258" s="68" t="str">
        <f>IFERROR(MID(作者统计[[#This Row],[作者]],FIND("(",作者统计[[#This Row],[作者]],1)+1,FIND(")",作者统计[[#This Row],[作者]],1)-FIND("(",作者统计[[#This Row],[作者]],1)-1),"")</f>
        <v/>
      </c>
    </row>
    <row r="1259" spans="2:10" ht="18" customHeight="1" x14ac:dyDescent="0.25">
      <c r="B1259" s="85"/>
      <c r="C1259" s="120"/>
      <c r="D1259" s="121"/>
      <c r="E1259" s="121"/>
      <c r="F1259" s="92"/>
      <c r="G1259" s="92"/>
      <c r="H1259" s="122"/>
      <c r="I1259" s="68" t="str">
        <f>IFERROR(MID(作者统计[[#This Row],[作者]],FIND("[",作者统计[[#This Row],[作者]],1)+1,FIND("]",作者统计[[#This Row],[作者]],1)-FIND("[",作者统计[[#This Row],[作者]],1)-1),"")</f>
        <v/>
      </c>
      <c r="J1259" s="68" t="str">
        <f>IFERROR(MID(作者统计[[#This Row],[作者]],FIND("(",作者统计[[#This Row],[作者]],1)+1,FIND(")",作者统计[[#This Row],[作者]],1)-FIND("(",作者统计[[#This Row],[作者]],1)-1),"")</f>
        <v/>
      </c>
    </row>
    <row r="1260" spans="2:10" ht="18" customHeight="1" x14ac:dyDescent="0.25">
      <c r="B1260" s="309"/>
      <c r="C1260" s="120"/>
      <c r="D1260" s="121"/>
      <c r="E1260" s="121"/>
      <c r="F1260" s="92"/>
      <c r="G1260" s="92"/>
      <c r="H1260" s="122"/>
      <c r="I1260" s="68" t="str">
        <f>IFERROR(MID(作者统计[[#This Row],[作者]],FIND("[",作者统计[[#This Row],[作者]],1)+1,FIND("]",作者统计[[#This Row],[作者]],1)-FIND("[",作者统计[[#This Row],[作者]],1)-1),"")</f>
        <v/>
      </c>
      <c r="J1260" s="68" t="str">
        <f>IFERROR(MID(作者统计[[#This Row],[作者]],FIND("(",作者统计[[#This Row],[作者]],1)+1,FIND(")",作者统计[[#This Row],[作者]],1)-FIND("(",作者统计[[#This Row],[作者]],1)-1),"")</f>
        <v/>
      </c>
    </row>
    <row r="1261" spans="2:10" ht="18" customHeight="1" x14ac:dyDescent="0.25">
      <c r="B1261" s="309"/>
      <c r="C1261" s="120"/>
      <c r="D1261" s="121"/>
      <c r="E1261" s="121"/>
      <c r="F1261" s="92"/>
      <c r="G1261" s="92"/>
      <c r="H1261" s="122"/>
      <c r="I1261" s="68" t="str">
        <f>IFERROR(MID(作者统计[[#This Row],[作者]],FIND("[",作者统计[[#This Row],[作者]],1)+1,FIND("]",作者统计[[#This Row],[作者]],1)-FIND("[",作者统计[[#This Row],[作者]],1)-1),"")</f>
        <v/>
      </c>
      <c r="J1261" s="68" t="str">
        <f>IFERROR(MID(作者统计[[#This Row],[作者]],FIND("(",作者统计[[#This Row],[作者]],1)+1,FIND(")",作者统计[[#This Row],[作者]],1)-FIND("(",作者统计[[#This Row],[作者]],1)-1),"")</f>
        <v/>
      </c>
    </row>
    <row r="1262" spans="2:10" ht="18" customHeight="1" x14ac:dyDescent="0.25">
      <c r="B1262" s="85"/>
      <c r="C1262" s="120"/>
      <c r="D1262" s="121"/>
      <c r="E1262" s="121"/>
      <c r="F1262" s="92"/>
      <c r="G1262" s="92"/>
      <c r="H1262" s="122"/>
      <c r="I1262" s="68" t="str">
        <f>IFERROR(MID(作者统计[[#This Row],[作者]],FIND("[",作者统计[[#This Row],[作者]],1)+1,FIND("]",作者统计[[#This Row],[作者]],1)-FIND("[",作者统计[[#This Row],[作者]],1)-1),"")</f>
        <v/>
      </c>
      <c r="J1262" s="68" t="str">
        <f>IFERROR(MID(作者统计[[#This Row],[作者]],FIND("(",作者统计[[#This Row],[作者]],1)+1,FIND(")",作者统计[[#This Row],[作者]],1)-FIND("(",作者统计[[#This Row],[作者]],1)-1),"")</f>
        <v/>
      </c>
    </row>
    <row r="1263" spans="2:10" ht="18" customHeight="1" x14ac:dyDescent="0.25">
      <c r="B1263" s="309"/>
      <c r="C1263" s="120"/>
      <c r="D1263" s="121"/>
      <c r="E1263" s="121"/>
      <c r="F1263" s="92"/>
      <c r="G1263" s="92"/>
      <c r="H1263" s="122"/>
      <c r="I1263" s="68" t="str">
        <f>IFERROR(MID(作者统计[[#This Row],[作者]],FIND("[",作者统计[[#This Row],[作者]],1)+1,FIND("]",作者统计[[#This Row],[作者]],1)-FIND("[",作者统计[[#This Row],[作者]],1)-1),"")</f>
        <v/>
      </c>
      <c r="J1263" s="68" t="str">
        <f>IFERROR(MID(作者统计[[#This Row],[作者]],FIND("(",作者统计[[#This Row],[作者]],1)+1,FIND(")",作者统计[[#This Row],[作者]],1)-FIND("(",作者统计[[#This Row],[作者]],1)-1),"")</f>
        <v/>
      </c>
    </row>
    <row r="1264" spans="2:10" ht="18" customHeight="1" x14ac:dyDescent="0.25">
      <c r="B1264" s="85"/>
      <c r="C1264" s="120"/>
      <c r="D1264" s="121"/>
      <c r="E1264" s="121"/>
      <c r="F1264" s="92"/>
      <c r="G1264" s="92"/>
      <c r="H1264" s="122"/>
      <c r="I1264" s="68" t="str">
        <f>IFERROR(MID(作者统计[[#This Row],[作者]],FIND("[",作者统计[[#This Row],[作者]],1)+1,FIND("]",作者统计[[#This Row],[作者]],1)-FIND("[",作者统计[[#This Row],[作者]],1)-1),"")</f>
        <v/>
      </c>
      <c r="J1264" s="68" t="str">
        <f>IFERROR(MID(作者统计[[#This Row],[作者]],FIND("(",作者统计[[#This Row],[作者]],1)+1,FIND(")",作者统计[[#This Row],[作者]],1)-FIND("(",作者统计[[#This Row],[作者]],1)-1),"")</f>
        <v/>
      </c>
    </row>
    <row r="1265" spans="2:10" ht="18" customHeight="1" x14ac:dyDescent="0.25">
      <c r="B1265" s="256"/>
      <c r="C1265" s="257"/>
      <c r="D1265" s="258"/>
      <c r="E1265" s="258"/>
      <c r="F1265" s="259"/>
      <c r="G1265" s="259"/>
      <c r="H1265" s="260"/>
      <c r="I1265" s="261" t="str">
        <f>IFERROR(MID(作者统计[[#This Row],[作者]],FIND("[",作者统计[[#This Row],[作者]],1)+1,FIND("]",作者统计[[#This Row],[作者]],1)-FIND("[",作者统计[[#This Row],[作者]],1)-1),"")</f>
        <v/>
      </c>
      <c r="J126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66" spans="2:10" ht="18" customHeight="1" x14ac:dyDescent="0.25">
      <c r="B1266" s="256"/>
      <c r="C1266" s="257"/>
      <c r="D1266" s="258"/>
      <c r="E1266" s="258"/>
      <c r="F1266" s="259"/>
      <c r="G1266" s="259"/>
      <c r="H1266" s="260"/>
      <c r="I1266" s="261" t="str">
        <f>IFERROR(MID(作者统计[[#This Row],[作者]],FIND("[",作者统计[[#This Row],[作者]],1)+1,FIND("]",作者统计[[#This Row],[作者]],1)-FIND("[",作者统计[[#This Row],[作者]],1)-1),"")</f>
        <v/>
      </c>
      <c r="J126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67" spans="2:10" ht="18" customHeight="1" x14ac:dyDescent="0.25">
      <c r="B1267" s="256"/>
      <c r="C1267" s="257"/>
      <c r="D1267" s="258"/>
      <c r="E1267" s="258"/>
      <c r="F1267" s="259"/>
      <c r="G1267" s="259"/>
      <c r="H1267" s="260"/>
      <c r="I1267" s="261" t="str">
        <f>IFERROR(MID(作者统计[[#This Row],[作者]],FIND("[",作者统计[[#This Row],[作者]],1)+1,FIND("]",作者统计[[#This Row],[作者]],1)-FIND("[",作者统计[[#This Row],[作者]],1)-1),"")</f>
        <v/>
      </c>
      <c r="J126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68" spans="2:10" ht="18" customHeight="1" x14ac:dyDescent="0.25">
      <c r="B1268" s="256"/>
      <c r="C1268" s="257"/>
      <c r="D1268" s="258"/>
      <c r="E1268" s="258"/>
      <c r="F1268" s="259"/>
      <c r="G1268" s="259"/>
      <c r="H1268" s="260"/>
      <c r="I1268" s="261" t="str">
        <f>IFERROR(MID(作者统计[[#This Row],[作者]],FIND("[",作者统计[[#This Row],[作者]],1)+1,FIND("]",作者统计[[#This Row],[作者]],1)-FIND("[",作者统计[[#This Row],[作者]],1)-1),"")</f>
        <v/>
      </c>
      <c r="J126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69" spans="2:10" ht="18" customHeight="1" x14ac:dyDescent="0.25">
      <c r="B1269" s="262"/>
      <c r="C1269" s="263"/>
      <c r="D1269" s="264"/>
      <c r="E1269" s="264"/>
      <c r="F1269" s="265"/>
      <c r="G1269" s="265"/>
      <c r="H1269" s="266"/>
      <c r="I1269" s="267" t="str">
        <f>IFERROR(MID(作者统计[[#This Row],[作者]],FIND("[",作者统计[[#This Row],[作者]],1)+1,FIND("]",作者统计[[#This Row],[作者]],1)-FIND("[",作者统计[[#This Row],[作者]],1)-1),"")</f>
        <v/>
      </c>
      <c r="J1269" s="267" t="str">
        <f>IFERROR(MID(作者统计[[#This Row],[作者]],FIND("(",作者统计[[#This Row],[作者]],1)+1,FIND(")",作者统计[[#This Row],[作者]],1)-FIND("(",作者统计[[#This Row],[作者]],1)-1),"")</f>
        <v/>
      </c>
    </row>
    <row r="1270" spans="2:10" ht="18" customHeight="1" x14ac:dyDescent="0.25">
      <c r="B1270" s="309"/>
      <c r="C1270" s="120"/>
      <c r="D1270" s="121"/>
      <c r="E1270" s="121"/>
      <c r="F1270" s="92"/>
      <c r="G1270" s="92"/>
      <c r="H1270" s="122"/>
      <c r="I1270" s="68" t="str">
        <f>IFERROR(MID(作者统计[[#This Row],[作者]],FIND("[",作者统计[[#This Row],[作者]],1)+1,FIND("]",作者统计[[#This Row],[作者]],1)-FIND("[",作者统计[[#This Row],[作者]],1)-1),"")</f>
        <v/>
      </c>
      <c r="J1270" s="68" t="str">
        <f>IFERROR(MID(作者统计[[#This Row],[作者]],FIND("(",作者统计[[#This Row],[作者]],1)+1,FIND(")",作者统计[[#This Row],[作者]],1)-FIND("(",作者统计[[#This Row],[作者]],1)-1),"")</f>
        <v/>
      </c>
    </row>
    <row r="1271" spans="2:10" ht="18" customHeight="1" x14ac:dyDescent="0.25">
      <c r="B1271" s="256"/>
      <c r="C1271" s="257"/>
      <c r="D1271" s="258"/>
      <c r="E1271" s="258"/>
      <c r="F1271" s="259"/>
      <c r="G1271" s="259"/>
      <c r="H1271" s="260"/>
      <c r="I1271" s="261" t="str">
        <f>IFERROR(MID(作者统计[[#This Row],[作者]],FIND("[",作者统计[[#This Row],[作者]],1)+1,FIND("]",作者统计[[#This Row],[作者]],1)-FIND("[",作者统计[[#This Row],[作者]],1)-1),"")</f>
        <v/>
      </c>
      <c r="J127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72" spans="2:10" ht="18" customHeight="1" x14ac:dyDescent="0.25">
      <c r="B1272" s="309"/>
      <c r="C1272" s="120"/>
      <c r="D1272" s="121"/>
      <c r="E1272" s="121"/>
      <c r="F1272" s="92"/>
      <c r="G1272" s="92"/>
      <c r="H1272" s="122"/>
      <c r="I1272" s="68" t="str">
        <f>IFERROR(MID(作者统计[[#This Row],[作者]],FIND("[",作者统计[[#This Row],[作者]],1)+1,FIND("]",作者统计[[#This Row],[作者]],1)-FIND("[",作者统计[[#This Row],[作者]],1)-1),"")</f>
        <v/>
      </c>
      <c r="J1272" s="68" t="str">
        <f>IFERROR(MID(作者统计[[#This Row],[作者]],FIND("(",作者统计[[#This Row],[作者]],1)+1,FIND(")",作者统计[[#This Row],[作者]],1)-FIND("(",作者统计[[#This Row],[作者]],1)-1),"")</f>
        <v/>
      </c>
    </row>
    <row r="1273" spans="2:10" ht="18" customHeight="1" x14ac:dyDescent="0.25">
      <c r="B1273" s="85"/>
      <c r="C1273" s="120"/>
      <c r="D1273" s="121"/>
      <c r="E1273" s="121"/>
      <c r="F1273" s="92"/>
      <c r="G1273" s="92"/>
      <c r="H1273" s="122"/>
      <c r="I1273" s="68" t="str">
        <f>IFERROR(MID(作者统计[[#This Row],[作者]],FIND("[",作者统计[[#This Row],[作者]],1)+1,FIND("]",作者统计[[#This Row],[作者]],1)-FIND("[",作者统计[[#This Row],[作者]],1)-1),"")</f>
        <v/>
      </c>
      <c r="J1273" s="68" t="str">
        <f>IFERROR(MID(作者统计[[#This Row],[作者]],FIND("(",作者统计[[#This Row],[作者]],1)+1,FIND(")",作者统计[[#This Row],[作者]],1)-FIND("(",作者统计[[#This Row],[作者]],1)-1),"")</f>
        <v/>
      </c>
    </row>
    <row r="1274" spans="2:10" ht="18" customHeight="1" x14ac:dyDescent="0.25">
      <c r="B1274" s="309"/>
      <c r="C1274" s="120"/>
      <c r="D1274" s="121"/>
      <c r="E1274" s="121"/>
      <c r="F1274" s="92"/>
      <c r="G1274" s="92"/>
      <c r="H1274" s="122"/>
      <c r="I1274" s="68" t="str">
        <f>IFERROR(MID(作者统计[[#This Row],[作者]],FIND("[",作者统计[[#This Row],[作者]],1)+1,FIND("]",作者统计[[#This Row],[作者]],1)-FIND("[",作者统计[[#This Row],[作者]],1)-1),"")</f>
        <v/>
      </c>
      <c r="J1274" s="68" t="str">
        <f>IFERROR(MID(作者统计[[#This Row],[作者]],FIND("(",作者统计[[#This Row],[作者]],1)+1,FIND(")",作者统计[[#This Row],[作者]],1)-FIND("(",作者统计[[#This Row],[作者]],1)-1),"")</f>
        <v/>
      </c>
    </row>
    <row r="1275" spans="2:10" ht="18" customHeight="1" x14ac:dyDescent="0.25">
      <c r="B1275" s="85"/>
      <c r="C1275" s="120"/>
      <c r="D1275" s="121"/>
      <c r="E1275" s="121"/>
      <c r="F1275" s="92"/>
      <c r="G1275" s="92"/>
      <c r="H1275" s="122"/>
      <c r="I1275" s="68" t="str">
        <f>IFERROR(MID(作者统计[[#This Row],[作者]],FIND("[",作者统计[[#This Row],[作者]],1)+1,FIND("]",作者统计[[#This Row],[作者]],1)-FIND("[",作者统计[[#This Row],[作者]],1)-1),"")</f>
        <v/>
      </c>
      <c r="J1275" s="68" t="str">
        <f>IFERROR(MID(作者统计[[#This Row],[作者]],FIND("(",作者统计[[#This Row],[作者]],1)+1,FIND(")",作者统计[[#This Row],[作者]],1)-FIND("(",作者统计[[#This Row],[作者]],1)-1),"")</f>
        <v/>
      </c>
    </row>
    <row r="1276" spans="2:10" ht="18" customHeight="1" x14ac:dyDescent="0.25">
      <c r="B1276" s="85"/>
      <c r="C1276" s="120"/>
      <c r="D1276" s="121"/>
      <c r="E1276" s="121"/>
      <c r="F1276" s="92"/>
      <c r="G1276" s="92"/>
      <c r="H1276" s="122"/>
      <c r="I1276" s="68" t="str">
        <f>IFERROR(MID(作者统计[[#This Row],[作者]],FIND("[",作者统计[[#This Row],[作者]],1)+1,FIND("]",作者统计[[#This Row],[作者]],1)-FIND("[",作者统计[[#This Row],[作者]],1)-1),"")</f>
        <v/>
      </c>
      <c r="J127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77" spans="2:10" ht="18" customHeight="1" x14ac:dyDescent="0.25">
      <c r="B1277" s="309"/>
      <c r="C1277" s="120"/>
      <c r="D1277" s="121"/>
      <c r="E1277" s="121"/>
      <c r="F1277" s="92"/>
      <c r="G1277" s="92"/>
      <c r="H1277" s="122"/>
      <c r="I1277" s="68" t="str">
        <f>IFERROR(MID(作者统计[[#This Row],[作者]],FIND("[",作者统计[[#This Row],[作者]],1)+1,FIND("]",作者统计[[#This Row],[作者]],1)-FIND("[",作者统计[[#This Row],[作者]],1)-1),"")</f>
        <v/>
      </c>
      <c r="J1277" s="68" t="str">
        <f>IFERROR(MID(作者统计[[#This Row],[作者]],FIND("(",作者统计[[#This Row],[作者]],1)+1,FIND(")",作者统计[[#This Row],[作者]],1)-FIND("(",作者统计[[#This Row],[作者]],1)-1),"")</f>
        <v/>
      </c>
    </row>
    <row r="1278" spans="2:10" ht="18" customHeight="1" x14ac:dyDescent="0.25">
      <c r="B1278" s="256"/>
      <c r="C1278" s="257"/>
      <c r="D1278" s="258"/>
      <c r="E1278" s="258"/>
      <c r="F1278" s="259"/>
      <c r="G1278" s="259"/>
      <c r="H1278" s="260"/>
      <c r="I1278" s="261" t="str">
        <f>IFERROR(MID(作者统计[[#This Row],[作者]],FIND("[",作者统计[[#This Row],[作者]],1)+1,FIND("]",作者统计[[#This Row],[作者]],1)-FIND("[",作者统计[[#This Row],[作者]],1)-1),"")</f>
        <v/>
      </c>
      <c r="J127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79" spans="2:10" ht="18" customHeight="1" x14ac:dyDescent="0.25">
      <c r="B1279" s="256"/>
      <c r="C1279" s="257"/>
      <c r="D1279" s="258"/>
      <c r="E1279" s="258"/>
      <c r="F1279" s="259"/>
      <c r="G1279" s="259"/>
      <c r="H1279" s="260"/>
      <c r="I1279" s="261" t="str">
        <f>IFERROR(MID(作者统计[[#This Row],[作者]],FIND("[",作者统计[[#This Row],[作者]],1)+1,FIND("]",作者统计[[#This Row],[作者]],1)-FIND("[",作者统计[[#This Row],[作者]],1)-1),"")</f>
        <v/>
      </c>
      <c r="J127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80" spans="2:10" ht="18" customHeight="1" x14ac:dyDescent="0.25">
      <c r="B1280" s="256"/>
      <c r="C1280" s="257"/>
      <c r="D1280" s="258"/>
      <c r="E1280" s="258"/>
      <c r="F1280" s="259"/>
      <c r="G1280" s="259"/>
      <c r="H1280" s="260"/>
      <c r="I1280" s="261" t="str">
        <f>IFERROR(MID(作者统计[[#This Row],[作者]],FIND("[",作者统计[[#This Row],[作者]],1)+1,FIND("]",作者统计[[#This Row],[作者]],1)-FIND("[",作者统计[[#This Row],[作者]],1)-1),"")</f>
        <v/>
      </c>
      <c r="J128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81" spans="2:10" ht="18" customHeight="1" x14ac:dyDescent="0.25">
      <c r="B1281" s="256"/>
      <c r="C1281" s="257"/>
      <c r="D1281" s="258"/>
      <c r="E1281" s="258"/>
      <c r="F1281" s="259"/>
      <c r="G1281" s="259"/>
      <c r="H1281" s="260"/>
      <c r="I1281" s="261" t="str">
        <f>IFERROR(MID(作者统计[[#This Row],[作者]],FIND("[",作者统计[[#This Row],[作者]],1)+1,FIND("]",作者统计[[#This Row],[作者]],1)-FIND("[",作者统计[[#This Row],[作者]],1)-1),"")</f>
        <v/>
      </c>
      <c r="J128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82" spans="2:10" ht="18" customHeight="1" x14ac:dyDescent="0.25">
      <c r="B1282" s="256"/>
      <c r="C1282" s="257"/>
      <c r="D1282" s="258"/>
      <c r="E1282" s="258"/>
      <c r="F1282" s="259"/>
      <c r="G1282" s="259"/>
      <c r="H1282" s="260"/>
      <c r="I1282" s="261" t="str">
        <f>IFERROR(MID(作者统计[[#This Row],[作者]],FIND("[",作者统计[[#This Row],[作者]],1)+1,FIND("]",作者统计[[#This Row],[作者]],1)-FIND("[",作者统计[[#This Row],[作者]],1)-1),"")</f>
        <v/>
      </c>
      <c r="J128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83" spans="2:10" ht="18" customHeight="1" x14ac:dyDescent="0.25">
      <c r="B1283" s="309"/>
      <c r="C1283" s="120"/>
      <c r="D1283" s="121"/>
      <c r="E1283" s="121"/>
      <c r="F1283" s="92"/>
      <c r="G1283" s="92"/>
      <c r="H1283" s="122"/>
      <c r="I1283" s="68" t="str">
        <f>IFERROR(MID(作者统计[[#This Row],[作者]],FIND("[",作者统计[[#This Row],[作者]],1)+1,FIND("]",作者统计[[#This Row],[作者]],1)-FIND("[",作者统计[[#This Row],[作者]],1)-1),"")</f>
        <v/>
      </c>
      <c r="J1283" s="68" t="str">
        <f>IFERROR(MID(作者统计[[#This Row],[作者]],FIND("(",作者统计[[#This Row],[作者]],1)+1,FIND(")",作者统计[[#This Row],[作者]],1)-FIND("(",作者统计[[#This Row],[作者]],1)-1),"")</f>
        <v/>
      </c>
    </row>
    <row r="1284" spans="2:10" ht="18" customHeight="1" x14ac:dyDescent="0.25">
      <c r="B1284" s="256"/>
      <c r="C1284" s="257"/>
      <c r="D1284" s="258"/>
      <c r="E1284" s="258"/>
      <c r="F1284" s="259"/>
      <c r="G1284" s="259"/>
      <c r="H1284" s="260"/>
      <c r="I1284" s="261" t="str">
        <f>IFERROR(MID(作者统计[[#This Row],[作者]],FIND("[",作者统计[[#This Row],[作者]],1)+1,FIND("]",作者统计[[#This Row],[作者]],1)-FIND("[",作者统计[[#This Row],[作者]],1)-1),"")</f>
        <v/>
      </c>
      <c r="J128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85" spans="2:10" ht="18" customHeight="1" x14ac:dyDescent="0.25">
      <c r="B1285" s="309"/>
      <c r="C1285" s="120"/>
      <c r="D1285" s="121"/>
      <c r="E1285" s="121"/>
      <c r="F1285" s="92"/>
      <c r="G1285" s="92"/>
      <c r="H1285" s="122"/>
      <c r="I1285" s="68" t="str">
        <f>IFERROR(MID(作者统计[[#This Row],[作者]],FIND("[",作者统计[[#This Row],[作者]],1)+1,FIND("]",作者统计[[#This Row],[作者]],1)-FIND("[",作者统计[[#This Row],[作者]],1)-1),"")</f>
        <v/>
      </c>
      <c r="J1285" s="68" t="str">
        <f>IFERROR(MID(作者统计[[#This Row],[作者]],FIND("(",作者统计[[#This Row],[作者]],1)+1,FIND(")",作者统计[[#This Row],[作者]],1)-FIND("(",作者统计[[#This Row],[作者]],1)-1),"")</f>
        <v/>
      </c>
    </row>
    <row r="1286" spans="2:10" ht="18" customHeight="1" x14ac:dyDescent="0.25">
      <c r="B1286" s="85"/>
      <c r="C1286" s="120"/>
      <c r="D1286" s="121"/>
      <c r="E1286" s="121"/>
      <c r="F1286" s="92"/>
      <c r="G1286" s="92"/>
      <c r="H1286" s="122"/>
      <c r="I1286" s="68" t="str">
        <f>IFERROR(MID(作者统计[[#This Row],[作者]],FIND("[",作者统计[[#This Row],[作者]],1)+1,FIND("]",作者统计[[#This Row],[作者]],1)-FIND("[",作者统计[[#This Row],[作者]],1)-1),"")</f>
        <v/>
      </c>
      <c r="J128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87" spans="2:10" ht="18" customHeight="1" x14ac:dyDescent="0.25">
      <c r="B1287" s="309"/>
      <c r="C1287" s="120"/>
      <c r="D1287" s="121"/>
      <c r="E1287" s="121"/>
      <c r="F1287" s="92"/>
      <c r="G1287" s="92"/>
      <c r="H1287" s="122"/>
      <c r="I1287" s="68" t="str">
        <f>IFERROR(MID(作者统计[[#This Row],[作者]],FIND("[",作者统计[[#This Row],[作者]],1)+1,FIND("]",作者统计[[#This Row],[作者]],1)-FIND("[",作者统计[[#This Row],[作者]],1)-1),"")</f>
        <v/>
      </c>
      <c r="J1287" s="68" t="str">
        <f>IFERROR(MID(作者统计[[#This Row],[作者]],FIND("(",作者统计[[#This Row],[作者]],1)+1,FIND(")",作者统计[[#This Row],[作者]],1)-FIND("(",作者统计[[#This Row],[作者]],1)-1),"")</f>
        <v/>
      </c>
    </row>
    <row r="1288" spans="2:10" ht="18" customHeight="1" x14ac:dyDescent="0.25">
      <c r="B1288" s="309"/>
      <c r="C1288" s="120"/>
      <c r="D1288" s="121"/>
      <c r="E1288" s="121"/>
      <c r="F1288" s="92"/>
      <c r="G1288" s="92"/>
      <c r="H1288" s="122"/>
      <c r="I1288" s="68" t="str">
        <f>IFERROR(MID(作者统计[[#This Row],[作者]],FIND("[",作者统计[[#This Row],[作者]],1)+1,FIND("]",作者统计[[#This Row],[作者]],1)-FIND("[",作者统计[[#This Row],[作者]],1)-1),"")</f>
        <v/>
      </c>
      <c r="J1288" s="68" t="str">
        <f>IFERROR(MID(作者统计[[#This Row],[作者]],FIND("(",作者统计[[#This Row],[作者]],1)+1,FIND(")",作者统计[[#This Row],[作者]],1)-FIND("(",作者统计[[#This Row],[作者]],1)-1),"")</f>
        <v/>
      </c>
    </row>
    <row r="1289" spans="2:10" ht="18" customHeight="1" x14ac:dyDescent="0.25">
      <c r="B1289" s="309"/>
      <c r="C1289" s="120"/>
      <c r="D1289" s="121"/>
      <c r="E1289" s="121"/>
      <c r="F1289" s="92"/>
      <c r="G1289" s="92"/>
      <c r="H1289" s="122"/>
      <c r="I1289" s="68" t="str">
        <f>IFERROR(MID(作者统计[[#This Row],[作者]],FIND("[",作者统计[[#This Row],[作者]],1)+1,FIND("]",作者统计[[#This Row],[作者]],1)-FIND("[",作者统计[[#This Row],[作者]],1)-1),"")</f>
        <v/>
      </c>
      <c r="J1289" s="68" t="str">
        <f>IFERROR(MID(作者统计[[#This Row],[作者]],FIND("(",作者统计[[#This Row],[作者]],1)+1,FIND(")",作者统计[[#This Row],[作者]],1)-FIND("(",作者统计[[#This Row],[作者]],1)-1),"")</f>
        <v/>
      </c>
    </row>
    <row r="1290" spans="2:10" ht="18" customHeight="1" x14ac:dyDescent="0.25">
      <c r="B1290" s="256"/>
      <c r="C1290" s="257"/>
      <c r="D1290" s="258"/>
      <c r="E1290" s="258"/>
      <c r="F1290" s="259"/>
      <c r="G1290" s="259"/>
      <c r="H1290" s="260"/>
      <c r="I1290" s="261" t="str">
        <f>IFERROR(MID(作者统计[[#This Row],[作者]],FIND("[",作者统计[[#This Row],[作者]],1)+1,FIND("]",作者统计[[#This Row],[作者]],1)-FIND("[",作者统计[[#This Row],[作者]],1)-1),"")</f>
        <v/>
      </c>
      <c r="J129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91" spans="2:10" ht="18" customHeight="1" x14ac:dyDescent="0.25">
      <c r="B1291" s="256"/>
      <c r="C1291" s="257"/>
      <c r="D1291" s="258"/>
      <c r="E1291" s="258"/>
      <c r="F1291" s="259"/>
      <c r="G1291" s="259"/>
      <c r="H1291" s="260"/>
      <c r="I1291" s="261" t="str">
        <f>IFERROR(MID(作者统计[[#This Row],[作者]],FIND("[",作者统计[[#This Row],[作者]],1)+1,FIND("]",作者统计[[#This Row],[作者]],1)-FIND("[",作者统计[[#This Row],[作者]],1)-1),"")</f>
        <v/>
      </c>
      <c r="J129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92" spans="2:10" ht="18" customHeight="1" x14ac:dyDescent="0.25">
      <c r="B1292" s="309"/>
      <c r="C1292" s="120"/>
      <c r="D1292" s="121"/>
      <c r="E1292" s="121"/>
      <c r="F1292" s="92"/>
      <c r="G1292" s="92"/>
      <c r="H1292" s="122"/>
      <c r="I1292" s="68" t="str">
        <f>IFERROR(MID(作者统计[[#This Row],[作者]],FIND("[",作者统计[[#This Row],[作者]],1)+1,FIND("]",作者统计[[#This Row],[作者]],1)-FIND("[",作者统计[[#This Row],[作者]],1)-1),"")</f>
        <v/>
      </c>
      <c r="J1292" s="68" t="str">
        <f>IFERROR(MID(作者统计[[#This Row],[作者]],FIND("(",作者统计[[#This Row],[作者]],1)+1,FIND(")",作者统计[[#This Row],[作者]],1)-FIND("(",作者统计[[#This Row],[作者]],1)-1),"")</f>
        <v/>
      </c>
    </row>
    <row r="1293" spans="2:10" ht="18" customHeight="1" x14ac:dyDescent="0.25">
      <c r="B1293" s="309"/>
      <c r="C1293" s="120"/>
      <c r="D1293" s="121"/>
      <c r="E1293" s="121"/>
      <c r="F1293" s="92"/>
      <c r="G1293" s="92"/>
      <c r="H1293" s="122"/>
      <c r="I1293" s="68" t="str">
        <f>IFERROR(MID(作者统计[[#This Row],[作者]],FIND("[",作者统计[[#This Row],[作者]],1)+1,FIND("]",作者统计[[#This Row],[作者]],1)-FIND("[",作者统计[[#This Row],[作者]],1)-1),"")</f>
        <v/>
      </c>
      <c r="J1293" s="68" t="str">
        <f>IFERROR(MID(作者统计[[#This Row],[作者]],FIND("(",作者统计[[#This Row],[作者]],1)+1,FIND(")",作者统计[[#This Row],[作者]],1)-FIND("(",作者统计[[#This Row],[作者]],1)-1),"")</f>
        <v/>
      </c>
    </row>
    <row r="1294" spans="2:10" ht="18" customHeight="1" x14ac:dyDescent="0.25">
      <c r="B1294" s="85"/>
      <c r="C1294" s="120"/>
      <c r="D1294" s="121"/>
      <c r="E1294" s="121"/>
      <c r="F1294" s="92"/>
      <c r="G1294" s="92"/>
      <c r="H1294" s="122"/>
      <c r="I1294" s="68" t="str">
        <f>IFERROR(MID(作者统计[[#This Row],[作者]],FIND("[",作者统计[[#This Row],[作者]],1)+1,FIND("]",作者统计[[#This Row],[作者]],1)-FIND("[",作者统计[[#This Row],[作者]],1)-1),"")</f>
        <v/>
      </c>
      <c r="J1294" s="68" t="str">
        <f>IFERROR(MID(作者统计[[#This Row],[作者]],FIND("(",作者统计[[#This Row],[作者]],1)+1,FIND(")",作者统计[[#This Row],[作者]],1)-FIND("(",作者统计[[#This Row],[作者]],1)-1),"")</f>
        <v/>
      </c>
    </row>
    <row r="1295" spans="2:10" ht="18" customHeight="1" x14ac:dyDescent="0.25">
      <c r="B1295" s="256"/>
      <c r="C1295" s="257"/>
      <c r="D1295" s="258"/>
      <c r="E1295" s="258"/>
      <c r="F1295" s="259"/>
      <c r="G1295" s="259"/>
      <c r="H1295" s="260"/>
      <c r="I1295" s="261" t="str">
        <f>IFERROR(MID(作者统计[[#This Row],[作者]],FIND("[",作者统计[[#This Row],[作者]],1)+1,FIND("]",作者统计[[#This Row],[作者]],1)-FIND("[",作者统计[[#This Row],[作者]],1)-1),"")</f>
        <v/>
      </c>
      <c r="J129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96" spans="2:10" ht="18" customHeight="1" x14ac:dyDescent="0.25">
      <c r="B1296" s="85"/>
      <c r="C1296" s="120"/>
      <c r="D1296" s="121"/>
      <c r="E1296" s="121"/>
      <c r="F1296" s="92"/>
      <c r="G1296" s="92"/>
      <c r="H1296" s="122"/>
      <c r="I1296" s="68" t="str">
        <f>IFERROR(MID(作者统计[[#This Row],[作者]],FIND("[",作者统计[[#This Row],[作者]],1)+1,FIND("]",作者统计[[#This Row],[作者]],1)-FIND("[",作者统计[[#This Row],[作者]],1)-1),"")</f>
        <v/>
      </c>
      <c r="J1296" s="68" t="str">
        <f>IFERROR(MID(作者统计[[#This Row],[作者]],FIND("(",作者统计[[#This Row],[作者]],1)+1,FIND(")",作者统计[[#This Row],[作者]],1)-FIND("(",作者统计[[#This Row],[作者]],1)-1),"")</f>
        <v/>
      </c>
    </row>
    <row r="1297" spans="2:10" ht="18" customHeight="1" x14ac:dyDescent="0.25">
      <c r="B1297" s="85"/>
      <c r="C1297" s="120"/>
      <c r="D1297" s="121"/>
      <c r="E1297" s="121"/>
      <c r="F1297" s="92"/>
      <c r="G1297" s="92"/>
      <c r="H1297" s="122"/>
      <c r="I1297" s="68" t="str">
        <f>IFERROR(MID(作者统计[[#This Row],[作者]],FIND("[",作者统计[[#This Row],[作者]],1)+1,FIND("]",作者统计[[#This Row],[作者]],1)-FIND("[",作者统计[[#This Row],[作者]],1)-1),"")</f>
        <v/>
      </c>
      <c r="J1297" s="68" t="str">
        <f>IFERROR(MID(作者统计[[#This Row],[作者]],FIND("(",作者统计[[#This Row],[作者]],1)+1,FIND(")",作者统计[[#This Row],[作者]],1)-FIND("(",作者统计[[#This Row],[作者]],1)-1),"")</f>
        <v/>
      </c>
    </row>
    <row r="1298" spans="2:10" ht="18" customHeight="1" x14ac:dyDescent="0.25">
      <c r="B1298" s="256"/>
      <c r="C1298" s="257"/>
      <c r="D1298" s="258"/>
      <c r="E1298" s="258"/>
      <c r="F1298" s="259"/>
      <c r="G1298" s="259"/>
      <c r="H1298" s="260"/>
      <c r="I1298" s="261" t="str">
        <f>IFERROR(MID(作者统计[[#This Row],[作者]],FIND("[",作者统计[[#This Row],[作者]],1)+1,FIND("]",作者统计[[#This Row],[作者]],1)-FIND("[",作者统计[[#This Row],[作者]],1)-1),"")</f>
        <v/>
      </c>
      <c r="J129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299" spans="2:10" ht="18" customHeight="1" x14ac:dyDescent="0.25">
      <c r="B1299" s="256"/>
      <c r="C1299" s="257"/>
      <c r="D1299" s="258"/>
      <c r="E1299" s="258"/>
      <c r="F1299" s="259"/>
      <c r="G1299" s="259"/>
      <c r="H1299" s="260"/>
      <c r="I1299" s="261" t="str">
        <f>IFERROR(MID(作者统计[[#This Row],[作者]],FIND("[",作者统计[[#This Row],[作者]],1)+1,FIND("]",作者统计[[#This Row],[作者]],1)-FIND("[",作者统计[[#This Row],[作者]],1)-1),"")</f>
        <v/>
      </c>
      <c r="J129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00" spans="2:10" ht="18" customHeight="1" x14ac:dyDescent="0.25">
      <c r="B1300" s="256"/>
      <c r="C1300" s="257"/>
      <c r="D1300" s="258"/>
      <c r="E1300" s="258"/>
      <c r="F1300" s="259"/>
      <c r="G1300" s="259"/>
      <c r="H1300" s="260"/>
      <c r="I1300" s="261" t="str">
        <f>IFERROR(MID(作者统计[[#This Row],[作者]],FIND("[",作者统计[[#This Row],[作者]],1)+1,FIND("]",作者统计[[#This Row],[作者]],1)-FIND("[",作者统计[[#This Row],[作者]],1)-1),"")</f>
        <v/>
      </c>
      <c r="J130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01" spans="2:10" ht="18" customHeight="1" x14ac:dyDescent="0.25">
      <c r="B1301" s="309"/>
      <c r="C1301" s="120"/>
      <c r="D1301" s="121"/>
      <c r="E1301" s="121"/>
      <c r="F1301" s="92"/>
      <c r="G1301" s="92"/>
      <c r="H1301" s="122"/>
      <c r="I1301" s="68" t="str">
        <f>IFERROR(MID(作者统计[[#This Row],[作者]],FIND("[",作者统计[[#This Row],[作者]],1)+1,FIND("]",作者统计[[#This Row],[作者]],1)-FIND("[",作者统计[[#This Row],[作者]],1)-1),"")</f>
        <v/>
      </c>
      <c r="J1301" s="68" t="str">
        <f>IFERROR(MID(作者统计[[#This Row],[作者]],FIND("(",作者统计[[#This Row],[作者]],1)+1,FIND(")",作者统计[[#This Row],[作者]],1)-FIND("(",作者统计[[#This Row],[作者]],1)-1),"")</f>
        <v/>
      </c>
    </row>
    <row r="1302" spans="2:10" ht="18" customHeight="1" x14ac:dyDescent="0.25">
      <c r="B1302" s="256"/>
      <c r="C1302" s="257"/>
      <c r="D1302" s="258"/>
      <c r="E1302" s="258"/>
      <c r="F1302" s="259"/>
      <c r="G1302" s="259"/>
      <c r="H1302" s="260"/>
      <c r="I1302" s="261" t="str">
        <f>IFERROR(MID(作者统计[[#This Row],[作者]],FIND("[",作者统计[[#This Row],[作者]],1)+1,FIND("]",作者统计[[#This Row],[作者]],1)-FIND("[",作者统计[[#This Row],[作者]],1)-1),"")</f>
        <v/>
      </c>
      <c r="J130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03" spans="2:10" ht="18" customHeight="1" x14ac:dyDescent="0.25">
      <c r="B1303" s="85"/>
      <c r="C1303" s="120"/>
      <c r="D1303" s="121"/>
      <c r="E1303" s="121"/>
      <c r="F1303" s="92"/>
      <c r="G1303" s="92"/>
      <c r="H1303" s="122"/>
      <c r="I1303" s="68" t="str">
        <f>IFERROR(MID(作者统计[[#This Row],[作者]],FIND("[",作者统计[[#This Row],[作者]],1)+1,FIND("]",作者统计[[#This Row],[作者]],1)-FIND("[",作者统计[[#This Row],[作者]],1)-1),"")</f>
        <v/>
      </c>
      <c r="J1303" s="68" t="str">
        <f>IFERROR(MID(作者统计[[#This Row],[作者]],FIND("(",作者统计[[#This Row],[作者]],1)+1,FIND(")",作者统计[[#This Row],[作者]],1)-FIND("(",作者统计[[#This Row],[作者]],1)-1),"")</f>
        <v/>
      </c>
    </row>
    <row r="1304" spans="2:10" ht="18" customHeight="1" x14ac:dyDescent="0.25">
      <c r="B1304" s="256"/>
      <c r="C1304" s="257"/>
      <c r="D1304" s="258"/>
      <c r="E1304" s="258"/>
      <c r="F1304" s="259"/>
      <c r="G1304" s="259"/>
      <c r="H1304" s="260"/>
      <c r="I1304" s="261" t="str">
        <f>IFERROR(MID(作者统计[[#This Row],[作者]],FIND("[",作者统计[[#This Row],[作者]],1)+1,FIND("]",作者统计[[#This Row],[作者]],1)-FIND("[",作者统计[[#This Row],[作者]],1)-1),"")</f>
        <v/>
      </c>
      <c r="J130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05" spans="2:10" ht="18" customHeight="1" x14ac:dyDescent="0.25">
      <c r="B1305" s="256"/>
      <c r="C1305" s="257"/>
      <c r="D1305" s="258"/>
      <c r="E1305" s="258"/>
      <c r="F1305" s="259"/>
      <c r="G1305" s="259"/>
      <c r="H1305" s="260"/>
      <c r="I1305" s="261" t="str">
        <f>IFERROR(MID(作者统计[[#This Row],[作者]],FIND("[",作者统计[[#This Row],[作者]],1)+1,FIND("]",作者统计[[#This Row],[作者]],1)-FIND("[",作者统计[[#This Row],[作者]],1)-1),"")</f>
        <v/>
      </c>
      <c r="J130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06" spans="2:10" ht="18" customHeight="1" x14ac:dyDescent="0.25">
      <c r="B1306" s="262"/>
      <c r="C1306" s="263"/>
      <c r="D1306" s="264"/>
      <c r="E1306" s="264"/>
      <c r="F1306" s="265"/>
      <c r="G1306" s="265"/>
      <c r="H1306" s="266"/>
      <c r="I1306" s="267" t="str">
        <f>IFERROR(MID(作者统计[[#This Row],[作者]],FIND("[",作者统计[[#This Row],[作者]],1)+1,FIND("]",作者统计[[#This Row],[作者]],1)-FIND("[",作者统计[[#This Row],[作者]],1)-1),"")</f>
        <v/>
      </c>
      <c r="J1306" s="267" t="str">
        <f>IFERROR(MID(作者统计[[#This Row],[作者]],FIND("(",作者统计[[#This Row],[作者]],1)+1,FIND(")",作者统计[[#This Row],[作者]],1)-FIND("(",作者统计[[#This Row],[作者]],1)-1),"")</f>
        <v/>
      </c>
    </row>
    <row r="1307" spans="2:10" ht="18" customHeight="1" x14ac:dyDescent="0.25">
      <c r="B1307" s="309"/>
      <c r="C1307" s="120"/>
      <c r="D1307" s="121"/>
      <c r="E1307" s="121"/>
      <c r="F1307" s="92"/>
      <c r="G1307" s="92"/>
      <c r="H1307" s="122"/>
      <c r="I1307" s="68"/>
      <c r="J1307" s="68"/>
    </row>
    <row r="1308" spans="2:10" ht="18" customHeight="1" x14ac:dyDescent="0.25">
      <c r="B1308" s="309"/>
      <c r="C1308" s="120"/>
      <c r="D1308" s="121"/>
      <c r="E1308" s="121"/>
      <c r="F1308" s="92"/>
      <c r="G1308" s="92"/>
      <c r="H1308" s="122"/>
      <c r="I1308" s="68" t="str">
        <f>IFERROR(MID(作者统计[[#This Row],[作者]],FIND("[",作者统计[[#This Row],[作者]],1)+1,FIND("]",作者统计[[#This Row],[作者]],1)-FIND("[",作者统计[[#This Row],[作者]],1)-1),"")</f>
        <v/>
      </c>
      <c r="J1308" s="68" t="str">
        <f>IFERROR(MID(作者统计[[#This Row],[作者]],FIND("(",作者统计[[#This Row],[作者]],1)+1,FIND(")",作者统计[[#This Row],[作者]],1)-FIND("(",作者统计[[#This Row],[作者]],1)-1),"")</f>
        <v/>
      </c>
    </row>
    <row r="1309" spans="2:10" ht="18" customHeight="1" x14ac:dyDescent="0.25">
      <c r="B1309" s="256"/>
      <c r="C1309" s="257"/>
      <c r="D1309" s="258"/>
      <c r="E1309" s="258"/>
      <c r="F1309" s="259"/>
      <c r="G1309" s="259"/>
      <c r="H1309" s="260"/>
      <c r="I1309" s="261" t="str">
        <f>IFERROR(MID(作者统计[[#This Row],[作者]],FIND("[",作者统计[[#This Row],[作者]],1)+1,FIND("]",作者统计[[#This Row],[作者]],1)-FIND("[",作者统计[[#This Row],[作者]],1)-1),"")</f>
        <v/>
      </c>
      <c r="J130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10" spans="2:10" ht="18" customHeight="1" x14ac:dyDescent="0.25">
      <c r="B1310" s="256"/>
      <c r="C1310" s="257"/>
      <c r="D1310" s="258"/>
      <c r="E1310" s="258"/>
      <c r="F1310" s="259"/>
      <c r="G1310" s="259"/>
      <c r="H1310" s="260"/>
      <c r="I1310" s="261" t="str">
        <f>IFERROR(MID(作者统计[[#This Row],[作者]],FIND("[",作者统计[[#This Row],[作者]],1)+1,FIND("]",作者统计[[#This Row],[作者]],1)-FIND("[",作者统计[[#This Row],[作者]],1)-1),"")</f>
        <v/>
      </c>
      <c r="J131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11" spans="2:10" ht="18" customHeight="1" x14ac:dyDescent="0.25">
      <c r="B1311" s="85"/>
      <c r="C1311" s="120"/>
      <c r="D1311" s="121"/>
      <c r="E1311" s="121"/>
      <c r="F1311" s="92"/>
      <c r="G1311" s="92"/>
      <c r="H1311" s="122"/>
      <c r="I1311" s="68" t="str">
        <f>IFERROR(MID(作者统计[[#This Row],[作者]],FIND("[",作者统计[[#This Row],[作者]],1)+1,FIND("]",作者统计[[#This Row],[作者]],1)-FIND("[",作者统计[[#This Row],[作者]],1)-1),"")</f>
        <v/>
      </c>
      <c r="J1311" s="68" t="str">
        <f>IFERROR(MID(作者统计[[#This Row],[作者]],FIND("(",作者统计[[#This Row],[作者]],1)+1,FIND(")",作者统计[[#This Row],[作者]],1)-FIND("(",作者统计[[#This Row],[作者]],1)-1),"")</f>
        <v/>
      </c>
    </row>
    <row r="1312" spans="2:10" ht="18" customHeight="1" x14ac:dyDescent="0.25">
      <c r="B1312" s="85"/>
      <c r="C1312" s="120"/>
      <c r="D1312" s="121"/>
      <c r="E1312" s="121"/>
      <c r="F1312" s="92"/>
      <c r="G1312" s="92"/>
      <c r="H1312" s="122"/>
      <c r="I1312" s="68" t="str">
        <f>IFERROR(MID(作者统计[[#This Row],[作者]],FIND("[",作者统计[[#This Row],[作者]],1)+1,FIND("]",作者统计[[#This Row],[作者]],1)-FIND("[",作者统计[[#This Row],[作者]],1)-1),"")</f>
        <v/>
      </c>
      <c r="J1312" s="68" t="str">
        <f>IFERROR(MID(作者统计[[#This Row],[作者]],FIND("(",作者统计[[#This Row],[作者]],1)+1,FIND(")",作者统计[[#This Row],[作者]],1)-FIND("(",作者统计[[#This Row],[作者]],1)-1),"")</f>
        <v/>
      </c>
    </row>
    <row r="1313" spans="2:10" ht="18" customHeight="1" x14ac:dyDescent="0.25">
      <c r="B1313" s="309"/>
      <c r="C1313" s="120"/>
      <c r="D1313" s="121"/>
      <c r="E1313" s="121"/>
      <c r="F1313" s="92"/>
      <c r="G1313" s="92"/>
      <c r="H1313" s="122"/>
      <c r="I1313" s="68" t="str">
        <f>IFERROR(MID(作者统计[[#This Row],[作者]],FIND("[",作者统计[[#This Row],[作者]],1)+1,FIND("]",作者统计[[#This Row],[作者]],1)-FIND("[",作者统计[[#This Row],[作者]],1)-1),"")</f>
        <v/>
      </c>
      <c r="J1313" s="68" t="str">
        <f>IFERROR(MID(作者统计[[#This Row],[作者]],FIND("(",作者统计[[#This Row],[作者]],1)+1,FIND(")",作者统计[[#This Row],[作者]],1)-FIND("(",作者统计[[#This Row],[作者]],1)-1),"")</f>
        <v/>
      </c>
    </row>
    <row r="1314" spans="2:10" ht="18" customHeight="1" x14ac:dyDescent="0.25">
      <c r="B1314" s="309"/>
      <c r="C1314" s="120"/>
      <c r="D1314" s="121"/>
      <c r="E1314" s="121"/>
      <c r="F1314" s="92"/>
      <c r="G1314" s="92"/>
      <c r="H1314" s="122"/>
      <c r="I1314" s="68" t="str">
        <f>IFERROR(MID(作者统计[[#This Row],[作者]],FIND("[",作者统计[[#This Row],[作者]],1)+1,FIND("]",作者统计[[#This Row],[作者]],1)-FIND("[",作者统计[[#This Row],[作者]],1)-1),"")</f>
        <v/>
      </c>
      <c r="J1314" s="68" t="str">
        <f>IFERROR(MID(作者统计[[#This Row],[作者]],FIND("(",作者统计[[#This Row],[作者]],1)+1,FIND(")",作者统计[[#This Row],[作者]],1)-FIND("(",作者统计[[#This Row],[作者]],1)-1),"")</f>
        <v/>
      </c>
    </row>
    <row r="1315" spans="2:10" ht="18" customHeight="1" x14ac:dyDescent="0.25">
      <c r="B1315" s="256"/>
      <c r="C1315" s="257"/>
      <c r="D1315" s="258"/>
      <c r="E1315" s="258"/>
      <c r="F1315" s="259"/>
      <c r="G1315" s="259"/>
      <c r="H1315" s="260"/>
      <c r="I1315" s="261" t="str">
        <f>IFERROR(MID(作者统计[[#This Row],[作者]],FIND("[",作者统计[[#This Row],[作者]],1)+1,FIND("]",作者统计[[#This Row],[作者]],1)-FIND("[",作者统计[[#This Row],[作者]],1)-1),"")</f>
        <v/>
      </c>
      <c r="J131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16" spans="2:10" ht="18" customHeight="1" x14ac:dyDescent="0.25">
      <c r="B1316" s="309"/>
      <c r="C1316" s="120"/>
      <c r="D1316" s="121"/>
      <c r="E1316" s="121"/>
      <c r="F1316" s="92"/>
      <c r="G1316" s="92"/>
      <c r="H1316" s="122"/>
      <c r="I1316" s="68" t="str">
        <f>IFERROR(MID(作者统计[[#This Row],[作者]],FIND("[",作者统计[[#This Row],[作者]],1)+1,FIND("]",作者统计[[#This Row],[作者]],1)-FIND("[",作者统计[[#This Row],[作者]],1)-1),"")</f>
        <v/>
      </c>
      <c r="J1316" s="68" t="str">
        <f>IFERROR(MID(作者统计[[#This Row],[作者]],FIND("(",作者统计[[#This Row],[作者]],1)+1,FIND(")",作者统计[[#This Row],[作者]],1)-FIND("(",作者统计[[#This Row],[作者]],1)-1),"")</f>
        <v/>
      </c>
    </row>
    <row r="1317" spans="2:10" ht="18" customHeight="1" x14ac:dyDescent="0.25">
      <c r="B1317" s="85"/>
      <c r="C1317" s="120"/>
      <c r="D1317" s="121"/>
      <c r="E1317" s="121"/>
      <c r="F1317" s="92"/>
      <c r="G1317" s="92"/>
      <c r="H1317" s="122"/>
      <c r="I1317" s="68" t="str">
        <f>IFERROR(MID(作者统计[[#This Row],[作者]],FIND("[",作者统计[[#This Row],[作者]],1)+1,FIND("]",作者统计[[#This Row],[作者]],1)-FIND("[",作者统计[[#This Row],[作者]],1)-1),"")</f>
        <v/>
      </c>
      <c r="J1317" s="68" t="str">
        <f>IFERROR(MID(作者统计[[#This Row],[作者]],FIND("(",作者统计[[#This Row],[作者]],1)+1,FIND(")",作者统计[[#This Row],[作者]],1)-FIND("(",作者统计[[#This Row],[作者]],1)-1),"")</f>
        <v/>
      </c>
    </row>
    <row r="1318" spans="2:10" ht="18" customHeight="1" x14ac:dyDescent="0.25">
      <c r="B1318" s="309"/>
      <c r="C1318" s="120"/>
      <c r="D1318" s="121"/>
      <c r="E1318" s="121"/>
      <c r="F1318" s="92"/>
      <c r="G1318" s="92"/>
      <c r="H1318" s="122"/>
      <c r="I1318" s="68" t="str">
        <f>IFERROR(MID(作者统计[[#This Row],[作者]],FIND("[",作者统计[[#This Row],[作者]],1)+1,FIND("]",作者统计[[#This Row],[作者]],1)-FIND("[",作者统计[[#This Row],[作者]],1)-1),"")</f>
        <v/>
      </c>
      <c r="J1318" s="68" t="str">
        <f>IFERROR(MID(作者统计[[#This Row],[作者]],FIND("(",作者统计[[#This Row],[作者]],1)+1,FIND(")",作者统计[[#This Row],[作者]],1)-FIND("(",作者统计[[#This Row],[作者]],1)-1),"")</f>
        <v/>
      </c>
    </row>
    <row r="1319" spans="2:10" ht="18" customHeight="1" x14ac:dyDescent="0.25">
      <c r="B1319" s="256"/>
      <c r="C1319" s="257"/>
      <c r="D1319" s="258"/>
      <c r="E1319" s="258"/>
      <c r="F1319" s="259"/>
      <c r="G1319" s="259"/>
      <c r="H1319" s="260"/>
      <c r="I1319" s="261" t="str">
        <f>IFERROR(MID(作者统计[[#This Row],[作者]],FIND("[",作者统计[[#This Row],[作者]],1)+1,FIND("]",作者统计[[#This Row],[作者]],1)-FIND("[",作者统计[[#This Row],[作者]],1)-1),"")</f>
        <v/>
      </c>
      <c r="J131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20" spans="2:10" ht="18" customHeight="1" x14ac:dyDescent="0.25">
      <c r="B1320" s="85"/>
      <c r="C1320" s="120"/>
      <c r="D1320" s="121"/>
      <c r="E1320" s="121"/>
      <c r="F1320" s="92"/>
      <c r="G1320" s="92"/>
      <c r="H1320" s="122"/>
      <c r="I1320" s="68" t="str">
        <f>IFERROR(MID(作者统计[[#This Row],[作者]],FIND("[",作者统计[[#This Row],[作者]],1)+1,FIND("]",作者统计[[#This Row],[作者]],1)-FIND("[",作者统计[[#This Row],[作者]],1)-1),"")</f>
        <v/>
      </c>
      <c r="J1320" s="68" t="str">
        <f>IFERROR(MID(作者统计[[#This Row],[作者]],FIND("(",作者统计[[#This Row],[作者]],1)+1,FIND(")",作者统计[[#This Row],[作者]],1)-FIND("(",作者统计[[#This Row],[作者]],1)-1),"")</f>
        <v/>
      </c>
    </row>
    <row r="1321" spans="2:10" ht="18" customHeight="1" x14ac:dyDescent="0.25">
      <c r="B1321" s="85"/>
      <c r="C1321" s="120"/>
      <c r="D1321" s="121"/>
      <c r="E1321" s="121"/>
      <c r="F1321" s="92"/>
      <c r="G1321" s="92"/>
      <c r="H1321" s="122"/>
      <c r="I1321" s="68" t="str">
        <f>IFERROR(MID(作者统计[[#This Row],[作者]],FIND("[",作者统计[[#This Row],[作者]],1)+1,FIND("]",作者统计[[#This Row],[作者]],1)-FIND("[",作者统计[[#This Row],[作者]],1)-1),"")</f>
        <v/>
      </c>
      <c r="J1321" s="68" t="str">
        <f>IFERROR(MID(作者统计[[#This Row],[作者]],FIND("(",作者统计[[#This Row],[作者]],1)+1,FIND(")",作者统计[[#This Row],[作者]],1)-FIND("(",作者统计[[#This Row],[作者]],1)-1),"")</f>
        <v/>
      </c>
    </row>
    <row r="1322" spans="2:10" ht="18" customHeight="1" x14ac:dyDescent="0.25">
      <c r="B1322" s="85"/>
      <c r="C1322" s="120"/>
      <c r="D1322" s="121"/>
      <c r="E1322" s="121"/>
      <c r="F1322" s="92"/>
      <c r="G1322" s="92"/>
      <c r="H1322" s="122"/>
      <c r="I1322" s="68" t="str">
        <f>IFERROR(MID(作者统计[[#This Row],[作者]],FIND("[",作者统计[[#This Row],[作者]],1)+1,FIND("]",作者统计[[#This Row],[作者]],1)-FIND("[",作者统计[[#This Row],[作者]],1)-1),"")</f>
        <v/>
      </c>
      <c r="J1322" s="68" t="str">
        <f>IFERROR(MID(作者统计[[#This Row],[作者]],FIND("(",作者统计[[#This Row],[作者]],1)+1,FIND(")",作者统计[[#This Row],[作者]],1)-FIND("(",作者统计[[#This Row],[作者]],1)-1),"")</f>
        <v/>
      </c>
    </row>
    <row r="1323" spans="2:10" ht="18" customHeight="1" x14ac:dyDescent="0.25">
      <c r="B1323" s="85"/>
      <c r="C1323" s="120"/>
      <c r="D1323" s="121"/>
      <c r="E1323" s="121"/>
      <c r="F1323" s="92"/>
      <c r="G1323" s="92"/>
      <c r="H1323" s="122"/>
      <c r="I1323" s="68" t="str">
        <f>IFERROR(MID(作者统计[[#This Row],[作者]],FIND("[",作者统计[[#This Row],[作者]],1)+1,FIND("]",作者统计[[#This Row],[作者]],1)-FIND("[",作者统计[[#This Row],[作者]],1)-1),"")</f>
        <v/>
      </c>
      <c r="J1323" s="68" t="str">
        <f>IFERROR(MID(作者统计[[#This Row],[作者]],FIND("(",作者统计[[#This Row],[作者]],1)+1,FIND(")",作者统计[[#This Row],[作者]],1)-FIND("(",作者统计[[#This Row],[作者]],1)-1),"")</f>
        <v/>
      </c>
    </row>
    <row r="1324" spans="2:10" ht="18" customHeight="1" x14ac:dyDescent="0.25">
      <c r="B1324" s="309"/>
      <c r="C1324" s="120"/>
      <c r="D1324" s="121"/>
      <c r="E1324" s="121"/>
      <c r="F1324" s="92"/>
      <c r="G1324" s="92"/>
      <c r="H1324" s="122"/>
      <c r="I1324" s="68" t="str">
        <f>IFERROR(MID(作者统计[[#This Row],[作者]],FIND("[",作者统计[[#This Row],[作者]],1)+1,FIND("]",作者统计[[#This Row],[作者]],1)-FIND("[",作者统计[[#This Row],[作者]],1)-1),"")</f>
        <v/>
      </c>
      <c r="J1324" s="68" t="str">
        <f>IFERROR(MID(作者统计[[#This Row],[作者]],FIND("(",作者统计[[#This Row],[作者]],1)+1,FIND(")",作者统计[[#This Row],[作者]],1)-FIND("(",作者统计[[#This Row],[作者]],1)-1),"")</f>
        <v/>
      </c>
    </row>
    <row r="1325" spans="2:10" ht="18" customHeight="1" x14ac:dyDescent="0.25">
      <c r="B1325" s="85"/>
      <c r="C1325" s="120"/>
      <c r="D1325" s="121"/>
      <c r="E1325" s="121"/>
      <c r="F1325" s="92"/>
      <c r="G1325" s="92"/>
      <c r="H1325" s="122"/>
      <c r="I1325" s="68" t="str">
        <f>IFERROR(MID(作者统计[[#This Row],[作者]],FIND("[",作者统计[[#This Row],[作者]],1)+1,FIND("]",作者统计[[#This Row],[作者]],1)-FIND("[",作者统计[[#This Row],[作者]],1)-1),"")</f>
        <v/>
      </c>
      <c r="J1325" s="68" t="str">
        <f>IFERROR(MID(作者统计[[#This Row],[作者]],FIND("(",作者统计[[#This Row],[作者]],1)+1,FIND(")",作者统计[[#This Row],[作者]],1)-FIND("(",作者统计[[#This Row],[作者]],1)-1),"")</f>
        <v/>
      </c>
    </row>
    <row r="1326" spans="2:10" ht="18" customHeight="1" x14ac:dyDescent="0.25">
      <c r="B1326" s="256"/>
      <c r="C1326" s="257"/>
      <c r="D1326" s="258"/>
      <c r="E1326" s="258"/>
      <c r="F1326" s="259"/>
      <c r="G1326" s="259"/>
      <c r="H1326" s="260"/>
      <c r="I1326" s="261" t="str">
        <f>IFERROR(MID(作者统计[[#This Row],[作者]],FIND("[",作者统计[[#This Row],[作者]],1)+1,FIND("]",作者统计[[#This Row],[作者]],1)-FIND("[",作者统计[[#This Row],[作者]],1)-1),"")</f>
        <v/>
      </c>
      <c r="J132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27" spans="2:10" ht="18" customHeight="1" x14ac:dyDescent="0.25">
      <c r="B1327" s="256"/>
      <c r="C1327" s="257"/>
      <c r="D1327" s="258"/>
      <c r="E1327" s="258"/>
      <c r="F1327" s="259"/>
      <c r="G1327" s="259"/>
      <c r="H1327" s="260"/>
      <c r="I1327" s="261" t="str">
        <f>IFERROR(MID(作者统计[[#This Row],[作者]],FIND("[",作者统计[[#This Row],[作者]],1)+1,FIND("]",作者统计[[#This Row],[作者]],1)-FIND("[",作者统计[[#This Row],[作者]],1)-1),"")</f>
        <v/>
      </c>
      <c r="J132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28" spans="2:10" ht="18" customHeight="1" x14ac:dyDescent="0.25">
      <c r="B1328" s="309"/>
      <c r="C1328" s="120"/>
      <c r="D1328" s="121"/>
      <c r="E1328" s="121"/>
      <c r="F1328" s="92"/>
      <c r="G1328" s="92"/>
      <c r="H1328" s="122"/>
      <c r="I1328" s="68" t="str">
        <f>IFERROR(MID(作者统计[[#This Row],[作者]],FIND("[",作者统计[[#This Row],[作者]],1)+1,FIND("]",作者统计[[#This Row],[作者]],1)-FIND("[",作者统计[[#This Row],[作者]],1)-1),"")</f>
        <v/>
      </c>
      <c r="J1328" s="68" t="str">
        <f>IFERROR(MID(作者统计[[#This Row],[作者]],FIND("(",作者统计[[#This Row],[作者]],1)+1,FIND(")",作者统计[[#This Row],[作者]],1)-FIND("(",作者统计[[#This Row],[作者]],1)-1),"")</f>
        <v/>
      </c>
    </row>
    <row r="1329" spans="2:10" ht="18" customHeight="1" x14ac:dyDescent="0.25">
      <c r="B1329" s="309"/>
      <c r="C1329" s="120"/>
      <c r="D1329" s="121"/>
      <c r="E1329" s="121"/>
      <c r="F1329" s="92"/>
      <c r="G1329" s="92"/>
      <c r="H1329" s="122"/>
      <c r="I1329" s="68" t="str">
        <f>IFERROR(MID(作者统计[[#This Row],[作者]],FIND("[",作者统计[[#This Row],[作者]],1)+1,FIND("]",作者统计[[#This Row],[作者]],1)-FIND("[",作者统计[[#This Row],[作者]],1)-1),"")</f>
        <v/>
      </c>
      <c r="J1329" s="68" t="str">
        <f>IFERROR(MID(作者统计[[#This Row],[作者]],FIND("(",作者统计[[#This Row],[作者]],1)+1,FIND(")",作者统计[[#This Row],[作者]],1)-FIND("(",作者统计[[#This Row],[作者]],1)-1),"")</f>
        <v/>
      </c>
    </row>
    <row r="1330" spans="2:10" ht="18" customHeight="1" x14ac:dyDescent="0.25">
      <c r="B1330" s="309"/>
      <c r="C1330" s="120"/>
      <c r="D1330" s="121"/>
      <c r="E1330" s="121"/>
      <c r="F1330" s="92"/>
      <c r="G1330" s="92"/>
      <c r="H1330" s="122"/>
      <c r="I1330" s="68" t="str">
        <f>IFERROR(MID(作者统计[[#This Row],[作者]],FIND("[",作者统计[[#This Row],[作者]],1)+1,FIND("]",作者统计[[#This Row],[作者]],1)-FIND("[",作者统计[[#This Row],[作者]],1)-1),"")</f>
        <v/>
      </c>
      <c r="J1330" s="68" t="str">
        <f>IFERROR(MID(作者统计[[#This Row],[作者]],FIND("(",作者统计[[#This Row],[作者]],1)+1,FIND(")",作者统计[[#This Row],[作者]],1)-FIND("(",作者统计[[#This Row],[作者]],1)-1),"")</f>
        <v/>
      </c>
    </row>
    <row r="1331" spans="2:10" ht="18" customHeight="1" x14ac:dyDescent="0.25">
      <c r="B1331" s="85"/>
      <c r="C1331" s="120"/>
      <c r="D1331" s="121"/>
      <c r="E1331" s="121"/>
      <c r="F1331" s="92"/>
      <c r="G1331" s="92"/>
      <c r="H1331" s="122"/>
      <c r="I1331" s="68" t="str">
        <f>IFERROR(MID(作者统计[[#This Row],[作者]],FIND("[",作者统计[[#This Row],[作者]],1)+1,FIND("]",作者统计[[#This Row],[作者]],1)-FIND("[",作者统计[[#This Row],[作者]],1)-1),"")</f>
        <v/>
      </c>
      <c r="J1331" s="68" t="str">
        <f>IFERROR(MID(作者统计[[#This Row],[作者]],FIND("(",作者统计[[#This Row],[作者]],1)+1,FIND(")",作者统计[[#This Row],[作者]],1)-FIND("(",作者统计[[#This Row],[作者]],1)-1),"")</f>
        <v/>
      </c>
    </row>
    <row r="1332" spans="2:10" ht="18" customHeight="1" x14ac:dyDescent="0.25">
      <c r="B1332" s="309"/>
      <c r="C1332" s="120"/>
      <c r="D1332" s="121"/>
      <c r="E1332" s="121"/>
      <c r="F1332" s="92"/>
      <c r="G1332" s="92"/>
      <c r="H1332" s="122"/>
      <c r="I1332" s="68" t="str">
        <f>IFERROR(MID(作者统计[[#This Row],[作者]],FIND("[",作者统计[[#This Row],[作者]],1)+1,FIND("]",作者统计[[#This Row],[作者]],1)-FIND("[",作者统计[[#This Row],[作者]],1)-1),"")</f>
        <v/>
      </c>
      <c r="J1332" s="68" t="str">
        <f>IFERROR(MID(作者统计[[#This Row],[作者]],FIND("(",作者统计[[#This Row],[作者]],1)+1,FIND(")",作者统计[[#This Row],[作者]],1)-FIND("(",作者统计[[#This Row],[作者]],1)-1),"")</f>
        <v/>
      </c>
    </row>
    <row r="1333" spans="2:10" ht="18" customHeight="1" x14ac:dyDescent="0.25">
      <c r="B1333" s="85"/>
      <c r="C1333" s="120"/>
      <c r="D1333" s="121"/>
      <c r="E1333" s="121"/>
      <c r="F1333" s="92"/>
      <c r="G1333" s="92"/>
      <c r="H1333" s="122"/>
      <c r="I1333" s="68" t="str">
        <f>IFERROR(MID(作者统计[[#This Row],[作者]],FIND("[",作者统计[[#This Row],[作者]],1)+1,FIND("]",作者统计[[#This Row],[作者]],1)-FIND("[",作者统计[[#This Row],[作者]],1)-1),"")</f>
        <v/>
      </c>
      <c r="J1333" s="68" t="str">
        <f>IFERROR(MID(作者统计[[#This Row],[作者]],FIND("(",作者统计[[#This Row],[作者]],1)+1,FIND(")",作者统计[[#This Row],[作者]],1)-FIND("(",作者统计[[#This Row],[作者]],1)-1),"")</f>
        <v/>
      </c>
    </row>
    <row r="1334" spans="2:10" ht="18" customHeight="1" x14ac:dyDescent="0.25">
      <c r="B1334" s="309"/>
      <c r="C1334" s="120"/>
      <c r="D1334" s="121"/>
      <c r="E1334" s="121"/>
      <c r="F1334" s="92"/>
      <c r="G1334" s="92"/>
      <c r="H1334" s="122"/>
      <c r="I1334" s="68" t="str">
        <f>IFERROR(MID(作者统计[[#This Row],[作者]],FIND("[",作者统计[[#This Row],[作者]],1)+1,FIND("]",作者统计[[#This Row],[作者]],1)-FIND("[",作者统计[[#This Row],[作者]],1)-1),"")</f>
        <v/>
      </c>
      <c r="J1334" s="68" t="str">
        <f>IFERROR(MID(作者统计[[#This Row],[作者]],FIND("(",作者统计[[#This Row],[作者]],1)+1,FIND(")",作者统计[[#This Row],[作者]],1)-FIND("(",作者统计[[#This Row],[作者]],1)-1),"")</f>
        <v/>
      </c>
    </row>
    <row r="1335" spans="2:10" ht="18" customHeight="1" x14ac:dyDescent="0.25">
      <c r="B1335" s="256"/>
      <c r="C1335" s="257"/>
      <c r="D1335" s="258"/>
      <c r="E1335" s="258"/>
      <c r="F1335" s="259"/>
      <c r="G1335" s="259"/>
      <c r="H1335" s="260"/>
      <c r="I1335" s="261" t="str">
        <f>IFERROR(MID(作者统计[[#This Row],[作者]],FIND("[",作者统计[[#This Row],[作者]],1)+1,FIND("]",作者统计[[#This Row],[作者]],1)-FIND("[",作者统计[[#This Row],[作者]],1)-1),"")</f>
        <v/>
      </c>
      <c r="J133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36" spans="2:10" ht="18" customHeight="1" x14ac:dyDescent="0.25">
      <c r="B1336" s="256"/>
      <c r="C1336" s="257"/>
      <c r="D1336" s="258"/>
      <c r="E1336" s="258"/>
      <c r="F1336" s="259"/>
      <c r="G1336" s="259"/>
      <c r="H1336" s="260"/>
      <c r="I1336" s="261" t="str">
        <f>IFERROR(MID(作者统计[[#This Row],[作者]],FIND("[",作者统计[[#This Row],[作者]],1)+1,FIND("]",作者统计[[#This Row],[作者]],1)-FIND("[",作者统计[[#This Row],[作者]],1)-1),"")</f>
        <v/>
      </c>
      <c r="J133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37" spans="2:10" ht="18" customHeight="1" x14ac:dyDescent="0.25">
      <c r="B1337" s="256"/>
      <c r="C1337" s="257"/>
      <c r="D1337" s="258"/>
      <c r="E1337" s="258"/>
      <c r="F1337" s="259"/>
      <c r="G1337" s="259"/>
      <c r="H1337" s="260"/>
      <c r="I1337" s="261" t="str">
        <f>IFERROR(MID(作者统计[[#This Row],[作者]],FIND("[",作者统计[[#This Row],[作者]],1)+1,FIND("]",作者统计[[#This Row],[作者]],1)-FIND("[",作者统计[[#This Row],[作者]],1)-1),"")</f>
        <v/>
      </c>
      <c r="J133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38" spans="2:10" ht="18" customHeight="1" x14ac:dyDescent="0.25">
      <c r="B1338" s="85"/>
      <c r="C1338" s="120"/>
      <c r="D1338" s="121"/>
      <c r="E1338" s="121"/>
      <c r="F1338" s="92"/>
      <c r="G1338" s="92"/>
      <c r="H1338" s="122"/>
      <c r="I1338" s="68" t="str">
        <f>IFERROR(MID(作者统计[[#This Row],[作者]],FIND("[",作者统计[[#This Row],[作者]],1)+1,FIND("]",作者统计[[#This Row],[作者]],1)-FIND("[",作者统计[[#This Row],[作者]],1)-1),"")</f>
        <v/>
      </c>
      <c r="J1338" s="68" t="str">
        <f>IFERROR(MID(作者统计[[#This Row],[作者]],FIND("(",作者统计[[#This Row],[作者]],1)+1,FIND(")",作者统计[[#This Row],[作者]],1)-FIND("(",作者统计[[#This Row],[作者]],1)-1),"")</f>
        <v/>
      </c>
    </row>
    <row r="1339" spans="2:10" ht="18" customHeight="1" x14ac:dyDescent="0.25">
      <c r="B1339" s="256"/>
      <c r="C1339" s="257"/>
      <c r="D1339" s="258"/>
      <c r="E1339" s="258"/>
      <c r="F1339" s="259"/>
      <c r="G1339" s="259"/>
      <c r="H1339" s="260"/>
      <c r="I1339" s="261" t="str">
        <f>IFERROR(MID(作者统计[[#This Row],[作者]],FIND("[",作者统计[[#This Row],[作者]],1)+1,FIND("]",作者统计[[#This Row],[作者]],1)-FIND("[",作者统计[[#This Row],[作者]],1)-1),"")</f>
        <v/>
      </c>
      <c r="J133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40" spans="2:10" ht="18" customHeight="1" x14ac:dyDescent="0.25">
      <c r="B1340" s="256"/>
      <c r="C1340" s="257"/>
      <c r="D1340" s="258"/>
      <c r="E1340" s="258"/>
      <c r="F1340" s="259"/>
      <c r="G1340" s="259"/>
      <c r="H1340" s="260"/>
      <c r="I1340" s="261" t="str">
        <f>IFERROR(MID(作者统计[[#This Row],[作者]],FIND("[",作者统计[[#This Row],[作者]],1)+1,FIND("]",作者统计[[#This Row],[作者]],1)-FIND("[",作者统计[[#This Row],[作者]],1)-1),"")</f>
        <v/>
      </c>
      <c r="J134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41" spans="2:10" ht="18" customHeight="1" x14ac:dyDescent="0.25">
      <c r="B1341" s="309"/>
      <c r="C1341" s="120"/>
      <c r="D1341" s="121"/>
      <c r="E1341" s="121"/>
      <c r="F1341" s="92"/>
      <c r="G1341" s="92"/>
      <c r="H1341" s="122"/>
      <c r="I1341" s="68" t="str">
        <f>IFERROR(MID(作者统计[[#This Row],[作者]],FIND("[",作者统计[[#This Row],[作者]],1)+1,FIND("]",作者统计[[#This Row],[作者]],1)-FIND("[",作者统计[[#This Row],[作者]],1)-1),"")</f>
        <v/>
      </c>
      <c r="J1341" s="68" t="str">
        <f>IFERROR(MID(作者统计[[#This Row],[作者]],FIND("(",作者统计[[#This Row],[作者]],1)+1,FIND(")",作者统计[[#This Row],[作者]],1)-FIND("(",作者统计[[#This Row],[作者]],1)-1),"")</f>
        <v/>
      </c>
    </row>
    <row r="1342" spans="2:10" ht="18" customHeight="1" x14ac:dyDescent="0.25">
      <c r="B1342" s="256"/>
      <c r="C1342" s="257"/>
      <c r="D1342" s="258"/>
      <c r="E1342" s="258"/>
      <c r="F1342" s="259"/>
      <c r="G1342" s="259"/>
      <c r="H1342" s="260"/>
      <c r="I1342" s="261" t="str">
        <f>IFERROR(MID(作者统计[[#This Row],[作者]],FIND("[",作者统计[[#This Row],[作者]],1)+1,FIND("]",作者统计[[#This Row],[作者]],1)-FIND("[",作者统计[[#This Row],[作者]],1)-1),"")</f>
        <v/>
      </c>
      <c r="J134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43" spans="2:10" ht="18" customHeight="1" x14ac:dyDescent="0.25">
      <c r="B1343" s="309"/>
      <c r="C1343" s="120"/>
      <c r="D1343" s="121"/>
      <c r="E1343" s="121"/>
      <c r="F1343" s="92"/>
      <c r="G1343" s="92"/>
      <c r="H1343" s="122"/>
      <c r="I1343" s="68" t="str">
        <f>IFERROR(MID(作者统计[[#This Row],[作者]],FIND("[",作者统计[[#This Row],[作者]],1)+1,FIND("]",作者统计[[#This Row],[作者]],1)-FIND("[",作者统计[[#This Row],[作者]],1)-1),"")</f>
        <v/>
      </c>
      <c r="J1343" s="68" t="str">
        <f>IFERROR(MID(作者统计[[#This Row],[作者]],FIND("(",作者统计[[#This Row],[作者]],1)+1,FIND(")",作者统计[[#This Row],[作者]],1)-FIND("(",作者统计[[#This Row],[作者]],1)-1),"")</f>
        <v/>
      </c>
    </row>
    <row r="1344" spans="2:10" ht="18" customHeight="1" x14ac:dyDescent="0.25">
      <c r="B1344" s="85"/>
      <c r="C1344" s="120"/>
      <c r="D1344" s="121"/>
      <c r="E1344" s="121"/>
      <c r="F1344" s="92"/>
      <c r="G1344" s="92"/>
      <c r="H1344" s="122"/>
      <c r="I1344" s="68" t="str">
        <f>IFERROR(MID(作者统计[[#This Row],[作者]],FIND("[",作者统计[[#This Row],[作者]],1)+1,FIND("]",作者统计[[#This Row],[作者]],1)-FIND("[",作者统计[[#This Row],[作者]],1)-1),"")</f>
        <v/>
      </c>
      <c r="J1344" s="68" t="str">
        <f>IFERROR(MID(作者统计[[#This Row],[作者]],FIND("(",作者统计[[#This Row],[作者]],1)+1,FIND(")",作者统计[[#This Row],[作者]],1)-FIND("(",作者统计[[#This Row],[作者]],1)-1),"")</f>
        <v/>
      </c>
    </row>
    <row r="1345" spans="2:10" ht="18" customHeight="1" x14ac:dyDescent="0.25">
      <c r="B1345" s="85"/>
      <c r="C1345" s="120"/>
      <c r="D1345" s="121"/>
      <c r="E1345" s="121"/>
      <c r="F1345" s="92"/>
      <c r="G1345" s="92"/>
      <c r="H1345" s="122"/>
      <c r="I1345" s="68" t="str">
        <f>IFERROR(MID(作者统计[[#This Row],[作者]],FIND("[",作者统计[[#This Row],[作者]],1)+1,FIND("]",作者统计[[#This Row],[作者]],1)-FIND("[",作者统计[[#This Row],[作者]],1)-1),"")</f>
        <v/>
      </c>
      <c r="J1345" s="68" t="str">
        <f>IFERROR(MID(作者统计[[#This Row],[作者]],FIND("(",作者统计[[#This Row],[作者]],1)+1,FIND(")",作者统计[[#This Row],[作者]],1)-FIND("(",作者统计[[#This Row],[作者]],1)-1),"")</f>
        <v/>
      </c>
    </row>
    <row r="1346" spans="2:10" ht="18" customHeight="1" x14ac:dyDescent="0.25">
      <c r="B1346" s="309"/>
      <c r="C1346" s="120"/>
      <c r="D1346" s="121"/>
      <c r="E1346" s="121"/>
      <c r="F1346" s="92"/>
      <c r="G1346" s="92"/>
      <c r="H1346" s="122"/>
      <c r="I1346" s="68" t="str">
        <f>IFERROR(MID(作者统计[[#This Row],[作者]],FIND("[",作者统计[[#This Row],[作者]],1)+1,FIND("]",作者统计[[#This Row],[作者]],1)-FIND("[",作者统计[[#This Row],[作者]],1)-1),"")</f>
        <v/>
      </c>
      <c r="J1346" s="68" t="str">
        <f>IFERROR(MID(作者统计[[#This Row],[作者]],FIND("(",作者统计[[#This Row],[作者]],1)+1,FIND(")",作者统计[[#This Row],[作者]],1)-FIND("(",作者统计[[#This Row],[作者]],1)-1),"")</f>
        <v/>
      </c>
    </row>
    <row r="1347" spans="2:10" ht="18" customHeight="1" x14ac:dyDescent="0.25">
      <c r="B1347" s="309"/>
      <c r="C1347" s="120"/>
      <c r="D1347" s="121"/>
      <c r="E1347" s="121"/>
      <c r="F1347" s="92"/>
      <c r="G1347" s="92"/>
      <c r="H1347" s="122"/>
      <c r="I1347" s="68" t="str">
        <f>IFERROR(MID(作者统计[[#This Row],[作者]],FIND("[",作者统计[[#This Row],[作者]],1)+1,FIND("]",作者统计[[#This Row],[作者]],1)-FIND("[",作者统计[[#This Row],[作者]],1)-1),"")</f>
        <v/>
      </c>
      <c r="J1347" s="68" t="str">
        <f>IFERROR(MID(作者统计[[#This Row],[作者]],FIND("(",作者统计[[#This Row],[作者]],1)+1,FIND(")",作者统计[[#This Row],[作者]],1)-FIND("(",作者统计[[#This Row],[作者]],1)-1),"")</f>
        <v/>
      </c>
    </row>
    <row r="1348" spans="2:10" ht="18" customHeight="1" x14ac:dyDescent="0.25">
      <c r="B1348" s="256"/>
      <c r="C1348" s="257"/>
      <c r="D1348" s="258"/>
      <c r="E1348" s="258"/>
      <c r="F1348" s="259"/>
      <c r="G1348" s="259"/>
      <c r="H1348" s="260"/>
      <c r="I1348" s="261" t="str">
        <f>IFERROR(MID(作者统计[[#This Row],[作者]],FIND("[",作者统计[[#This Row],[作者]],1)+1,FIND("]",作者统计[[#This Row],[作者]],1)-FIND("[",作者统计[[#This Row],[作者]],1)-1),"")</f>
        <v/>
      </c>
      <c r="J134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49" spans="2:10" ht="18" customHeight="1" x14ac:dyDescent="0.25">
      <c r="B1349" s="309"/>
      <c r="C1349" s="120"/>
      <c r="D1349" s="121"/>
      <c r="E1349" s="121"/>
      <c r="F1349" s="92"/>
      <c r="G1349" s="92"/>
      <c r="H1349" s="122"/>
      <c r="I1349" s="68" t="str">
        <f>IFERROR(MID(作者统计[[#This Row],[作者]],FIND("[",作者统计[[#This Row],[作者]],1)+1,FIND("]",作者统计[[#This Row],[作者]],1)-FIND("[",作者统计[[#This Row],[作者]],1)-1),"")</f>
        <v/>
      </c>
      <c r="J1349" s="68" t="str">
        <f>IFERROR(MID(作者统计[[#This Row],[作者]],FIND("(",作者统计[[#This Row],[作者]],1)+1,FIND(")",作者统计[[#This Row],[作者]],1)-FIND("(",作者统计[[#This Row],[作者]],1)-1),"")</f>
        <v/>
      </c>
    </row>
    <row r="1350" spans="2:10" ht="18" customHeight="1" x14ac:dyDescent="0.25">
      <c r="B1350" s="85"/>
      <c r="C1350" s="120"/>
      <c r="D1350" s="121"/>
      <c r="E1350" s="121"/>
      <c r="F1350" s="92"/>
      <c r="G1350" s="92"/>
      <c r="H1350" s="122"/>
      <c r="I1350" s="68" t="str">
        <f>IFERROR(MID(作者统计[[#This Row],[作者]],FIND("[",作者统计[[#This Row],[作者]],1)+1,FIND("]",作者统计[[#This Row],[作者]],1)-FIND("[",作者统计[[#This Row],[作者]],1)-1),"")</f>
        <v/>
      </c>
      <c r="J1350" s="68" t="str">
        <f>IFERROR(MID(作者统计[[#This Row],[作者]],FIND("(",作者统计[[#This Row],[作者]],1)+1,FIND(")",作者统计[[#This Row],[作者]],1)-FIND("(",作者统计[[#This Row],[作者]],1)-1),"")</f>
        <v/>
      </c>
    </row>
    <row r="1351" spans="2:10" ht="18" customHeight="1" x14ac:dyDescent="0.25">
      <c r="B1351" s="309"/>
      <c r="C1351" s="120"/>
      <c r="D1351" s="121"/>
      <c r="E1351" s="121"/>
      <c r="F1351" s="92"/>
      <c r="G1351" s="92"/>
      <c r="H1351" s="122"/>
      <c r="I1351" s="68" t="str">
        <f>IFERROR(MID(作者统计[[#This Row],[作者]],FIND("[",作者统计[[#This Row],[作者]],1)+1,FIND("]",作者统计[[#This Row],[作者]],1)-FIND("[",作者统计[[#This Row],[作者]],1)-1),"")</f>
        <v/>
      </c>
      <c r="J1351" s="68" t="str">
        <f>IFERROR(MID(作者统计[[#This Row],[作者]],FIND("(",作者统计[[#This Row],[作者]],1)+1,FIND(")",作者统计[[#This Row],[作者]],1)-FIND("(",作者统计[[#This Row],[作者]],1)-1),"")</f>
        <v/>
      </c>
    </row>
    <row r="1352" spans="2:10" ht="18" customHeight="1" x14ac:dyDescent="0.25">
      <c r="B1352" s="256"/>
      <c r="C1352" s="257"/>
      <c r="D1352" s="258"/>
      <c r="E1352" s="258"/>
      <c r="F1352" s="259"/>
      <c r="G1352" s="259"/>
      <c r="H1352" s="260"/>
      <c r="I1352" s="261" t="str">
        <f>IFERROR(MID(作者统计[[#This Row],[作者]],FIND("[",作者统计[[#This Row],[作者]],1)+1,FIND("]",作者统计[[#This Row],[作者]],1)-FIND("[",作者统计[[#This Row],[作者]],1)-1),"")</f>
        <v/>
      </c>
      <c r="J135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53" spans="2:10" ht="18" customHeight="1" x14ac:dyDescent="0.25">
      <c r="B1353" s="256"/>
      <c r="C1353" s="257"/>
      <c r="D1353" s="258"/>
      <c r="E1353" s="258"/>
      <c r="F1353" s="259"/>
      <c r="G1353" s="259"/>
      <c r="H1353" s="260"/>
      <c r="I1353" s="261" t="str">
        <f>IFERROR(MID(作者统计[[#This Row],[作者]],FIND("[",作者统计[[#This Row],[作者]],1)+1,FIND("]",作者统计[[#This Row],[作者]],1)-FIND("[",作者统计[[#This Row],[作者]],1)-1),"")</f>
        <v/>
      </c>
      <c r="J135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54" spans="2:10" ht="18" customHeight="1" x14ac:dyDescent="0.25">
      <c r="B1354" s="309"/>
      <c r="C1354" s="120"/>
      <c r="D1354" s="121"/>
      <c r="E1354" s="121"/>
      <c r="F1354" s="92"/>
      <c r="G1354" s="92"/>
      <c r="H1354" s="122"/>
      <c r="I1354" s="68" t="str">
        <f>IFERROR(MID(作者统计[[#This Row],[作者]],FIND("[",作者统计[[#This Row],[作者]],1)+1,FIND("]",作者统计[[#This Row],[作者]],1)-FIND("[",作者统计[[#This Row],[作者]],1)-1),"")</f>
        <v/>
      </c>
      <c r="J1354" s="68" t="str">
        <f>IFERROR(MID(作者统计[[#This Row],[作者]],FIND("(",作者统计[[#This Row],[作者]],1)+1,FIND(")",作者统计[[#This Row],[作者]],1)-FIND("(",作者统计[[#This Row],[作者]],1)-1),"")</f>
        <v/>
      </c>
    </row>
    <row r="1355" spans="2:10" ht="18" customHeight="1" x14ac:dyDescent="0.25">
      <c r="B1355" s="256"/>
      <c r="C1355" s="257"/>
      <c r="D1355" s="258"/>
      <c r="E1355" s="258"/>
      <c r="F1355" s="259"/>
      <c r="G1355" s="259"/>
      <c r="H1355" s="260"/>
      <c r="I1355" s="261" t="str">
        <f>IFERROR(MID(作者统计[[#This Row],[作者]],FIND("[",作者统计[[#This Row],[作者]],1)+1,FIND("]",作者统计[[#This Row],[作者]],1)-FIND("[",作者统计[[#This Row],[作者]],1)-1),"")</f>
        <v/>
      </c>
      <c r="J135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56" spans="2:10" ht="18" customHeight="1" x14ac:dyDescent="0.25">
      <c r="B1356" s="256"/>
      <c r="C1356" s="257"/>
      <c r="D1356" s="258"/>
      <c r="E1356" s="258"/>
      <c r="F1356" s="259"/>
      <c r="G1356" s="259"/>
      <c r="H1356" s="260"/>
      <c r="I1356" s="261" t="str">
        <f>IFERROR(MID(作者统计[[#This Row],[作者]],FIND("[",作者统计[[#This Row],[作者]],1)+1,FIND("]",作者统计[[#This Row],[作者]],1)-FIND("[",作者统计[[#This Row],[作者]],1)-1),"")</f>
        <v/>
      </c>
      <c r="J135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57" spans="2:10" ht="18" customHeight="1" x14ac:dyDescent="0.25">
      <c r="B1357" s="309"/>
      <c r="C1357" s="120"/>
      <c r="D1357" s="121"/>
      <c r="E1357" s="121"/>
      <c r="F1357" s="92"/>
      <c r="G1357" s="92"/>
      <c r="H1357" s="122"/>
      <c r="I1357" s="68" t="str">
        <f>IFERROR(MID(作者统计[[#This Row],[作者]],FIND("[",作者统计[[#This Row],[作者]],1)+1,FIND("]",作者统计[[#This Row],[作者]],1)-FIND("[",作者统计[[#This Row],[作者]],1)-1),"")</f>
        <v/>
      </c>
      <c r="J1357" s="68" t="str">
        <f>IFERROR(MID(作者统计[[#This Row],[作者]],FIND("(",作者统计[[#This Row],[作者]],1)+1,FIND(")",作者统计[[#This Row],[作者]],1)-FIND("(",作者统计[[#This Row],[作者]],1)-1),"")</f>
        <v/>
      </c>
    </row>
    <row r="1358" spans="2:10" ht="18" customHeight="1" x14ac:dyDescent="0.25">
      <c r="B1358" s="309"/>
      <c r="C1358" s="120"/>
      <c r="D1358" s="121"/>
      <c r="E1358" s="121"/>
      <c r="F1358" s="92"/>
      <c r="G1358" s="92"/>
      <c r="H1358" s="122"/>
      <c r="I1358" s="68" t="str">
        <f>IFERROR(MID(作者统计[[#This Row],[作者]],FIND("[",作者统计[[#This Row],[作者]],1)+1,FIND("]",作者统计[[#This Row],[作者]],1)-FIND("[",作者统计[[#This Row],[作者]],1)-1),"")</f>
        <v/>
      </c>
      <c r="J1358" s="68" t="str">
        <f>IFERROR(MID(作者统计[[#This Row],[作者]],FIND("(",作者统计[[#This Row],[作者]],1)+1,FIND(")",作者统计[[#This Row],[作者]],1)-FIND("(",作者统计[[#This Row],[作者]],1)-1),"")</f>
        <v/>
      </c>
    </row>
    <row r="1359" spans="2:10" ht="18" customHeight="1" x14ac:dyDescent="0.25">
      <c r="B1359" s="85"/>
      <c r="C1359" s="120"/>
      <c r="D1359" s="121"/>
      <c r="E1359" s="121"/>
      <c r="F1359" s="92"/>
      <c r="G1359" s="92"/>
      <c r="H1359" s="122"/>
      <c r="I1359" s="68" t="str">
        <f>IFERROR(MID(作者统计[[#This Row],[作者]],FIND("[",作者统计[[#This Row],[作者]],1)+1,FIND("]",作者统计[[#This Row],[作者]],1)-FIND("[",作者统计[[#This Row],[作者]],1)-1),"")</f>
        <v/>
      </c>
      <c r="J1359" s="68" t="str">
        <f>IFERROR(MID(作者统计[[#This Row],[作者]],FIND("(",作者统计[[#This Row],[作者]],1)+1,FIND(")",作者统计[[#This Row],[作者]],1)-FIND("(",作者统计[[#This Row],[作者]],1)-1),"")</f>
        <v/>
      </c>
    </row>
    <row r="1360" spans="2:10" ht="18" customHeight="1" x14ac:dyDescent="0.25">
      <c r="B1360" s="256"/>
      <c r="C1360" s="257"/>
      <c r="D1360" s="258"/>
      <c r="E1360" s="258"/>
      <c r="F1360" s="259"/>
      <c r="G1360" s="259"/>
      <c r="H1360" s="260"/>
      <c r="I1360" s="261" t="str">
        <f>IFERROR(MID(作者统计[[#This Row],[作者]],FIND("[",作者统计[[#This Row],[作者]],1)+1,FIND("]",作者统计[[#This Row],[作者]],1)-FIND("[",作者统计[[#This Row],[作者]],1)-1),"")</f>
        <v/>
      </c>
      <c r="J136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61" spans="2:10" ht="18" customHeight="1" x14ac:dyDescent="0.25">
      <c r="B1361" s="85"/>
      <c r="C1361" s="120"/>
      <c r="D1361" s="121"/>
      <c r="E1361" s="121"/>
      <c r="F1361" s="92"/>
      <c r="G1361" s="92"/>
      <c r="H1361" s="122"/>
      <c r="I1361" s="68" t="str">
        <f>IFERROR(MID(作者统计[[#This Row],[作者]],FIND("[",作者统计[[#This Row],[作者]],1)+1,FIND("]",作者统计[[#This Row],[作者]],1)-FIND("[",作者统计[[#This Row],[作者]],1)-1),"")</f>
        <v/>
      </c>
      <c r="J1361" s="68" t="str">
        <f>IFERROR(MID(作者统计[[#This Row],[作者]],FIND("(",作者统计[[#This Row],[作者]],1)+1,FIND(")",作者统计[[#This Row],[作者]],1)-FIND("(",作者统计[[#This Row],[作者]],1)-1),"")</f>
        <v/>
      </c>
    </row>
    <row r="1362" spans="2:10" ht="18" customHeight="1" x14ac:dyDescent="0.25">
      <c r="B1362" s="85"/>
      <c r="C1362" s="120"/>
      <c r="D1362" s="121"/>
      <c r="E1362" s="121"/>
      <c r="F1362" s="92"/>
      <c r="G1362" s="92"/>
      <c r="H1362" s="122"/>
      <c r="I1362" s="68" t="str">
        <f>IFERROR(MID(作者统计[[#This Row],[作者]],FIND("[",作者统计[[#This Row],[作者]],1)+1,FIND("]",作者统计[[#This Row],[作者]],1)-FIND("[",作者统计[[#This Row],[作者]],1)-1),"")</f>
        <v/>
      </c>
      <c r="J1362" s="68" t="str">
        <f>IFERROR(MID(作者统计[[#This Row],[作者]],FIND("(",作者统计[[#This Row],[作者]],1)+1,FIND(")",作者统计[[#This Row],[作者]],1)-FIND("(",作者统计[[#This Row],[作者]],1)-1),"")</f>
        <v/>
      </c>
    </row>
    <row r="1363" spans="2:10" ht="18" customHeight="1" x14ac:dyDescent="0.25">
      <c r="B1363" s="309"/>
      <c r="C1363" s="120"/>
      <c r="D1363" s="121"/>
      <c r="E1363" s="121"/>
      <c r="F1363" s="92"/>
      <c r="G1363" s="92"/>
      <c r="H1363" s="122"/>
      <c r="I1363" s="68" t="str">
        <f>IFERROR(MID(作者统计[[#This Row],[作者]],FIND("[",作者统计[[#This Row],[作者]],1)+1,FIND("]",作者统计[[#This Row],[作者]],1)-FIND("[",作者统计[[#This Row],[作者]],1)-1),"")</f>
        <v/>
      </c>
      <c r="J1363" s="68" t="str">
        <f>IFERROR(MID(作者统计[[#This Row],[作者]],FIND("(",作者统计[[#This Row],[作者]],1)+1,FIND(")",作者统计[[#This Row],[作者]],1)-FIND("(",作者统计[[#This Row],[作者]],1)-1),"")</f>
        <v/>
      </c>
    </row>
    <row r="1364" spans="2:10" ht="18" customHeight="1" x14ac:dyDescent="0.25">
      <c r="B1364" s="85"/>
      <c r="C1364" s="120"/>
      <c r="D1364" s="121"/>
      <c r="E1364" s="121"/>
      <c r="F1364" s="92"/>
      <c r="G1364" s="92"/>
      <c r="H1364" s="122"/>
      <c r="I1364" s="68" t="str">
        <f>IFERROR(MID(作者统计[[#This Row],[作者]],FIND("[",作者统计[[#This Row],[作者]],1)+1,FIND("]",作者统计[[#This Row],[作者]],1)-FIND("[",作者统计[[#This Row],[作者]],1)-1),"")</f>
        <v/>
      </c>
      <c r="J1364" s="68" t="str">
        <f>IFERROR(MID(作者统计[[#This Row],[作者]],FIND("(",作者统计[[#This Row],[作者]],1)+1,FIND(")",作者统计[[#This Row],[作者]],1)-FIND("(",作者统计[[#This Row],[作者]],1)-1),"")</f>
        <v/>
      </c>
    </row>
    <row r="1365" spans="2:10" ht="18" customHeight="1" x14ac:dyDescent="0.25">
      <c r="B1365" s="309"/>
      <c r="C1365" s="120"/>
      <c r="D1365" s="121"/>
      <c r="E1365" s="121"/>
      <c r="F1365" s="92"/>
      <c r="G1365" s="92"/>
      <c r="H1365" s="122"/>
      <c r="I1365" s="68" t="str">
        <f>IFERROR(MID(作者统计[[#This Row],[作者]],FIND("[",作者统计[[#This Row],[作者]],1)+1,FIND("]",作者统计[[#This Row],[作者]],1)-FIND("[",作者统计[[#This Row],[作者]],1)-1),"")</f>
        <v/>
      </c>
      <c r="J1365" s="68" t="str">
        <f>IFERROR(MID(作者统计[[#This Row],[作者]],FIND("(",作者统计[[#This Row],[作者]],1)+1,FIND(")",作者统计[[#This Row],[作者]],1)-FIND("(",作者统计[[#This Row],[作者]],1)-1),"")</f>
        <v/>
      </c>
    </row>
    <row r="1366" spans="2:10" ht="18" customHeight="1" x14ac:dyDescent="0.25">
      <c r="B1366" s="85"/>
      <c r="C1366" s="120"/>
      <c r="D1366" s="121"/>
      <c r="E1366" s="121"/>
      <c r="F1366" s="92"/>
      <c r="G1366" s="92"/>
      <c r="H1366" s="122"/>
      <c r="I1366" s="68" t="str">
        <f>IFERROR(MID(作者统计[[#This Row],[作者]],FIND("[",作者统计[[#This Row],[作者]],1)+1,FIND("]",作者统计[[#This Row],[作者]],1)-FIND("[",作者统计[[#This Row],[作者]],1)-1),"")</f>
        <v/>
      </c>
      <c r="J1366" s="68" t="str">
        <f>IFERROR(MID(作者统计[[#This Row],[作者]],FIND("(",作者统计[[#This Row],[作者]],1)+1,FIND(")",作者统计[[#This Row],[作者]],1)-FIND("(",作者统计[[#This Row],[作者]],1)-1),"")</f>
        <v/>
      </c>
    </row>
    <row r="1367" spans="2:10" ht="18" customHeight="1" x14ac:dyDescent="0.25">
      <c r="B1367" s="256"/>
      <c r="C1367" s="257"/>
      <c r="D1367" s="258"/>
      <c r="E1367" s="258"/>
      <c r="F1367" s="259"/>
      <c r="G1367" s="259"/>
      <c r="H1367" s="260"/>
      <c r="I1367" s="261" t="str">
        <f>IFERROR(MID(作者统计[[#This Row],[作者]],FIND("[",作者统计[[#This Row],[作者]],1)+1,FIND("]",作者统计[[#This Row],[作者]],1)-FIND("[",作者统计[[#This Row],[作者]],1)-1),"")</f>
        <v/>
      </c>
      <c r="J136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68" spans="2:10" ht="18" customHeight="1" x14ac:dyDescent="0.25">
      <c r="B1368" s="85"/>
      <c r="C1368" s="120"/>
      <c r="D1368" s="121"/>
      <c r="E1368" s="121"/>
      <c r="F1368" s="92"/>
      <c r="G1368" s="92"/>
      <c r="H1368" s="122"/>
      <c r="I1368" s="68" t="str">
        <f>IFERROR(MID(作者统计[[#This Row],[作者]],FIND("[",作者统计[[#This Row],[作者]],1)+1,FIND("]",作者统计[[#This Row],[作者]],1)-FIND("[",作者统计[[#This Row],[作者]],1)-1),"")</f>
        <v/>
      </c>
      <c r="J1368" s="68" t="str">
        <f>IFERROR(MID(作者统计[[#This Row],[作者]],FIND("(",作者统计[[#This Row],[作者]],1)+1,FIND(")",作者统计[[#This Row],[作者]],1)-FIND("(",作者统计[[#This Row],[作者]],1)-1),"")</f>
        <v/>
      </c>
    </row>
    <row r="1369" spans="2:10" ht="18" customHeight="1" x14ac:dyDescent="0.25">
      <c r="B1369" s="256"/>
      <c r="C1369" s="257"/>
      <c r="D1369" s="258"/>
      <c r="E1369" s="258"/>
      <c r="F1369" s="259"/>
      <c r="G1369" s="259"/>
      <c r="H1369" s="260"/>
      <c r="I1369" s="261" t="str">
        <f>IFERROR(MID(作者统计[[#This Row],[作者]],FIND("[",作者统计[[#This Row],[作者]],1)+1,FIND("]",作者统计[[#This Row],[作者]],1)-FIND("[",作者统计[[#This Row],[作者]],1)-1),"")</f>
        <v/>
      </c>
      <c r="J136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70" spans="2:10" ht="18" customHeight="1" x14ac:dyDescent="0.25">
      <c r="B1370" s="256"/>
      <c r="C1370" s="257"/>
      <c r="D1370" s="258"/>
      <c r="E1370" s="258"/>
      <c r="F1370" s="259"/>
      <c r="G1370" s="259"/>
      <c r="H1370" s="260"/>
      <c r="I1370" s="261" t="str">
        <f>IFERROR(MID(作者统计[[#This Row],[作者]],FIND("[",作者统计[[#This Row],[作者]],1)+1,FIND("]",作者统计[[#This Row],[作者]],1)-FIND("[",作者统计[[#This Row],[作者]],1)-1),"")</f>
        <v/>
      </c>
      <c r="J137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71" spans="2:10" ht="18" customHeight="1" x14ac:dyDescent="0.25">
      <c r="B1371" s="256"/>
      <c r="C1371" s="257"/>
      <c r="D1371" s="258"/>
      <c r="E1371" s="258"/>
      <c r="F1371" s="259"/>
      <c r="G1371" s="259"/>
      <c r="H1371" s="260"/>
      <c r="I1371" s="261" t="str">
        <f>IFERROR(MID(作者统计[[#This Row],[作者]],FIND("[",作者统计[[#This Row],[作者]],1)+1,FIND("]",作者统计[[#This Row],[作者]],1)-FIND("[",作者统计[[#This Row],[作者]],1)-1),"")</f>
        <v/>
      </c>
      <c r="J137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72" spans="2:10" ht="18" customHeight="1" x14ac:dyDescent="0.25">
      <c r="B1372" s="256"/>
      <c r="C1372" s="257"/>
      <c r="D1372" s="258"/>
      <c r="E1372" s="258"/>
      <c r="F1372" s="259"/>
      <c r="G1372" s="259"/>
      <c r="H1372" s="260"/>
      <c r="I1372" s="261" t="str">
        <f>IFERROR(MID(作者统计[[#This Row],[作者]],FIND("[",作者统计[[#This Row],[作者]],1)+1,FIND("]",作者统计[[#This Row],[作者]],1)-FIND("[",作者统计[[#This Row],[作者]],1)-1),"")</f>
        <v/>
      </c>
      <c r="J137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73" spans="2:10" ht="18" customHeight="1" x14ac:dyDescent="0.25">
      <c r="B1373" s="256"/>
      <c r="C1373" s="257"/>
      <c r="D1373" s="258"/>
      <c r="E1373" s="258"/>
      <c r="F1373" s="259"/>
      <c r="G1373" s="259"/>
      <c r="H1373" s="260"/>
      <c r="I1373" s="261" t="str">
        <f>IFERROR(MID(作者统计[[#This Row],[作者]],FIND("[",作者统计[[#This Row],[作者]],1)+1,FIND("]",作者统计[[#This Row],[作者]],1)-FIND("[",作者统计[[#This Row],[作者]],1)-1),"")</f>
        <v/>
      </c>
      <c r="J137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74" spans="2:10" ht="18" customHeight="1" x14ac:dyDescent="0.25">
      <c r="B1374" s="309"/>
      <c r="C1374" s="120"/>
      <c r="D1374" s="121"/>
      <c r="E1374" s="121"/>
      <c r="F1374" s="92"/>
      <c r="G1374" s="92"/>
      <c r="H1374" s="122"/>
      <c r="I1374" s="68" t="str">
        <f>IFERROR(MID(作者统计[[#This Row],[作者]],FIND("[",作者统计[[#This Row],[作者]],1)+1,FIND("]",作者统计[[#This Row],[作者]],1)-FIND("[",作者统计[[#This Row],[作者]],1)-1),"")</f>
        <v/>
      </c>
      <c r="J1374" s="68" t="str">
        <f>IFERROR(MID(作者统计[[#This Row],[作者]],FIND("(",作者统计[[#This Row],[作者]],1)+1,FIND(")",作者统计[[#This Row],[作者]],1)-FIND("(",作者统计[[#This Row],[作者]],1)-1),"")</f>
        <v/>
      </c>
    </row>
    <row r="1375" spans="2:10" ht="18" customHeight="1" x14ac:dyDescent="0.25">
      <c r="B1375" s="85"/>
      <c r="C1375" s="120"/>
      <c r="D1375" s="121"/>
      <c r="E1375" s="121"/>
      <c r="F1375" s="92"/>
      <c r="G1375" s="92"/>
      <c r="H1375" s="122"/>
      <c r="I1375" s="68" t="str">
        <f>IFERROR(MID(作者统计[[#This Row],[作者]],FIND("[",作者统计[[#This Row],[作者]],1)+1,FIND("]",作者统计[[#This Row],[作者]],1)-FIND("[",作者统计[[#This Row],[作者]],1)-1),"")</f>
        <v/>
      </c>
      <c r="J1375" s="68" t="str">
        <f>IFERROR(MID(作者统计[[#This Row],[作者]],FIND("(",作者统计[[#This Row],[作者]],1)+1,FIND(")",作者统计[[#This Row],[作者]],1)-FIND("(",作者统计[[#This Row],[作者]],1)-1),"")</f>
        <v/>
      </c>
    </row>
    <row r="1376" spans="2:10" ht="18" customHeight="1" x14ac:dyDescent="0.25">
      <c r="B1376" s="256"/>
      <c r="C1376" s="257"/>
      <c r="D1376" s="258"/>
      <c r="E1376" s="258"/>
      <c r="F1376" s="259"/>
      <c r="G1376" s="259"/>
      <c r="H1376" s="260"/>
      <c r="I1376" s="261" t="str">
        <f>IFERROR(MID(作者统计[[#This Row],[作者]],FIND("[",作者统计[[#This Row],[作者]],1)+1,FIND("]",作者统计[[#This Row],[作者]],1)-FIND("[",作者统计[[#This Row],[作者]],1)-1),"")</f>
        <v/>
      </c>
      <c r="J137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77" spans="2:10" ht="18" customHeight="1" x14ac:dyDescent="0.25">
      <c r="B1377" s="85"/>
      <c r="C1377" s="120"/>
      <c r="D1377" s="121"/>
      <c r="E1377" s="121"/>
      <c r="F1377" s="92"/>
      <c r="G1377" s="92"/>
      <c r="H1377" s="122"/>
      <c r="I1377" s="68" t="str">
        <f>IFERROR(MID(作者统计[[#This Row],[作者]],FIND("[",作者统计[[#This Row],[作者]],1)+1,FIND("]",作者统计[[#This Row],[作者]],1)-FIND("[",作者统计[[#This Row],[作者]],1)-1),"")</f>
        <v/>
      </c>
      <c r="J1377" s="68" t="str">
        <f>IFERROR(MID(作者统计[[#This Row],[作者]],FIND("(",作者统计[[#This Row],[作者]],1)+1,FIND(")",作者统计[[#This Row],[作者]],1)-FIND("(",作者统计[[#This Row],[作者]],1)-1),"")</f>
        <v/>
      </c>
    </row>
    <row r="1378" spans="2:10" ht="18" customHeight="1" x14ac:dyDescent="0.25">
      <c r="B1378" s="85"/>
      <c r="C1378" s="120"/>
      <c r="D1378" s="121"/>
      <c r="E1378" s="121"/>
      <c r="F1378" s="92"/>
      <c r="G1378" s="92"/>
      <c r="H1378" s="122"/>
      <c r="I1378" s="68" t="str">
        <f>IFERROR(MID(作者统计[[#This Row],[作者]],FIND("[",作者统计[[#This Row],[作者]],1)+1,FIND("]",作者统计[[#This Row],[作者]],1)-FIND("[",作者统计[[#This Row],[作者]],1)-1),"")</f>
        <v/>
      </c>
      <c r="J1378" s="68" t="str">
        <f>IFERROR(MID(作者统计[[#This Row],[作者]],FIND("(",作者统计[[#This Row],[作者]],1)+1,FIND(")",作者统计[[#This Row],[作者]],1)-FIND("(",作者统计[[#This Row],[作者]],1)-1),"")</f>
        <v/>
      </c>
    </row>
    <row r="1379" spans="2:10" ht="18" customHeight="1" x14ac:dyDescent="0.25">
      <c r="B1379" s="85"/>
      <c r="C1379" s="120"/>
      <c r="D1379" s="121"/>
      <c r="E1379" s="121"/>
      <c r="F1379" s="92"/>
      <c r="G1379" s="92"/>
      <c r="H1379" s="122"/>
      <c r="I1379" s="68" t="str">
        <f>IFERROR(MID(作者统计[[#This Row],[作者]],FIND("[",作者统计[[#This Row],[作者]],1)+1,FIND("]",作者统计[[#This Row],[作者]],1)-FIND("[",作者统计[[#This Row],[作者]],1)-1),"")</f>
        <v/>
      </c>
      <c r="J1379" s="68" t="str">
        <f>IFERROR(MID(作者统计[[#This Row],[作者]],FIND("(",作者统计[[#This Row],[作者]],1)+1,FIND(")",作者统计[[#This Row],[作者]],1)-FIND("(",作者统计[[#This Row],[作者]],1)-1),"")</f>
        <v/>
      </c>
    </row>
    <row r="1380" spans="2:10" ht="18" customHeight="1" x14ac:dyDescent="0.25">
      <c r="B1380" s="256"/>
      <c r="C1380" s="257"/>
      <c r="D1380" s="258"/>
      <c r="E1380" s="258"/>
      <c r="F1380" s="259"/>
      <c r="G1380" s="259"/>
      <c r="H1380" s="260"/>
      <c r="I1380" s="261" t="str">
        <f>IFERROR(MID(作者统计[[#This Row],[作者]],FIND("[",作者统计[[#This Row],[作者]],1)+1,FIND("]",作者统计[[#This Row],[作者]],1)-FIND("[",作者统计[[#This Row],[作者]],1)-1),"")</f>
        <v/>
      </c>
      <c r="J138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81" spans="2:10" ht="18" customHeight="1" x14ac:dyDescent="0.25">
      <c r="B1381" s="85"/>
      <c r="C1381" s="120"/>
      <c r="D1381" s="121"/>
      <c r="E1381" s="121"/>
      <c r="F1381" s="92"/>
      <c r="G1381" s="92"/>
      <c r="H1381" s="122"/>
      <c r="I1381" s="68" t="str">
        <f>IFERROR(MID(作者统计[[#This Row],[作者]],FIND("[",作者统计[[#This Row],[作者]],1)+1,FIND("]",作者统计[[#This Row],[作者]],1)-FIND("[",作者统计[[#This Row],[作者]],1)-1),"")</f>
        <v/>
      </c>
      <c r="J1381" s="68" t="str">
        <f>IFERROR(MID(作者统计[[#This Row],[作者]],FIND("(",作者统计[[#This Row],[作者]],1)+1,FIND(")",作者统计[[#This Row],[作者]],1)-FIND("(",作者统计[[#This Row],[作者]],1)-1),"")</f>
        <v/>
      </c>
    </row>
    <row r="1382" spans="2:10" ht="18" customHeight="1" x14ac:dyDescent="0.25">
      <c r="B1382" s="85"/>
      <c r="C1382" s="120"/>
      <c r="D1382" s="121"/>
      <c r="E1382" s="121"/>
      <c r="F1382" s="92"/>
      <c r="G1382" s="92"/>
      <c r="H1382" s="122"/>
      <c r="I1382" s="68" t="str">
        <f>IFERROR(MID(作者统计[[#This Row],[作者]],FIND("[",作者统计[[#This Row],[作者]],1)+1,FIND("]",作者统计[[#This Row],[作者]],1)-FIND("[",作者统计[[#This Row],[作者]],1)-1),"")</f>
        <v/>
      </c>
      <c r="J1382" s="68" t="str">
        <f>IFERROR(MID(作者统计[[#This Row],[作者]],FIND("(",作者统计[[#This Row],[作者]],1)+1,FIND(")",作者统计[[#This Row],[作者]],1)-FIND("(",作者统计[[#This Row],[作者]],1)-1),"")</f>
        <v/>
      </c>
    </row>
    <row r="1383" spans="2:10" ht="18" customHeight="1" x14ac:dyDescent="0.25">
      <c r="B1383" s="262"/>
      <c r="C1383" s="263"/>
      <c r="D1383" s="264"/>
      <c r="E1383" s="264"/>
      <c r="F1383" s="265"/>
      <c r="G1383" s="265"/>
      <c r="H1383" s="266"/>
      <c r="I1383" s="267" t="str">
        <f>IFERROR(MID(作者统计[[#This Row],[作者]],FIND("[",作者统计[[#This Row],[作者]],1)+1,FIND("]",作者统计[[#This Row],[作者]],1)-FIND("[",作者统计[[#This Row],[作者]],1)-1),"")</f>
        <v/>
      </c>
      <c r="J1383" s="267" t="str">
        <f>IFERROR(MID(作者统计[[#This Row],[作者]],FIND("(",作者统计[[#This Row],[作者]],1)+1,FIND(")",作者统计[[#This Row],[作者]],1)-FIND("(",作者统计[[#This Row],[作者]],1)-1),"")</f>
        <v/>
      </c>
    </row>
    <row r="1384" spans="2:10" ht="18" customHeight="1" x14ac:dyDescent="0.25">
      <c r="B1384" s="309"/>
      <c r="C1384" s="120"/>
      <c r="D1384" s="121"/>
      <c r="E1384" s="121"/>
      <c r="F1384" s="92"/>
      <c r="G1384" s="92"/>
      <c r="H1384" s="122"/>
      <c r="I1384" s="68" t="str">
        <f>IFERROR(MID(作者统计[[#This Row],[作者]],FIND("[",作者统计[[#This Row],[作者]],1)+1,FIND("]",作者统计[[#This Row],[作者]],1)-FIND("[",作者统计[[#This Row],[作者]],1)-1),"")</f>
        <v/>
      </c>
      <c r="J1384" s="68" t="str">
        <f>IFERROR(MID(作者统计[[#This Row],[作者]],FIND("(",作者统计[[#This Row],[作者]],1)+1,FIND(")",作者统计[[#This Row],[作者]],1)-FIND("(",作者统计[[#This Row],[作者]],1)-1),"")</f>
        <v/>
      </c>
    </row>
    <row r="1385" spans="2:10" ht="18" customHeight="1" x14ac:dyDescent="0.25">
      <c r="B1385" s="309"/>
      <c r="C1385" s="120"/>
      <c r="D1385" s="121"/>
      <c r="E1385" s="121"/>
      <c r="F1385" s="92"/>
      <c r="G1385" s="92"/>
      <c r="H1385" s="122"/>
      <c r="I1385" s="68" t="str">
        <f>IFERROR(MID(作者统计[[#This Row],[作者]],FIND("[",作者统计[[#This Row],[作者]],1)+1,FIND("]",作者统计[[#This Row],[作者]],1)-FIND("[",作者统计[[#This Row],[作者]],1)-1),"")</f>
        <v/>
      </c>
      <c r="J1385" s="68" t="str">
        <f>IFERROR(MID(作者统计[[#This Row],[作者]],FIND("(",作者统计[[#This Row],[作者]],1)+1,FIND(")",作者统计[[#This Row],[作者]],1)-FIND("(",作者统计[[#This Row],[作者]],1)-1),"")</f>
        <v/>
      </c>
    </row>
    <row r="1386" spans="2:10" ht="18" customHeight="1" x14ac:dyDescent="0.25">
      <c r="B1386" s="85"/>
      <c r="C1386" s="120"/>
      <c r="D1386" s="121"/>
      <c r="E1386" s="121"/>
      <c r="F1386" s="92"/>
      <c r="G1386" s="92"/>
      <c r="H1386" s="122"/>
      <c r="I1386" s="68" t="str">
        <f>IFERROR(MID(作者统计[[#This Row],[作者]],FIND("[",作者统计[[#This Row],[作者]],1)+1,FIND("]",作者统计[[#This Row],[作者]],1)-FIND("[",作者统计[[#This Row],[作者]],1)-1),"")</f>
        <v/>
      </c>
      <c r="J1386" s="68" t="str">
        <f>IFERROR(MID(作者统计[[#This Row],[作者]],FIND("(",作者统计[[#This Row],[作者]],1)+1,FIND(")",作者统计[[#This Row],[作者]],1)-FIND("(",作者统计[[#This Row],[作者]],1)-1),"")</f>
        <v/>
      </c>
    </row>
    <row r="1387" spans="2:10" ht="18" customHeight="1" x14ac:dyDescent="0.25">
      <c r="B1387" s="256"/>
      <c r="C1387" s="257"/>
      <c r="D1387" s="258"/>
      <c r="E1387" s="258"/>
      <c r="F1387" s="259"/>
      <c r="G1387" s="259"/>
      <c r="H1387" s="260"/>
      <c r="I1387" s="261" t="str">
        <f>IFERROR(MID(作者统计[[#This Row],[作者]],FIND("[",作者统计[[#This Row],[作者]],1)+1,FIND("]",作者统计[[#This Row],[作者]],1)-FIND("[",作者统计[[#This Row],[作者]],1)-1),"")</f>
        <v/>
      </c>
      <c r="J138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88" spans="2:10" ht="18" customHeight="1" x14ac:dyDescent="0.25">
      <c r="B1388" s="256"/>
      <c r="C1388" s="257"/>
      <c r="D1388" s="258"/>
      <c r="E1388" s="258"/>
      <c r="F1388" s="259"/>
      <c r="G1388" s="259"/>
      <c r="H1388" s="260"/>
      <c r="I1388" s="261" t="str">
        <f>IFERROR(MID(作者统计[[#This Row],[作者]],FIND("[",作者统计[[#This Row],[作者]],1)+1,FIND("]",作者统计[[#This Row],[作者]],1)-FIND("[",作者统计[[#This Row],[作者]],1)-1),"")</f>
        <v/>
      </c>
      <c r="J138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89" spans="2:10" ht="18" customHeight="1" x14ac:dyDescent="0.25">
      <c r="B1389" s="85"/>
      <c r="C1389" s="120"/>
      <c r="D1389" s="121"/>
      <c r="E1389" s="121"/>
      <c r="F1389" s="92"/>
      <c r="G1389" s="92"/>
      <c r="H1389" s="122"/>
      <c r="I1389" s="68" t="str">
        <f>IFERROR(MID(作者统计[[#This Row],[作者]],FIND("[",作者统计[[#This Row],[作者]],1)+1,FIND("]",作者统计[[#This Row],[作者]],1)-FIND("[",作者统计[[#This Row],[作者]],1)-1),"")</f>
        <v/>
      </c>
      <c r="J1389" s="68" t="str">
        <f>IFERROR(MID(作者统计[[#This Row],[作者]],FIND("(",作者统计[[#This Row],[作者]],1)+1,FIND(")",作者统计[[#This Row],[作者]],1)-FIND("(",作者统计[[#This Row],[作者]],1)-1),"")</f>
        <v/>
      </c>
    </row>
    <row r="1390" spans="2:10" ht="18" customHeight="1" x14ac:dyDescent="0.25">
      <c r="B1390" s="256"/>
      <c r="C1390" s="257"/>
      <c r="D1390" s="258"/>
      <c r="E1390" s="258"/>
      <c r="F1390" s="259"/>
      <c r="G1390" s="259"/>
      <c r="H1390" s="260"/>
      <c r="I1390" s="261" t="str">
        <f>IFERROR(MID(作者统计[[#This Row],[作者]],FIND("[",作者统计[[#This Row],[作者]],1)+1,FIND("]",作者统计[[#This Row],[作者]],1)-FIND("[",作者统计[[#This Row],[作者]],1)-1),"")</f>
        <v/>
      </c>
      <c r="J139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91" spans="2:10" ht="18" customHeight="1" x14ac:dyDescent="0.25">
      <c r="B1391" s="256"/>
      <c r="C1391" s="257"/>
      <c r="D1391" s="258"/>
      <c r="E1391" s="258"/>
      <c r="F1391" s="259"/>
      <c r="G1391" s="259"/>
      <c r="H1391" s="260"/>
      <c r="I1391" s="261" t="str">
        <f>IFERROR(MID(作者统计[[#This Row],[作者]],FIND("[",作者统计[[#This Row],[作者]],1)+1,FIND("]",作者统计[[#This Row],[作者]],1)-FIND("[",作者统计[[#This Row],[作者]],1)-1),"")</f>
        <v/>
      </c>
      <c r="J139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92" spans="2:10" ht="18" customHeight="1" x14ac:dyDescent="0.25">
      <c r="B1392" s="256"/>
      <c r="C1392" s="257"/>
      <c r="D1392" s="258"/>
      <c r="E1392" s="258"/>
      <c r="F1392" s="259"/>
      <c r="G1392" s="259"/>
      <c r="H1392" s="260"/>
      <c r="I1392" s="261" t="str">
        <f>IFERROR(MID(作者统计[[#This Row],[作者]],FIND("[",作者统计[[#This Row],[作者]],1)+1,FIND("]",作者统计[[#This Row],[作者]],1)-FIND("[",作者统计[[#This Row],[作者]],1)-1),"")</f>
        <v/>
      </c>
      <c r="J139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93" spans="2:10" ht="18" customHeight="1" x14ac:dyDescent="0.25">
      <c r="B1393" s="309"/>
      <c r="C1393" s="120"/>
      <c r="D1393" s="121"/>
      <c r="E1393" s="121"/>
      <c r="F1393" s="92"/>
      <c r="G1393" s="92"/>
      <c r="H1393" s="122"/>
      <c r="I1393" s="68" t="str">
        <f>IFERROR(MID(作者统计[[#This Row],[作者]],FIND("[",作者统计[[#This Row],[作者]],1)+1,FIND("]",作者统计[[#This Row],[作者]],1)-FIND("[",作者统计[[#This Row],[作者]],1)-1),"")</f>
        <v/>
      </c>
      <c r="J1393" s="68" t="str">
        <f>IFERROR(MID(作者统计[[#This Row],[作者]],FIND("(",作者统计[[#This Row],[作者]],1)+1,FIND(")",作者统计[[#This Row],[作者]],1)-FIND("(",作者统计[[#This Row],[作者]],1)-1),"")</f>
        <v/>
      </c>
    </row>
    <row r="1394" spans="2:10" ht="18" customHeight="1" x14ac:dyDescent="0.25">
      <c r="B1394" s="256"/>
      <c r="C1394" s="257"/>
      <c r="D1394" s="258"/>
      <c r="E1394" s="258"/>
      <c r="F1394" s="259"/>
      <c r="G1394" s="259"/>
      <c r="H1394" s="260"/>
      <c r="I1394" s="261" t="str">
        <f>IFERROR(MID(作者统计[[#This Row],[作者]],FIND("[",作者统计[[#This Row],[作者]],1)+1,FIND("]",作者统计[[#This Row],[作者]],1)-FIND("[",作者统计[[#This Row],[作者]],1)-1),"")</f>
        <v/>
      </c>
      <c r="J139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395" spans="2:10" ht="18" customHeight="1" x14ac:dyDescent="0.25">
      <c r="B1395" s="309"/>
      <c r="C1395" s="120"/>
      <c r="D1395" s="121"/>
      <c r="E1395" s="121"/>
      <c r="F1395" s="92"/>
      <c r="G1395" s="92"/>
      <c r="H1395" s="122"/>
      <c r="I1395" s="68" t="str">
        <f>IFERROR(MID(作者统计[[#This Row],[作者]],FIND("[",作者统计[[#This Row],[作者]],1)+1,FIND("]",作者统计[[#This Row],[作者]],1)-FIND("[",作者统计[[#This Row],[作者]],1)-1),"")</f>
        <v/>
      </c>
      <c r="J1395" s="68" t="str">
        <f>IFERROR(MID(作者统计[[#This Row],[作者]],FIND("(",作者统计[[#This Row],[作者]],1)+1,FIND(")",作者统计[[#This Row],[作者]],1)-FIND("(",作者统计[[#This Row],[作者]],1)-1),"")</f>
        <v/>
      </c>
    </row>
    <row r="1396" spans="2:10" ht="18" customHeight="1" x14ac:dyDescent="0.25">
      <c r="B1396" s="309"/>
      <c r="C1396" s="120"/>
      <c r="D1396" s="121"/>
      <c r="E1396" s="121"/>
      <c r="F1396" s="92"/>
      <c r="G1396" s="92"/>
      <c r="H1396" s="122"/>
      <c r="I1396" s="68" t="str">
        <f>IFERROR(MID(作者统计[[#This Row],[作者]],FIND("[",作者统计[[#This Row],[作者]],1)+1,FIND("]",作者统计[[#This Row],[作者]],1)-FIND("[",作者统计[[#This Row],[作者]],1)-1),"")</f>
        <v/>
      </c>
      <c r="J1396" s="68" t="str">
        <f>IFERROR(MID(作者统计[[#This Row],[作者]],FIND("(",作者统计[[#This Row],[作者]],1)+1,FIND(")",作者统计[[#This Row],[作者]],1)-FIND("(",作者统计[[#This Row],[作者]],1)-1),"")</f>
        <v/>
      </c>
    </row>
    <row r="1397" spans="2:10" ht="18" customHeight="1" x14ac:dyDescent="0.25">
      <c r="B1397" s="309"/>
      <c r="C1397" s="120"/>
      <c r="D1397" s="121"/>
      <c r="E1397" s="121"/>
      <c r="F1397" s="92"/>
      <c r="G1397" s="92"/>
      <c r="H1397" s="122"/>
      <c r="I1397" s="68" t="str">
        <f>IFERROR(MID(作者统计[[#This Row],[作者]],FIND("[",作者统计[[#This Row],[作者]],1)+1,FIND("]",作者统计[[#This Row],[作者]],1)-FIND("[",作者统计[[#This Row],[作者]],1)-1),"")</f>
        <v/>
      </c>
      <c r="J1397" s="68" t="str">
        <f>IFERROR(MID(作者统计[[#This Row],[作者]],FIND("(",作者统计[[#This Row],[作者]],1)+1,FIND(")",作者统计[[#This Row],[作者]],1)-FIND("(",作者统计[[#This Row],[作者]],1)-1),"")</f>
        <v/>
      </c>
    </row>
    <row r="1398" spans="2:10" ht="18" customHeight="1" x14ac:dyDescent="0.25">
      <c r="B1398" s="309"/>
      <c r="C1398" s="120"/>
      <c r="D1398" s="121"/>
      <c r="E1398" s="121"/>
      <c r="F1398" s="92"/>
      <c r="G1398" s="92"/>
      <c r="H1398" s="122"/>
      <c r="I1398" s="68" t="str">
        <f>IFERROR(MID(作者统计[[#This Row],[作者]],FIND("[",作者统计[[#This Row],[作者]],1)+1,FIND("]",作者统计[[#This Row],[作者]],1)-FIND("[",作者统计[[#This Row],[作者]],1)-1),"")</f>
        <v/>
      </c>
      <c r="J1398" s="68" t="str">
        <f>IFERROR(MID(作者统计[[#This Row],[作者]],FIND("(",作者统计[[#This Row],[作者]],1)+1,FIND(")",作者统计[[#This Row],[作者]],1)-FIND("(",作者统计[[#This Row],[作者]],1)-1),"")</f>
        <v/>
      </c>
    </row>
    <row r="1399" spans="2:10" ht="18" customHeight="1" x14ac:dyDescent="0.25">
      <c r="B1399" s="85"/>
      <c r="C1399" s="120"/>
      <c r="D1399" s="121"/>
      <c r="E1399" s="121"/>
      <c r="F1399" s="92"/>
      <c r="G1399" s="92"/>
      <c r="H1399" s="122"/>
      <c r="I1399" s="68" t="str">
        <f>IFERROR(MID(作者统计[[#This Row],[作者]],FIND("[",作者统计[[#This Row],[作者]],1)+1,FIND("]",作者统计[[#This Row],[作者]],1)-FIND("[",作者统计[[#This Row],[作者]],1)-1),"")</f>
        <v/>
      </c>
      <c r="J1399" s="68" t="str">
        <f>IFERROR(MID(作者统计[[#This Row],[作者]],FIND("(",作者统计[[#This Row],[作者]],1)+1,FIND(")",作者统计[[#This Row],[作者]],1)-FIND("(",作者统计[[#This Row],[作者]],1)-1),"")</f>
        <v/>
      </c>
    </row>
    <row r="1400" spans="2:10" ht="18" customHeight="1" x14ac:dyDescent="0.25">
      <c r="B1400" s="85"/>
      <c r="C1400" s="120"/>
      <c r="D1400" s="121"/>
      <c r="E1400" s="121"/>
      <c r="F1400" s="92"/>
      <c r="G1400" s="92"/>
      <c r="H1400" s="122"/>
      <c r="I1400" s="68" t="str">
        <f>IFERROR(MID(作者统计[[#This Row],[作者]],FIND("[",作者统计[[#This Row],[作者]],1)+1,FIND("]",作者统计[[#This Row],[作者]],1)-FIND("[",作者统计[[#This Row],[作者]],1)-1),"")</f>
        <v/>
      </c>
      <c r="J1400" s="68" t="str">
        <f>IFERROR(MID(作者统计[[#This Row],[作者]],FIND("(",作者统计[[#This Row],[作者]],1)+1,FIND(")",作者统计[[#This Row],[作者]],1)-FIND("(",作者统计[[#This Row],[作者]],1)-1),"")</f>
        <v/>
      </c>
    </row>
    <row r="1401" spans="2:10" ht="18" customHeight="1" x14ac:dyDescent="0.25">
      <c r="B1401" s="256"/>
      <c r="C1401" s="257"/>
      <c r="D1401" s="258"/>
      <c r="E1401" s="258"/>
      <c r="F1401" s="259"/>
      <c r="G1401" s="259"/>
      <c r="H1401" s="260"/>
      <c r="I1401" s="261" t="str">
        <f>IFERROR(MID(作者统计[[#This Row],[作者]],FIND("[",作者统计[[#This Row],[作者]],1)+1,FIND("]",作者统计[[#This Row],[作者]],1)-FIND("[",作者统计[[#This Row],[作者]],1)-1),"")</f>
        <v/>
      </c>
      <c r="J140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02" spans="2:10" ht="18" customHeight="1" x14ac:dyDescent="0.25">
      <c r="B1402" s="256"/>
      <c r="C1402" s="257"/>
      <c r="D1402" s="258"/>
      <c r="E1402" s="258"/>
      <c r="F1402" s="259"/>
      <c r="G1402" s="259"/>
      <c r="H1402" s="260"/>
      <c r="I1402" s="261" t="str">
        <f>IFERROR(MID(作者统计[[#This Row],[作者]],FIND("[",作者统计[[#This Row],[作者]],1)+1,FIND("]",作者统计[[#This Row],[作者]],1)-FIND("[",作者统计[[#This Row],[作者]],1)-1),"")</f>
        <v/>
      </c>
      <c r="J140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03" spans="2:10" ht="18" customHeight="1" x14ac:dyDescent="0.25">
      <c r="B1403" s="256"/>
      <c r="C1403" s="257"/>
      <c r="D1403" s="258"/>
      <c r="E1403" s="258"/>
      <c r="F1403" s="259"/>
      <c r="G1403" s="259"/>
      <c r="H1403" s="260"/>
      <c r="I1403" s="261" t="str">
        <f>IFERROR(MID(作者统计[[#This Row],[作者]],FIND("[",作者统计[[#This Row],[作者]],1)+1,FIND("]",作者统计[[#This Row],[作者]],1)-FIND("[",作者统计[[#This Row],[作者]],1)-1),"")</f>
        <v/>
      </c>
      <c r="J140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04" spans="2:10" ht="18" customHeight="1" x14ac:dyDescent="0.25">
      <c r="B1404" s="256"/>
      <c r="C1404" s="257"/>
      <c r="D1404" s="258"/>
      <c r="E1404" s="258"/>
      <c r="F1404" s="259"/>
      <c r="G1404" s="259"/>
      <c r="H1404" s="260"/>
      <c r="I1404" s="261" t="str">
        <f>IFERROR(MID(作者统计[[#This Row],[作者]],FIND("[",作者统计[[#This Row],[作者]],1)+1,FIND("]",作者统计[[#This Row],[作者]],1)-FIND("[",作者统计[[#This Row],[作者]],1)-1),"")</f>
        <v/>
      </c>
      <c r="J140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05" spans="2:10" ht="18" customHeight="1" x14ac:dyDescent="0.25">
      <c r="B1405" s="256"/>
      <c r="C1405" s="257"/>
      <c r="D1405" s="258"/>
      <c r="E1405" s="258"/>
      <c r="F1405" s="259"/>
      <c r="G1405" s="259"/>
      <c r="H1405" s="260"/>
      <c r="I1405" s="261" t="str">
        <f>IFERROR(MID(作者统计[[#This Row],[作者]],FIND("[",作者统计[[#This Row],[作者]],1)+1,FIND("]",作者统计[[#This Row],[作者]],1)-FIND("[",作者统计[[#This Row],[作者]],1)-1),"")</f>
        <v/>
      </c>
      <c r="J140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06" spans="2:10" ht="18" customHeight="1" x14ac:dyDescent="0.25">
      <c r="B1406" s="309"/>
      <c r="C1406" s="120"/>
      <c r="D1406" s="121"/>
      <c r="E1406" s="121"/>
      <c r="F1406" s="92"/>
      <c r="G1406" s="92"/>
      <c r="H1406" s="122"/>
      <c r="I1406" s="68" t="str">
        <f>IFERROR(MID(作者统计[[#This Row],[作者]],FIND("[",作者统计[[#This Row],[作者]],1)+1,FIND("]",作者统计[[#This Row],[作者]],1)-FIND("[",作者统计[[#This Row],[作者]],1)-1),"")</f>
        <v/>
      </c>
      <c r="J140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07" spans="2:10" ht="18" customHeight="1" x14ac:dyDescent="0.25">
      <c r="B1407" s="309"/>
      <c r="C1407" s="120"/>
      <c r="D1407" s="121"/>
      <c r="E1407" s="121"/>
      <c r="F1407" s="92"/>
      <c r="G1407" s="92"/>
      <c r="H1407" s="122"/>
      <c r="I1407" s="68" t="str">
        <f>IFERROR(MID(作者统计[[#This Row],[作者]],FIND("[",作者统计[[#This Row],[作者]],1)+1,FIND("]",作者统计[[#This Row],[作者]],1)-FIND("[",作者统计[[#This Row],[作者]],1)-1),"")</f>
        <v/>
      </c>
      <c r="J140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08" spans="2:10" ht="18" customHeight="1" x14ac:dyDescent="0.25">
      <c r="B1408" s="256"/>
      <c r="C1408" s="257"/>
      <c r="D1408" s="258"/>
      <c r="E1408" s="258"/>
      <c r="F1408" s="259"/>
      <c r="G1408" s="259"/>
      <c r="H1408" s="260"/>
      <c r="I1408" s="261" t="str">
        <f>IFERROR(MID(作者统计[[#This Row],[作者]],FIND("[",作者统计[[#This Row],[作者]],1)+1,FIND("]",作者统计[[#This Row],[作者]],1)-FIND("[",作者统计[[#This Row],[作者]],1)-1),"")</f>
        <v/>
      </c>
      <c r="J140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09" spans="2:10" ht="18" customHeight="1" x14ac:dyDescent="0.25">
      <c r="B1409" s="85"/>
      <c r="C1409" s="120"/>
      <c r="D1409" s="121"/>
      <c r="E1409" s="121"/>
      <c r="F1409" s="92"/>
      <c r="G1409" s="92"/>
      <c r="H1409" s="122"/>
      <c r="I1409" s="68" t="str">
        <f>IFERROR(MID(作者统计[[#This Row],[作者]],FIND("[",作者统计[[#This Row],[作者]],1)+1,FIND("]",作者统计[[#This Row],[作者]],1)-FIND("[",作者统计[[#This Row],[作者]],1)-1),"")</f>
        <v/>
      </c>
      <c r="J1409" s="68" t="str">
        <f>IFERROR(MID(作者统计[[#This Row],[作者]],FIND("(",作者统计[[#This Row],[作者]],1)+1,FIND(")",作者统计[[#This Row],[作者]],1)-FIND("(",作者统计[[#This Row],[作者]],1)-1),"")</f>
        <v/>
      </c>
    </row>
    <row r="1410" spans="2:10" ht="18" customHeight="1" x14ac:dyDescent="0.25">
      <c r="B1410" s="256"/>
      <c r="C1410" s="257"/>
      <c r="D1410" s="258"/>
      <c r="E1410" s="258"/>
      <c r="F1410" s="259"/>
      <c r="G1410" s="259"/>
      <c r="H1410" s="260"/>
      <c r="I1410" s="261" t="str">
        <f>IFERROR(MID(作者统计[[#This Row],[作者]],FIND("[",作者统计[[#This Row],[作者]],1)+1,FIND("]",作者统计[[#This Row],[作者]],1)-FIND("[",作者统计[[#This Row],[作者]],1)-1),"")</f>
        <v/>
      </c>
      <c r="J141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11" spans="2:10" ht="18" customHeight="1" x14ac:dyDescent="0.25">
      <c r="B1411" s="256"/>
      <c r="C1411" s="257"/>
      <c r="D1411" s="258"/>
      <c r="E1411" s="258"/>
      <c r="F1411" s="259"/>
      <c r="G1411" s="259"/>
      <c r="H1411" s="260"/>
      <c r="I1411" s="261" t="str">
        <f>IFERROR(MID(作者统计[[#This Row],[作者]],FIND("[",作者统计[[#This Row],[作者]],1)+1,FIND("]",作者统计[[#This Row],[作者]],1)-FIND("[",作者统计[[#This Row],[作者]],1)-1),"")</f>
        <v/>
      </c>
      <c r="J141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12" spans="2:10" ht="18" customHeight="1" x14ac:dyDescent="0.25">
      <c r="B1412" s="256"/>
      <c r="C1412" s="257"/>
      <c r="D1412" s="258"/>
      <c r="E1412" s="258"/>
      <c r="F1412" s="259"/>
      <c r="G1412" s="259"/>
      <c r="H1412" s="260"/>
      <c r="I1412" s="261" t="str">
        <f>IFERROR(MID(作者统计[[#This Row],[作者]],FIND("[",作者统计[[#This Row],[作者]],1)+1,FIND("]",作者统计[[#This Row],[作者]],1)-FIND("[",作者统计[[#This Row],[作者]],1)-1),"")</f>
        <v/>
      </c>
      <c r="J141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13" spans="2:10" ht="18" customHeight="1" x14ac:dyDescent="0.25">
      <c r="B1413" s="256"/>
      <c r="C1413" s="257"/>
      <c r="D1413" s="258"/>
      <c r="E1413" s="258"/>
      <c r="F1413" s="259"/>
      <c r="G1413" s="259"/>
      <c r="H1413" s="260"/>
      <c r="I1413" s="261" t="str">
        <f>IFERROR(MID(作者统计[[#This Row],[作者]],FIND("[",作者统计[[#This Row],[作者]],1)+1,FIND("]",作者统计[[#This Row],[作者]],1)-FIND("[",作者统计[[#This Row],[作者]],1)-1),"")</f>
        <v/>
      </c>
      <c r="J141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14" spans="2:10" ht="18" customHeight="1" x14ac:dyDescent="0.25">
      <c r="B1414" s="309"/>
      <c r="C1414" s="120"/>
      <c r="D1414" s="121"/>
      <c r="E1414" s="121"/>
      <c r="F1414" s="92"/>
      <c r="G1414" s="92"/>
      <c r="H1414" s="122"/>
      <c r="I1414" s="68" t="str">
        <f>IFERROR(MID(作者统计[[#This Row],[作者]],FIND("[",作者统计[[#This Row],[作者]],1)+1,FIND("]",作者统计[[#This Row],[作者]],1)-FIND("[",作者统计[[#This Row],[作者]],1)-1),"")</f>
        <v/>
      </c>
      <c r="J1414" s="68" t="str">
        <f>IFERROR(MID(作者统计[[#This Row],[作者]],FIND("(",作者统计[[#This Row],[作者]],1)+1,FIND(")",作者统计[[#This Row],[作者]],1)-FIND("(",作者统计[[#This Row],[作者]],1)-1),"")</f>
        <v/>
      </c>
    </row>
    <row r="1415" spans="2:10" ht="18" customHeight="1" x14ac:dyDescent="0.25">
      <c r="B1415" s="309"/>
      <c r="C1415" s="120"/>
      <c r="D1415" s="121"/>
      <c r="E1415" s="121"/>
      <c r="F1415" s="92"/>
      <c r="G1415" s="92"/>
      <c r="H1415" s="122"/>
      <c r="I1415" s="68" t="str">
        <f>IFERROR(MID(作者统计[[#This Row],[作者]],FIND("[",作者统计[[#This Row],[作者]],1)+1,FIND("]",作者统计[[#This Row],[作者]],1)-FIND("[",作者统计[[#This Row],[作者]],1)-1),"")</f>
        <v/>
      </c>
      <c r="J1415" s="68" t="str">
        <f>IFERROR(MID(作者统计[[#This Row],[作者]],FIND("(",作者统计[[#This Row],[作者]],1)+1,FIND(")",作者统计[[#This Row],[作者]],1)-FIND("(",作者统计[[#This Row],[作者]],1)-1),"")</f>
        <v/>
      </c>
    </row>
    <row r="1416" spans="2:10" ht="18" customHeight="1" x14ac:dyDescent="0.25">
      <c r="B1416" s="85"/>
      <c r="C1416" s="120"/>
      <c r="D1416" s="121"/>
      <c r="E1416" s="121"/>
      <c r="F1416" s="92"/>
      <c r="G1416" s="92"/>
      <c r="H1416" s="122"/>
      <c r="I1416" s="68" t="str">
        <f>IFERROR(MID(作者统计[[#This Row],[作者]],FIND("[",作者统计[[#This Row],[作者]],1)+1,FIND("]",作者统计[[#This Row],[作者]],1)-FIND("[",作者统计[[#This Row],[作者]],1)-1),"")</f>
        <v/>
      </c>
      <c r="J141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17" spans="2:10" ht="18" customHeight="1" x14ac:dyDescent="0.25">
      <c r="B1417" s="85"/>
      <c r="C1417" s="120"/>
      <c r="D1417" s="121"/>
      <c r="E1417" s="121"/>
      <c r="F1417" s="92"/>
      <c r="G1417" s="92"/>
      <c r="H1417" s="122"/>
      <c r="I1417" s="68" t="str">
        <f>IFERROR(MID(作者统计[[#This Row],[作者]],FIND("[",作者统计[[#This Row],[作者]],1)+1,FIND("]",作者统计[[#This Row],[作者]],1)-FIND("[",作者统计[[#This Row],[作者]],1)-1),"")</f>
        <v/>
      </c>
      <c r="J141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18" spans="2:10" ht="18" customHeight="1" x14ac:dyDescent="0.25">
      <c r="B1418" s="85"/>
      <c r="C1418" s="120"/>
      <c r="D1418" s="121"/>
      <c r="E1418" s="121"/>
      <c r="F1418" s="92"/>
      <c r="G1418" s="92"/>
      <c r="H1418" s="122"/>
      <c r="I1418" s="68" t="str">
        <f>IFERROR(MID(作者统计[[#This Row],[作者]],FIND("[",作者统计[[#This Row],[作者]],1)+1,FIND("]",作者统计[[#This Row],[作者]],1)-FIND("[",作者统计[[#This Row],[作者]],1)-1),"")</f>
        <v/>
      </c>
      <c r="J1418" s="68" t="str">
        <f>IFERROR(MID(作者统计[[#This Row],[作者]],FIND("(",作者统计[[#This Row],[作者]],1)+1,FIND(")",作者统计[[#This Row],[作者]],1)-FIND("(",作者统计[[#This Row],[作者]],1)-1),"")</f>
        <v/>
      </c>
    </row>
    <row r="1419" spans="2:10" ht="18" customHeight="1" x14ac:dyDescent="0.25">
      <c r="B1419" s="256"/>
      <c r="C1419" s="257"/>
      <c r="D1419" s="258"/>
      <c r="E1419" s="258"/>
      <c r="F1419" s="259"/>
      <c r="G1419" s="259"/>
      <c r="H1419" s="260"/>
      <c r="I1419" s="261" t="str">
        <f>IFERROR(MID(作者统计[[#This Row],[作者]],FIND("[",作者统计[[#This Row],[作者]],1)+1,FIND("]",作者统计[[#This Row],[作者]],1)-FIND("[",作者统计[[#This Row],[作者]],1)-1),"")</f>
        <v/>
      </c>
      <c r="J141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20" spans="2:10" ht="18" customHeight="1" x14ac:dyDescent="0.25">
      <c r="B1420" s="309"/>
      <c r="C1420" s="120"/>
      <c r="D1420" s="121"/>
      <c r="E1420" s="121"/>
      <c r="F1420" s="92"/>
      <c r="G1420" s="92"/>
      <c r="H1420" s="122"/>
      <c r="I1420" s="68" t="str">
        <f>IFERROR(MID(作者统计[[#This Row],[作者]],FIND("[",作者统计[[#This Row],[作者]],1)+1,FIND("]",作者统计[[#This Row],[作者]],1)-FIND("[",作者统计[[#This Row],[作者]],1)-1),"")</f>
        <v/>
      </c>
      <c r="J1420" s="68" t="str">
        <f>IFERROR(MID(作者统计[[#This Row],[作者]],FIND("(",作者统计[[#This Row],[作者]],1)+1,FIND(")",作者统计[[#This Row],[作者]],1)-FIND("(",作者统计[[#This Row],[作者]],1)-1),"")</f>
        <v/>
      </c>
    </row>
    <row r="1421" spans="2:10" ht="18" customHeight="1" x14ac:dyDescent="0.25">
      <c r="B1421" s="85"/>
      <c r="C1421" s="120"/>
      <c r="D1421" s="121"/>
      <c r="E1421" s="121"/>
      <c r="F1421" s="92"/>
      <c r="G1421" s="92"/>
      <c r="H1421" s="122"/>
      <c r="I1421" s="68" t="str">
        <f>IFERROR(MID(作者统计[[#This Row],[作者]],FIND("[",作者统计[[#This Row],[作者]],1)+1,FIND("]",作者统计[[#This Row],[作者]],1)-FIND("[",作者统计[[#This Row],[作者]],1)-1),"")</f>
        <v/>
      </c>
      <c r="J1421" s="68" t="str">
        <f>IFERROR(MID(作者统计[[#This Row],[作者]],FIND("(",作者统计[[#This Row],[作者]],1)+1,FIND(")",作者统计[[#This Row],[作者]],1)-FIND("(",作者统计[[#This Row],[作者]],1)-1),"")</f>
        <v/>
      </c>
    </row>
    <row r="1422" spans="2:10" ht="18" customHeight="1" x14ac:dyDescent="0.25">
      <c r="B1422" s="309"/>
      <c r="C1422" s="120"/>
      <c r="D1422" s="121"/>
      <c r="E1422" s="121"/>
      <c r="F1422" s="92"/>
      <c r="G1422" s="92"/>
      <c r="H1422" s="122"/>
      <c r="I1422" s="68" t="str">
        <f>IFERROR(MID(作者统计[[#This Row],[作者]],FIND("[",作者统计[[#This Row],[作者]],1)+1,FIND("]",作者统计[[#This Row],[作者]],1)-FIND("[",作者统计[[#This Row],[作者]],1)-1),"")</f>
        <v/>
      </c>
      <c r="J1422" s="68" t="str">
        <f>IFERROR(MID(作者统计[[#This Row],[作者]],FIND("(",作者统计[[#This Row],[作者]],1)+1,FIND(")",作者统计[[#This Row],[作者]],1)-FIND("(",作者统计[[#This Row],[作者]],1)-1),"")</f>
        <v/>
      </c>
    </row>
    <row r="1423" spans="2:10" ht="18" customHeight="1" x14ac:dyDescent="0.25">
      <c r="B1423" s="85"/>
      <c r="C1423" s="120"/>
      <c r="D1423" s="121"/>
      <c r="E1423" s="121"/>
      <c r="F1423" s="92"/>
      <c r="G1423" s="92"/>
      <c r="H1423" s="122"/>
      <c r="I1423" s="68" t="str">
        <f>IFERROR(MID(作者统计[[#This Row],[作者]],FIND("[",作者统计[[#This Row],[作者]],1)+1,FIND("]",作者统计[[#This Row],[作者]],1)-FIND("[",作者统计[[#This Row],[作者]],1)-1),"")</f>
        <v/>
      </c>
      <c r="J1423" s="68" t="str">
        <f>IFERROR(MID(作者统计[[#This Row],[作者]],FIND("(",作者统计[[#This Row],[作者]],1)+1,FIND(")",作者统计[[#This Row],[作者]],1)-FIND("(",作者统计[[#This Row],[作者]],1)-1),"")</f>
        <v/>
      </c>
    </row>
    <row r="1424" spans="2:10" ht="18" customHeight="1" x14ac:dyDescent="0.25">
      <c r="B1424" s="85"/>
      <c r="C1424" s="120"/>
      <c r="D1424" s="121"/>
      <c r="E1424" s="121"/>
      <c r="F1424" s="92"/>
      <c r="G1424" s="92"/>
      <c r="H1424" s="122"/>
      <c r="I1424" s="68" t="str">
        <f>IFERROR(MID(作者统计[[#This Row],[作者]],FIND("[",作者统计[[#This Row],[作者]],1)+1,FIND("]",作者统计[[#This Row],[作者]],1)-FIND("[",作者统计[[#This Row],[作者]],1)-1),"")</f>
        <v/>
      </c>
      <c r="J1424" s="68" t="str">
        <f>IFERROR(MID(作者统计[[#This Row],[作者]],FIND("(",作者统计[[#This Row],[作者]],1)+1,FIND(")",作者统计[[#This Row],[作者]],1)-FIND("(",作者统计[[#This Row],[作者]],1)-1),"")</f>
        <v/>
      </c>
    </row>
    <row r="1425" spans="2:10" ht="18" customHeight="1" x14ac:dyDescent="0.25">
      <c r="B1425" s="85"/>
      <c r="C1425" s="120"/>
      <c r="D1425" s="121"/>
      <c r="E1425" s="121"/>
      <c r="F1425" s="92"/>
      <c r="G1425" s="92"/>
      <c r="H1425" s="122"/>
      <c r="I1425" s="68" t="str">
        <f>IFERROR(MID(作者统计[[#This Row],[作者]],FIND("[",作者统计[[#This Row],[作者]],1)+1,FIND("]",作者统计[[#This Row],[作者]],1)-FIND("[",作者统计[[#This Row],[作者]],1)-1),"")</f>
        <v/>
      </c>
      <c r="J1425" s="68" t="str">
        <f>IFERROR(MID(作者统计[[#This Row],[作者]],FIND("(",作者统计[[#This Row],[作者]],1)+1,FIND(")",作者统计[[#This Row],[作者]],1)-FIND("(",作者统计[[#This Row],[作者]],1)-1),"")</f>
        <v/>
      </c>
    </row>
    <row r="1426" spans="2:10" ht="18" customHeight="1" x14ac:dyDescent="0.25">
      <c r="B1426" s="309"/>
      <c r="C1426" s="120"/>
      <c r="D1426" s="121"/>
      <c r="E1426" s="121"/>
      <c r="F1426" s="92"/>
      <c r="G1426" s="92"/>
      <c r="H1426" s="122"/>
      <c r="I1426" s="68" t="str">
        <f>IFERROR(MID(作者统计[[#This Row],[作者]],FIND("[",作者统计[[#This Row],[作者]],1)+1,FIND("]",作者统计[[#This Row],[作者]],1)-FIND("[",作者统计[[#This Row],[作者]],1)-1),"")</f>
        <v/>
      </c>
      <c r="J142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27" spans="2:10" ht="18" customHeight="1" x14ac:dyDescent="0.25">
      <c r="B1427" s="85"/>
      <c r="C1427" s="120"/>
      <c r="D1427" s="121"/>
      <c r="E1427" s="121"/>
      <c r="F1427" s="92"/>
      <c r="G1427" s="92"/>
      <c r="H1427" s="122"/>
      <c r="I1427" s="68" t="str">
        <f>IFERROR(MID(作者统计[[#This Row],[作者]],FIND("[",作者统计[[#This Row],[作者]],1)+1,FIND("]",作者统计[[#This Row],[作者]],1)-FIND("[",作者统计[[#This Row],[作者]],1)-1),"")</f>
        <v/>
      </c>
      <c r="J142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28" spans="2:10" ht="18" customHeight="1" x14ac:dyDescent="0.25">
      <c r="B1428" s="256"/>
      <c r="C1428" s="257"/>
      <c r="D1428" s="258"/>
      <c r="E1428" s="258"/>
      <c r="F1428" s="259"/>
      <c r="G1428" s="259"/>
      <c r="H1428" s="260"/>
      <c r="I1428" s="261" t="str">
        <f>IFERROR(MID(作者统计[[#This Row],[作者]],FIND("[",作者统计[[#This Row],[作者]],1)+1,FIND("]",作者统计[[#This Row],[作者]],1)-FIND("[",作者统计[[#This Row],[作者]],1)-1),"")</f>
        <v/>
      </c>
      <c r="J142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29" spans="2:10" ht="18" customHeight="1" x14ac:dyDescent="0.25">
      <c r="B1429" s="309"/>
      <c r="C1429" s="120"/>
      <c r="D1429" s="121"/>
      <c r="E1429" s="121"/>
      <c r="F1429" s="92"/>
      <c r="G1429" s="92"/>
      <c r="H1429" s="122"/>
      <c r="I1429" s="68" t="str">
        <f>IFERROR(MID(作者统计[[#This Row],[作者]],FIND("[",作者统计[[#This Row],[作者]],1)+1,FIND("]",作者统计[[#This Row],[作者]],1)-FIND("[",作者统计[[#This Row],[作者]],1)-1),"")</f>
        <v/>
      </c>
      <c r="J1429" s="68" t="str">
        <f>IFERROR(MID(作者统计[[#This Row],[作者]],FIND("(",作者统计[[#This Row],[作者]],1)+1,FIND(")",作者统计[[#This Row],[作者]],1)-FIND("(",作者统计[[#This Row],[作者]],1)-1),"")</f>
        <v/>
      </c>
    </row>
    <row r="1430" spans="2:10" ht="18" customHeight="1" x14ac:dyDescent="0.25">
      <c r="B1430" s="256"/>
      <c r="C1430" s="257"/>
      <c r="D1430" s="258"/>
      <c r="E1430" s="258"/>
      <c r="F1430" s="259"/>
      <c r="G1430" s="259"/>
      <c r="H1430" s="260"/>
      <c r="I1430" s="261" t="str">
        <f>IFERROR(MID(作者统计[[#This Row],[作者]],FIND("[",作者统计[[#This Row],[作者]],1)+1,FIND("]",作者统计[[#This Row],[作者]],1)-FIND("[",作者统计[[#This Row],[作者]],1)-1),"")</f>
        <v/>
      </c>
      <c r="J143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31" spans="2:10" ht="18" customHeight="1" x14ac:dyDescent="0.25">
      <c r="B1431" s="256"/>
      <c r="C1431" s="257"/>
      <c r="D1431" s="258"/>
      <c r="E1431" s="258"/>
      <c r="F1431" s="259"/>
      <c r="G1431" s="259"/>
      <c r="H1431" s="260"/>
      <c r="I1431" s="261" t="str">
        <f>IFERROR(MID(作者统计[[#This Row],[作者]],FIND("[",作者统计[[#This Row],[作者]],1)+1,FIND("]",作者统计[[#This Row],[作者]],1)-FIND("[",作者统计[[#This Row],[作者]],1)-1),"")</f>
        <v/>
      </c>
      <c r="J143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32" spans="2:10" ht="18" customHeight="1" x14ac:dyDescent="0.25">
      <c r="B1432" s="85"/>
      <c r="C1432" s="120"/>
      <c r="D1432" s="121"/>
      <c r="E1432" s="121"/>
      <c r="F1432" s="92"/>
      <c r="G1432" s="92"/>
      <c r="H1432" s="122"/>
      <c r="I1432" s="68" t="str">
        <f>IFERROR(MID(作者统计[[#This Row],[作者]],FIND("[",作者统计[[#This Row],[作者]],1)+1,FIND("]",作者统计[[#This Row],[作者]],1)-FIND("[",作者统计[[#This Row],[作者]],1)-1),"")</f>
        <v/>
      </c>
      <c r="J1432" s="68" t="str">
        <f>IFERROR(MID(作者统计[[#This Row],[作者]],FIND("(",作者统计[[#This Row],[作者]],1)+1,FIND(")",作者统计[[#This Row],[作者]],1)-FIND("(",作者统计[[#This Row],[作者]],1)-1),"")</f>
        <v/>
      </c>
    </row>
    <row r="1433" spans="2:10" ht="18" customHeight="1" x14ac:dyDescent="0.25">
      <c r="B1433" s="309"/>
      <c r="C1433" s="120"/>
      <c r="D1433" s="121"/>
      <c r="E1433" s="121"/>
      <c r="F1433" s="92"/>
      <c r="G1433" s="92"/>
      <c r="H1433" s="123"/>
      <c r="I1433" s="68" t="str">
        <f>IFERROR(MID(作者统计[[#This Row],[作者]],FIND("[",作者统计[[#This Row],[作者]],1)+1,FIND("]",作者统计[[#This Row],[作者]],1)-FIND("[",作者统计[[#This Row],[作者]],1)-1),"")</f>
        <v/>
      </c>
      <c r="J1433" s="68" t="str">
        <f>IFERROR(MID(作者统计[[#This Row],[作者]],FIND("(",作者统计[[#This Row],[作者]],1)+1,FIND(")",作者统计[[#This Row],[作者]],1)-FIND("(",作者统计[[#This Row],[作者]],1)-1),"")</f>
        <v/>
      </c>
    </row>
    <row r="1434" spans="2:10" ht="18" customHeight="1" x14ac:dyDescent="0.25">
      <c r="B1434" s="256"/>
      <c r="C1434" s="257"/>
      <c r="D1434" s="258"/>
      <c r="E1434" s="258"/>
      <c r="F1434" s="259"/>
      <c r="G1434" s="259"/>
      <c r="H1434" s="260"/>
      <c r="I1434" s="261" t="str">
        <f>IFERROR(MID(作者统计[[#This Row],[作者]],FIND("[",作者统计[[#This Row],[作者]],1)+1,FIND("]",作者统计[[#This Row],[作者]],1)-FIND("[",作者统计[[#This Row],[作者]],1)-1),"")</f>
        <v/>
      </c>
      <c r="J14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35" spans="2:10" ht="18" customHeight="1" x14ac:dyDescent="0.25">
      <c r="B1435" s="85"/>
      <c r="C1435" s="120"/>
      <c r="D1435" s="121"/>
      <c r="E1435" s="121"/>
      <c r="F1435" s="92"/>
      <c r="G1435" s="92"/>
      <c r="H1435" s="122"/>
      <c r="I1435" s="68" t="str">
        <f>IFERROR(MID(作者统计[[#This Row],[作者]],FIND("[",作者统计[[#This Row],[作者]],1)+1,FIND("]",作者统计[[#This Row],[作者]],1)-FIND("[",作者统计[[#This Row],[作者]],1)-1),"")</f>
        <v/>
      </c>
      <c r="J1435" s="68" t="str">
        <f>IFERROR(MID(作者统计[[#This Row],[作者]],FIND("(",作者统计[[#This Row],[作者]],1)+1,FIND(")",作者统计[[#This Row],[作者]],1)-FIND("(",作者统计[[#This Row],[作者]],1)-1),"")</f>
        <v/>
      </c>
    </row>
    <row r="1436" spans="2:10" ht="18" customHeight="1" x14ac:dyDescent="0.25">
      <c r="B1436" s="85"/>
      <c r="C1436" s="120"/>
      <c r="D1436" s="121"/>
      <c r="E1436" s="121"/>
      <c r="F1436" s="92"/>
      <c r="G1436" s="92"/>
      <c r="H1436" s="122"/>
      <c r="I1436" s="68" t="str">
        <f>IFERROR(MID(作者统计[[#This Row],[作者]],FIND("[",作者统计[[#This Row],[作者]],1)+1,FIND("]",作者统计[[#This Row],[作者]],1)-FIND("[",作者统计[[#This Row],[作者]],1)-1),"")</f>
        <v/>
      </c>
      <c r="J143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37" spans="2:10" ht="18" customHeight="1" x14ac:dyDescent="0.25">
      <c r="B1437" s="85"/>
      <c r="C1437" s="120"/>
      <c r="D1437" s="121"/>
      <c r="E1437" s="121"/>
      <c r="F1437" s="92"/>
      <c r="G1437" s="92"/>
      <c r="H1437" s="122"/>
      <c r="I1437" s="68" t="str">
        <f>IFERROR(MID(作者统计[[#This Row],[作者]],FIND("[",作者统计[[#This Row],[作者]],1)+1,FIND("]",作者统计[[#This Row],[作者]],1)-FIND("[",作者统计[[#This Row],[作者]],1)-1),"")</f>
        <v/>
      </c>
      <c r="J143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38" spans="2:10" ht="18" customHeight="1" x14ac:dyDescent="0.25">
      <c r="B1438" s="311"/>
      <c r="C1438" s="180"/>
      <c r="D1438" s="181"/>
      <c r="E1438" s="181"/>
      <c r="F1438" s="182"/>
      <c r="G1438" s="182"/>
      <c r="H1438" s="183"/>
      <c r="I1438" s="77" t="str">
        <f>IFERROR(MID(作者统计[[#This Row],[作者]],FIND("[",作者统计[[#This Row],[作者]],1)+1,FIND("]",作者统计[[#This Row],[作者]],1)-FIND("[",作者统计[[#This Row],[作者]],1)-1),"")</f>
        <v/>
      </c>
      <c r="J1438" s="77" t="str">
        <f>IFERROR(MID(作者统计[[#This Row],[作者]],FIND("(",作者统计[[#This Row],[作者]],1)+1,FIND(")",作者统计[[#This Row],[作者]],1)-FIND("(",作者统计[[#This Row],[作者]],1)-1),"")</f>
        <v/>
      </c>
    </row>
    <row r="1439" spans="2:10" ht="18" customHeight="1" x14ac:dyDescent="0.25">
      <c r="B1439" s="85"/>
      <c r="C1439" s="120"/>
      <c r="D1439" s="121"/>
      <c r="E1439" s="121"/>
      <c r="F1439" s="92"/>
      <c r="G1439" s="92"/>
      <c r="H1439" s="122"/>
      <c r="I1439" s="68" t="str">
        <f>IFERROR(MID(作者统计[[#This Row],[作者]],FIND("[",作者统计[[#This Row],[作者]],1)+1,FIND("]",作者统计[[#This Row],[作者]],1)-FIND("[",作者统计[[#This Row],[作者]],1)-1),"")</f>
        <v/>
      </c>
      <c r="J1439" s="68" t="str">
        <f>IFERROR(MID(作者统计[[#This Row],[作者]],FIND("(",作者统计[[#This Row],[作者]],1)+1,FIND(")",作者统计[[#This Row],[作者]],1)-FIND("(",作者统计[[#This Row],[作者]],1)-1),"")</f>
        <v/>
      </c>
    </row>
    <row r="1440" spans="2:10" ht="18" customHeight="1" x14ac:dyDescent="0.25">
      <c r="B1440" s="309"/>
      <c r="C1440" s="120"/>
      <c r="D1440" s="121"/>
      <c r="E1440" s="121"/>
      <c r="F1440" s="92"/>
      <c r="G1440" s="92"/>
      <c r="H1440" s="122"/>
      <c r="I1440" s="68" t="str">
        <f>IFERROR(MID(作者统计[[#This Row],[作者]],FIND("[",作者统计[[#This Row],[作者]],1)+1,FIND("]",作者统计[[#This Row],[作者]],1)-FIND("[",作者统计[[#This Row],[作者]],1)-1),"")</f>
        <v/>
      </c>
      <c r="J1440" s="68" t="str">
        <f>IFERROR(MID(作者统计[[#This Row],[作者]],FIND("(",作者统计[[#This Row],[作者]],1)+1,FIND(")",作者统计[[#This Row],[作者]],1)-FIND("(",作者统计[[#This Row],[作者]],1)-1),"")</f>
        <v/>
      </c>
    </row>
    <row r="1441" spans="2:10" ht="18" customHeight="1" x14ac:dyDescent="0.25">
      <c r="B1441" s="256"/>
      <c r="C1441" s="257"/>
      <c r="D1441" s="258"/>
      <c r="E1441" s="258"/>
      <c r="F1441" s="259"/>
      <c r="G1441" s="259"/>
      <c r="H1441" s="260"/>
      <c r="I1441" s="261" t="str">
        <f>IFERROR(MID(作者统计[[#This Row],[作者]],FIND("[",作者统计[[#This Row],[作者]],1)+1,FIND("]",作者统计[[#This Row],[作者]],1)-FIND("[",作者统计[[#This Row],[作者]],1)-1),"")</f>
        <v/>
      </c>
      <c r="J144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42" spans="2:10" ht="18" customHeight="1" x14ac:dyDescent="0.25">
      <c r="B1442" s="309"/>
      <c r="C1442" s="120"/>
      <c r="D1442" s="121"/>
      <c r="E1442" s="121"/>
      <c r="F1442" s="92"/>
      <c r="G1442" s="92"/>
      <c r="H1442" s="122"/>
      <c r="I1442" s="68" t="str">
        <f>IFERROR(MID(作者统计[[#This Row],[作者]],FIND("[",作者统计[[#This Row],[作者]],1)+1,FIND("]",作者统计[[#This Row],[作者]],1)-FIND("[",作者统计[[#This Row],[作者]],1)-1),"")</f>
        <v/>
      </c>
      <c r="J1442" s="68" t="str">
        <f>IFERROR(MID(作者统计[[#This Row],[作者]],FIND("(",作者统计[[#This Row],[作者]],1)+1,FIND(")",作者统计[[#This Row],[作者]],1)-FIND("(",作者统计[[#This Row],[作者]],1)-1),"")</f>
        <v/>
      </c>
    </row>
    <row r="1443" spans="2:10" ht="18" customHeight="1" x14ac:dyDescent="0.25">
      <c r="B1443" s="85"/>
      <c r="C1443" s="120"/>
      <c r="D1443" s="121"/>
      <c r="E1443" s="121"/>
      <c r="F1443" s="92"/>
      <c r="G1443" s="92"/>
      <c r="H1443" s="122"/>
      <c r="I1443" s="68" t="str">
        <f>IFERROR(MID(作者统计[[#This Row],[作者]],FIND("[",作者统计[[#This Row],[作者]],1)+1,FIND("]",作者统计[[#This Row],[作者]],1)-FIND("[",作者统计[[#This Row],[作者]],1)-1),"")</f>
        <v/>
      </c>
      <c r="J1443" s="68" t="str">
        <f>IFERROR(MID(作者统计[[#This Row],[作者]],FIND("(",作者统计[[#This Row],[作者]],1)+1,FIND(")",作者统计[[#This Row],[作者]],1)-FIND("(",作者统计[[#This Row],[作者]],1)-1),"")</f>
        <v/>
      </c>
    </row>
    <row r="1444" spans="2:10" ht="18" customHeight="1" x14ac:dyDescent="0.25">
      <c r="B1444" s="256"/>
      <c r="C1444" s="257"/>
      <c r="D1444" s="258"/>
      <c r="E1444" s="258"/>
      <c r="F1444" s="259"/>
      <c r="G1444" s="259"/>
      <c r="H1444" s="260"/>
      <c r="I1444" s="261" t="str">
        <f>IFERROR(MID(作者统计[[#This Row],[作者]],FIND("[",作者统计[[#This Row],[作者]],1)+1,FIND("]",作者统计[[#This Row],[作者]],1)-FIND("[",作者统计[[#This Row],[作者]],1)-1),"")</f>
        <v/>
      </c>
      <c r="J144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45" spans="2:10" ht="18" customHeight="1" x14ac:dyDescent="0.25">
      <c r="B1445" s="85"/>
      <c r="C1445" s="120"/>
      <c r="D1445" s="121"/>
      <c r="E1445" s="121"/>
      <c r="F1445" s="92"/>
      <c r="G1445" s="92"/>
      <c r="H1445" s="122"/>
      <c r="I1445" s="68" t="str">
        <f>IFERROR(MID(作者统计[[#This Row],[作者]],FIND("[",作者统计[[#This Row],[作者]],1)+1,FIND("]",作者统计[[#This Row],[作者]],1)-FIND("[",作者统计[[#This Row],[作者]],1)-1),"")</f>
        <v/>
      </c>
      <c r="J1445" s="68" t="str">
        <f>IFERROR(MID(作者统计[[#This Row],[作者]],FIND("(",作者统计[[#This Row],[作者]],1)+1,FIND(")",作者统计[[#This Row],[作者]],1)-FIND("(",作者统计[[#This Row],[作者]],1)-1),"")</f>
        <v/>
      </c>
    </row>
    <row r="1446" spans="2:10" ht="18" customHeight="1" x14ac:dyDescent="0.25">
      <c r="B1446" s="256"/>
      <c r="C1446" s="257"/>
      <c r="D1446" s="258"/>
      <c r="E1446" s="258"/>
      <c r="F1446" s="259"/>
      <c r="G1446" s="259"/>
      <c r="H1446" s="260"/>
      <c r="I1446" s="261" t="str">
        <f>IFERROR(MID(作者统计[[#This Row],[作者]],FIND("[",作者统计[[#This Row],[作者]],1)+1,FIND("]",作者统计[[#This Row],[作者]],1)-FIND("[",作者统计[[#This Row],[作者]],1)-1),"")</f>
        <v/>
      </c>
      <c r="J144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47" spans="2:10" ht="18" customHeight="1" x14ac:dyDescent="0.25">
      <c r="B1447" s="309"/>
      <c r="C1447" s="120"/>
      <c r="D1447" s="121"/>
      <c r="E1447" s="121"/>
      <c r="F1447" s="92"/>
      <c r="G1447" s="92"/>
      <c r="H1447" s="122"/>
      <c r="I1447" s="68" t="str">
        <f>IFERROR(MID(作者统计[[#This Row],[作者]],FIND("[",作者统计[[#This Row],[作者]],1)+1,FIND("]",作者统计[[#This Row],[作者]],1)-FIND("[",作者统计[[#This Row],[作者]],1)-1),"")</f>
        <v/>
      </c>
      <c r="J144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48" spans="2:10" ht="18" customHeight="1" x14ac:dyDescent="0.25">
      <c r="B1448" s="85"/>
      <c r="C1448" s="120"/>
      <c r="D1448" s="121"/>
      <c r="E1448" s="121"/>
      <c r="F1448" s="92"/>
      <c r="G1448" s="92"/>
      <c r="H1448" s="122"/>
      <c r="I1448" s="68" t="str">
        <f>IFERROR(MID(作者统计[[#This Row],[作者]],FIND("[",作者统计[[#This Row],[作者]],1)+1,FIND("]",作者统计[[#This Row],[作者]],1)-FIND("[",作者统计[[#This Row],[作者]],1)-1),"")</f>
        <v/>
      </c>
      <c r="J1448" s="68" t="str">
        <f>IFERROR(MID(作者统计[[#This Row],[作者]],FIND("(",作者统计[[#This Row],[作者]],1)+1,FIND(")",作者统计[[#This Row],[作者]],1)-FIND("(",作者统计[[#This Row],[作者]],1)-1),"")</f>
        <v/>
      </c>
    </row>
    <row r="1449" spans="2:10" ht="18" customHeight="1" x14ac:dyDescent="0.25">
      <c r="B1449" s="85"/>
      <c r="C1449" s="120"/>
      <c r="D1449" s="121"/>
      <c r="E1449" s="121"/>
      <c r="F1449" s="92"/>
      <c r="G1449" s="92"/>
      <c r="H1449" s="122"/>
      <c r="I1449" s="68" t="str">
        <f>IFERROR(MID(作者统计[[#This Row],[作者]],FIND("[",作者统计[[#This Row],[作者]],1)+1,FIND("]",作者统计[[#This Row],[作者]],1)-FIND("[",作者统计[[#This Row],[作者]],1)-1),"")</f>
        <v/>
      </c>
      <c r="J1449" s="68" t="str">
        <f>IFERROR(MID(作者统计[[#This Row],[作者]],FIND("(",作者统计[[#This Row],[作者]],1)+1,FIND(")",作者统计[[#This Row],[作者]],1)-FIND("(",作者统计[[#This Row],[作者]],1)-1),"")</f>
        <v/>
      </c>
    </row>
    <row r="1450" spans="2:10" ht="18" customHeight="1" x14ac:dyDescent="0.25">
      <c r="B1450" s="256"/>
      <c r="C1450" s="257"/>
      <c r="D1450" s="258"/>
      <c r="E1450" s="258"/>
      <c r="F1450" s="259"/>
      <c r="G1450" s="259"/>
      <c r="H1450" s="260"/>
      <c r="I1450" s="261" t="str">
        <f>IFERROR(MID(作者统计[[#This Row],[作者]],FIND("[",作者统计[[#This Row],[作者]],1)+1,FIND("]",作者统计[[#This Row],[作者]],1)-FIND("[",作者统计[[#This Row],[作者]],1)-1),"")</f>
        <v/>
      </c>
      <c r="J145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51" spans="2:10" ht="18" customHeight="1" x14ac:dyDescent="0.25">
      <c r="B1451" s="309"/>
      <c r="C1451" s="120"/>
      <c r="D1451" s="121"/>
      <c r="E1451" s="121"/>
      <c r="F1451" s="92"/>
      <c r="G1451" s="92"/>
      <c r="H1451" s="122"/>
      <c r="I1451" s="68" t="str">
        <f>IFERROR(MID(作者统计[[#This Row],[作者]],FIND("[",作者统计[[#This Row],[作者]],1)+1,FIND("]",作者统计[[#This Row],[作者]],1)-FIND("[",作者统计[[#This Row],[作者]],1)-1),"")</f>
        <v/>
      </c>
      <c r="J1451" s="68" t="str">
        <f>IFERROR(MID(作者统计[[#This Row],[作者]],FIND("(",作者统计[[#This Row],[作者]],1)+1,FIND(")",作者统计[[#This Row],[作者]],1)-FIND("(",作者统计[[#This Row],[作者]],1)-1),"")</f>
        <v/>
      </c>
    </row>
    <row r="1452" spans="2:10" ht="18" customHeight="1" x14ac:dyDescent="0.25">
      <c r="B1452" s="256"/>
      <c r="C1452" s="257"/>
      <c r="D1452" s="258"/>
      <c r="E1452" s="258"/>
      <c r="F1452" s="259"/>
      <c r="G1452" s="259"/>
      <c r="H1452" s="260"/>
      <c r="I1452" s="261" t="str">
        <f>IFERROR(MID(作者统计[[#This Row],[作者]],FIND("[",作者统计[[#This Row],[作者]],1)+1,FIND("]",作者统计[[#This Row],[作者]],1)-FIND("[",作者统计[[#This Row],[作者]],1)-1),"")</f>
        <v/>
      </c>
      <c r="J145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53" spans="2:10" ht="18" customHeight="1" x14ac:dyDescent="0.25">
      <c r="B1453" s="256"/>
      <c r="C1453" s="257"/>
      <c r="D1453" s="258"/>
      <c r="E1453" s="258"/>
      <c r="F1453" s="259"/>
      <c r="G1453" s="259"/>
      <c r="H1453" s="260"/>
      <c r="I1453" s="261" t="str">
        <f>IFERROR(MID(作者统计[[#This Row],[作者]],FIND("[",作者统计[[#This Row],[作者]],1)+1,FIND("]",作者统计[[#This Row],[作者]],1)-FIND("[",作者统计[[#This Row],[作者]],1)-1),"")</f>
        <v/>
      </c>
      <c r="J145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54" spans="2:10" ht="18" customHeight="1" x14ac:dyDescent="0.25">
      <c r="B1454" s="256"/>
      <c r="C1454" s="257"/>
      <c r="D1454" s="258"/>
      <c r="E1454" s="258"/>
      <c r="F1454" s="259"/>
      <c r="G1454" s="259"/>
      <c r="H1454" s="260"/>
      <c r="I1454" s="261" t="str">
        <f>IFERROR(MID(作者统计[[#This Row],[作者]],FIND("[",作者统计[[#This Row],[作者]],1)+1,FIND("]",作者统计[[#This Row],[作者]],1)-FIND("[",作者统计[[#This Row],[作者]],1)-1),"")</f>
        <v/>
      </c>
      <c r="J145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55" spans="2:10" ht="18" customHeight="1" x14ac:dyDescent="0.25">
      <c r="B1455" s="85"/>
      <c r="C1455" s="120"/>
      <c r="D1455" s="121"/>
      <c r="E1455" s="121"/>
      <c r="F1455" s="92"/>
      <c r="G1455" s="92"/>
      <c r="H1455" s="122"/>
      <c r="I1455" s="68" t="str">
        <f>IFERROR(MID(作者统计[[#This Row],[作者]],FIND("[",作者统计[[#This Row],[作者]],1)+1,FIND("]",作者统计[[#This Row],[作者]],1)-FIND("[",作者统计[[#This Row],[作者]],1)-1),"")</f>
        <v/>
      </c>
      <c r="J1455" s="68" t="str">
        <f>IFERROR(MID(作者统计[[#This Row],[作者]],FIND("(",作者统计[[#This Row],[作者]],1)+1,FIND(")",作者统计[[#This Row],[作者]],1)-FIND("(",作者统计[[#This Row],[作者]],1)-1),"")</f>
        <v/>
      </c>
    </row>
    <row r="1456" spans="2:10" ht="18" customHeight="1" x14ac:dyDescent="0.25">
      <c r="B1456" s="309"/>
      <c r="C1456" s="120"/>
      <c r="D1456" s="121"/>
      <c r="E1456" s="121"/>
      <c r="F1456" s="92"/>
      <c r="G1456" s="92"/>
      <c r="H1456" s="122"/>
      <c r="I1456" s="68" t="str">
        <f>IFERROR(MID(作者统计[[#This Row],[作者]],FIND("[",作者统计[[#This Row],[作者]],1)+1,FIND("]",作者统计[[#This Row],[作者]],1)-FIND("[",作者统计[[#This Row],[作者]],1)-1),"")</f>
        <v/>
      </c>
      <c r="J145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57" spans="2:10" ht="18" customHeight="1" x14ac:dyDescent="0.25">
      <c r="B1457" s="309"/>
      <c r="C1457" s="120"/>
      <c r="D1457" s="121"/>
      <c r="E1457" s="121"/>
      <c r="F1457" s="92"/>
      <c r="G1457" s="92"/>
      <c r="H1457" s="122"/>
      <c r="I1457" s="68" t="str">
        <f>IFERROR(MID(作者统计[[#This Row],[作者]],FIND("[",作者统计[[#This Row],[作者]],1)+1,FIND("]",作者统计[[#This Row],[作者]],1)-FIND("[",作者统计[[#This Row],[作者]],1)-1),"")</f>
        <v/>
      </c>
      <c r="J145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58" spans="2:10" ht="18" customHeight="1" x14ac:dyDescent="0.25">
      <c r="B1458" s="309"/>
      <c r="C1458" s="120"/>
      <c r="D1458" s="121"/>
      <c r="E1458" s="121"/>
      <c r="F1458" s="92"/>
      <c r="G1458" s="92"/>
      <c r="H1458" s="122"/>
      <c r="I1458" s="68" t="str">
        <f>IFERROR(MID(作者统计[[#This Row],[作者]],FIND("[",作者统计[[#This Row],[作者]],1)+1,FIND("]",作者统计[[#This Row],[作者]],1)-FIND("[",作者统计[[#This Row],[作者]],1)-1),"")</f>
        <v/>
      </c>
      <c r="J1458" s="68" t="str">
        <f>IFERROR(MID(作者统计[[#This Row],[作者]],FIND("(",作者统计[[#This Row],[作者]],1)+1,FIND(")",作者统计[[#This Row],[作者]],1)-FIND("(",作者统计[[#This Row],[作者]],1)-1),"")</f>
        <v/>
      </c>
    </row>
    <row r="1459" spans="2:10" ht="18" customHeight="1" x14ac:dyDescent="0.25">
      <c r="B1459" s="256"/>
      <c r="C1459" s="257"/>
      <c r="D1459" s="258"/>
      <c r="E1459" s="258"/>
      <c r="F1459" s="259"/>
      <c r="G1459" s="259"/>
      <c r="H1459" s="260"/>
      <c r="I1459" s="261" t="str">
        <f>IFERROR(MID(作者统计[[#This Row],[作者]],FIND("[",作者统计[[#This Row],[作者]],1)+1,FIND("]",作者统计[[#This Row],[作者]],1)-FIND("[",作者统计[[#This Row],[作者]],1)-1),"")</f>
        <v/>
      </c>
      <c r="J145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60" spans="2:10" ht="18" customHeight="1" x14ac:dyDescent="0.25">
      <c r="B1460" s="309"/>
      <c r="C1460" s="120"/>
      <c r="D1460" s="121"/>
      <c r="E1460" s="121"/>
      <c r="F1460" s="92"/>
      <c r="G1460" s="92"/>
      <c r="H1460" s="122"/>
      <c r="I1460" s="68" t="str">
        <f>IFERROR(MID(作者统计[[#This Row],[作者]],FIND("[",作者统计[[#This Row],[作者]],1)+1,FIND("]",作者统计[[#This Row],[作者]],1)-FIND("[",作者统计[[#This Row],[作者]],1)-1),"")</f>
        <v/>
      </c>
      <c r="J1460" s="68" t="str">
        <f>IFERROR(MID(作者统计[[#This Row],[作者]],FIND("(",作者统计[[#This Row],[作者]],1)+1,FIND(")",作者统计[[#This Row],[作者]],1)-FIND("(",作者统计[[#This Row],[作者]],1)-1),"")</f>
        <v/>
      </c>
    </row>
    <row r="1461" spans="2:10" ht="18" customHeight="1" x14ac:dyDescent="0.25">
      <c r="B1461" s="309"/>
      <c r="C1461" s="120"/>
      <c r="D1461" s="121"/>
      <c r="E1461" s="121"/>
      <c r="F1461" s="92"/>
      <c r="G1461" s="92"/>
      <c r="H1461" s="122"/>
      <c r="I1461" s="68" t="str">
        <f>IFERROR(MID(作者统计[[#This Row],[作者]],FIND("[",作者统计[[#This Row],[作者]],1)+1,FIND("]",作者统计[[#This Row],[作者]],1)-FIND("[",作者统计[[#This Row],[作者]],1)-1),"")</f>
        <v/>
      </c>
      <c r="J1461" s="68" t="str">
        <f>IFERROR(MID(作者统计[[#This Row],[作者]],FIND("(",作者统计[[#This Row],[作者]],1)+1,FIND(")",作者统计[[#This Row],[作者]],1)-FIND("(",作者统计[[#This Row],[作者]],1)-1),"")</f>
        <v/>
      </c>
    </row>
    <row r="1462" spans="2:10" ht="18" customHeight="1" x14ac:dyDescent="0.25">
      <c r="B1462" s="309"/>
      <c r="C1462" s="120"/>
      <c r="D1462" s="121"/>
      <c r="E1462" s="121"/>
      <c r="F1462" s="92"/>
      <c r="G1462" s="92"/>
      <c r="H1462" s="122"/>
      <c r="I1462" s="68" t="str">
        <f>IFERROR(MID(作者统计[[#This Row],[作者]],FIND("[",作者统计[[#This Row],[作者]],1)+1,FIND("]",作者统计[[#This Row],[作者]],1)-FIND("[",作者统计[[#This Row],[作者]],1)-1),"")</f>
        <v/>
      </c>
      <c r="J1462" s="68" t="str">
        <f>IFERROR(MID(作者统计[[#This Row],[作者]],FIND("(",作者统计[[#This Row],[作者]],1)+1,FIND(")",作者统计[[#This Row],[作者]],1)-FIND("(",作者统计[[#This Row],[作者]],1)-1),"")</f>
        <v/>
      </c>
    </row>
    <row r="1463" spans="2:10" ht="18" customHeight="1" x14ac:dyDescent="0.25">
      <c r="B1463" s="309"/>
      <c r="C1463" s="120"/>
      <c r="D1463" s="121"/>
      <c r="E1463" s="121"/>
      <c r="F1463" s="92"/>
      <c r="G1463" s="92"/>
      <c r="H1463" s="122"/>
      <c r="I1463" s="68" t="str">
        <f>IFERROR(MID(作者统计[[#This Row],[作者]],FIND("[",作者统计[[#This Row],[作者]],1)+1,FIND("]",作者统计[[#This Row],[作者]],1)-FIND("[",作者统计[[#This Row],[作者]],1)-1),"")</f>
        <v/>
      </c>
      <c r="J1463" s="68" t="str">
        <f>IFERROR(MID(作者统计[[#This Row],[作者]],FIND("(",作者统计[[#This Row],[作者]],1)+1,FIND(")",作者统计[[#This Row],[作者]],1)-FIND("(",作者统计[[#This Row],[作者]],1)-1),"")</f>
        <v/>
      </c>
    </row>
    <row r="1464" spans="2:10" ht="18" customHeight="1" x14ac:dyDescent="0.25">
      <c r="B1464" s="85"/>
      <c r="C1464" s="120"/>
      <c r="D1464" s="121"/>
      <c r="E1464" s="121"/>
      <c r="F1464" s="92"/>
      <c r="G1464" s="92"/>
      <c r="H1464" s="122"/>
      <c r="I1464" s="68" t="str">
        <f>IFERROR(MID(作者统计[[#This Row],[作者]],FIND("[",作者统计[[#This Row],[作者]],1)+1,FIND("]",作者统计[[#This Row],[作者]],1)-FIND("[",作者统计[[#This Row],[作者]],1)-1),"")</f>
        <v/>
      </c>
      <c r="J1464" s="68" t="str">
        <f>IFERROR(MID(作者统计[[#This Row],[作者]],FIND("(",作者统计[[#This Row],[作者]],1)+1,FIND(")",作者统计[[#This Row],[作者]],1)-FIND("(",作者统计[[#This Row],[作者]],1)-1),"")</f>
        <v/>
      </c>
    </row>
    <row r="1465" spans="2:10" ht="18" customHeight="1" x14ac:dyDescent="0.25">
      <c r="B1465" s="309"/>
      <c r="C1465" s="120"/>
      <c r="D1465" s="121"/>
      <c r="E1465" s="121"/>
      <c r="F1465" s="92"/>
      <c r="G1465" s="92"/>
      <c r="H1465" s="122"/>
      <c r="I1465" s="68" t="str">
        <f>IFERROR(MID(作者统计[[#This Row],[作者]],FIND("[",作者统计[[#This Row],[作者]],1)+1,FIND("]",作者统计[[#This Row],[作者]],1)-FIND("[",作者统计[[#This Row],[作者]],1)-1),"")</f>
        <v/>
      </c>
      <c r="J1465" s="68" t="str">
        <f>IFERROR(MID(作者统计[[#This Row],[作者]],FIND("(",作者统计[[#This Row],[作者]],1)+1,FIND(")",作者统计[[#This Row],[作者]],1)-FIND("(",作者统计[[#This Row],[作者]],1)-1),"")</f>
        <v/>
      </c>
    </row>
    <row r="1466" spans="2:10" ht="18" customHeight="1" x14ac:dyDescent="0.25">
      <c r="B1466" s="309"/>
      <c r="C1466" s="120"/>
      <c r="D1466" s="121"/>
      <c r="E1466" s="121"/>
      <c r="F1466" s="92"/>
      <c r="G1466" s="92"/>
      <c r="H1466" s="122"/>
      <c r="I1466" s="68" t="str">
        <f>IFERROR(MID(作者统计[[#This Row],[作者]],FIND("[",作者统计[[#This Row],[作者]],1)+1,FIND("]",作者统计[[#This Row],[作者]],1)-FIND("[",作者统计[[#This Row],[作者]],1)-1),"")</f>
        <v/>
      </c>
      <c r="J146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67" spans="2:10" ht="18" customHeight="1" x14ac:dyDescent="0.25">
      <c r="B1467" s="256"/>
      <c r="C1467" s="257"/>
      <c r="D1467" s="258"/>
      <c r="E1467" s="258"/>
      <c r="F1467" s="259"/>
      <c r="G1467" s="259"/>
      <c r="H1467" s="260"/>
      <c r="I1467" s="261" t="str">
        <f>IFERROR(MID(作者统计[[#This Row],[作者]],FIND("[",作者统计[[#This Row],[作者]],1)+1,FIND("]",作者统计[[#This Row],[作者]],1)-FIND("[",作者统计[[#This Row],[作者]],1)-1),"")</f>
        <v/>
      </c>
      <c r="J146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68" spans="2:10" ht="18" customHeight="1" x14ac:dyDescent="0.25">
      <c r="B1468" s="256"/>
      <c r="C1468" s="257"/>
      <c r="D1468" s="258"/>
      <c r="E1468" s="258"/>
      <c r="F1468" s="259"/>
      <c r="G1468" s="259"/>
      <c r="H1468" s="260"/>
      <c r="I1468" s="261" t="str">
        <f>IFERROR(MID(作者统计[[#This Row],[作者]],FIND("[",作者统计[[#This Row],[作者]],1)+1,FIND("]",作者统计[[#This Row],[作者]],1)-FIND("[",作者统计[[#This Row],[作者]],1)-1),"")</f>
        <v/>
      </c>
      <c r="J146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69" spans="2:10" ht="18" customHeight="1" x14ac:dyDescent="0.25">
      <c r="B1469" s="256"/>
      <c r="C1469" s="257"/>
      <c r="D1469" s="258"/>
      <c r="E1469" s="258"/>
      <c r="F1469" s="259"/>
      <c r="G1469" s="259"/>
      <c r="H1469" s="260"/>
      <c r="I1469" s="261" t="str">
        <f>IFERROR(MID(作者统计[[#This Row],[作者]],FIND("[",作者统计[[#This Row],[作者]],1)+1,FIND("]",作者统计[[#This Row],[作者]],1)-FIND("[",作者统计[[#This Row],[作者]],1)-1),"")</f>
        <v/>
      </c>
      <c r="J146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70" spans="2:10" ht="18" customHeight="1" x14ac:dyDescent="0.25">
      <c r="B1470" s="309"/>
      <c r="C1470" s="120"/>
      <c r="D1470" s="121"/>
      <c r="E1470" s="121"/>
      <c r="F1470" s="92"/>
      <c r="G1470" s="92"/>
      <c r="H1470" s="122"/>
      <c r="I1470" s="68" t="str">
        <f>IFERROR(MID(作者统计[[#This Row],[作者]],FIND("[",作者统计[[#This Row],[作者]],1)+1,FIND("]",作者统计[[#This Row],[作者]],1)-FIND("[",作者统计[[#This Row],[作者]],1)-1),"")</f>
        <v/>
      </c>
      <c r="J1470" s="68" t="str">
        <f>IFERROR(MID(作者统计[[#This Row],[作者]],FIND("(",作者统计[[#This Row],[作者]],1)+1,FIND(")",作者统计[[#This Row],[作者]],1)-FIND("(",作者统计[[#This Row],[作者]],1)-1),"")</f>
        <v/>
      </c>
    </row>
    <row r="1471" spans="2:10" ht="18" customHeight="1" x14ac:dyDescent="0.25">
      <c r="B1471" s="85"/>
      <c r="C1471" s="120"/>
      <c r="D1471" s="121"/>
      <c r="E1471" s="121"/>
      <c r="F1471" s="92"/>
      <c r="G1471" s="92"/>
      <c r="H1471" s="122"/>
      <c r="I1471" s="68" t="str">
        <f>IFERROR(MID(作者统计[[#This Row],[作者]],FIND("[",作者统计[[#This Row],[作者]],1)+1,FIND("]",作者统计[[#This Row],[作者]],1)-FIND("[",作者统计[[#This Row],[作者]],1)-1),"")</f>
        <v/>
      </c>
      <c r="J1471" s="68" t="str">
        <f>IFERROR(MID(作者统计[[#This Row],[作者]],FIND("(",作者统计[[#This Row],[作者]],1)+1,FIND(")",作者统计[[#This Row],[作者]],1)-FIND("(",作者统计[[#This Row],[作者]],1)-1),"")</f>
        <v/>
      </c>
    </row>
    <row r="1472" spans="2:10" ht="18" customHeight="1" x14ac:dyDescent="0.25">
      <c r="B1472" s="85"/>
      <c r="C1472" s="120"/>
      <c r="D1472" s="121"/>
      <c r="E1472" s="121"/>
      <c r="F1472" s="92"/>
      <c r="G1472" s="92"/>
      <c r="H1472" s="122"/>
      <c r="I1472" s="68" t="str">
        <f>IFERROR(MID(作者统计[[#This Row],[作者]],FIND("[",作者统计[[#This Row],[作者]],1)+1,FIND("]",作者统计[[#This Row],[作者]],1)-FIND("[",作者统计[[#This Row],[作者]],1)-1),"")</f>
        <v/>
      </c>
      <c r="J1472" s="68" t="str">
        <f>IFERROR(MID(作者统计[[#This Row],[作者]],FIND("(",作者统计[[#This Row],[作者]],1)+1,FIND(")",作者统计[[#This Row],[作者]],1)-FIND("(",作者统计[[#This Row],[作者]],1)-1),"")</f>
        <v/>
      </c>
    </row>
    <row r="1473" spans="2:10" ht="18" customHeight="1" x14ac:dyDescent="0.25">
      <c r="B1473" s="256"/>
      <c r="C1473" s="257"/>
      <c r="D1473" s="258"/>
      <c r="E1473" s="258"/>
      <c r="F1473" s="259"/>
      <c r="G1473" s="259"/>
      <c r="H1473" s="260"/>
      <c r="I1473" s="261" t="str">
        <f>IFERROR(MID(作者统计[[#This Row],[作者]],FIND("[",作者统计[[#This Row],[作者]],1)+1,FIND("]",作者统计[[#This Row],[作者]],1)-FIND("[",作者统计[[#This Row],[作者]],1)-1),"")</f>
        <v/>
      </c>
      <c r="J147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74" spans="2:10" ht="18" customHeight="1" x14ac:dyDescent="0.25">
      <c r="B1474" s="311"/>
      <c r="C1474" s="180"/>
      <c r="D1474" s="181"/>
      <c r="E1474" s="181"/>
      <c r="F1474" s="182"/>
      <c r="G1474" s="182"/>
      <c r="H1474" s="183"/>
      <c r="I1474" s="77" t="str">
        <f>IFERROR(MID(作者统计[[#This Row],[作者]],FIND("[",作者统计[[#This Row],[作者]],1)+1,FIND("]",作者统计[[#This Row],[作者]],1)-FIND("[",作者统计[[#This Row],[作者]],1)-1),"")</f>
        <v/>
      </c>
      <c r="J1474" s="77" t="str">
        <f>IFERROR(MID(作者统计[[#This Row],[作者]],FIND("(",作者统计[[#This Row],[作者]],1)+1,FIND(")",作者统计[[#This Row],[作者]],1)-FIND("(",作者统计[[#This Row],[作者]],1)-1),"")</f>
        <v/>
      </c>
    </row>
    <row r="1475" spans="2:10" ht="18" customHeight="1" x14ac:dyDescent="0.25">
      <c r="B1475" s="85"/>
      <c r="C1475" s="120"/>
      <c r="D1475" s="121"/>
      <c r="E1475" s="121"/>
      <c r="F1475" s="92"/>
      <c r="G1475" s="92"/>
      <c r="H1475" s="122"/>
      <c r="I1475" s="68" t="str">
        <f>IFERROR(MID(作者统计[[#This Row],[作者]],FIND("[",作者统计[[#This Row],[作者]],1)+1,FIND("]",作者统计[[#This Row],[作者]],1)-FIND("[",作者统计[[#This Row],[作者]],1)-1),"")</f>
        <v/>
      </c>
      <c r="J1475" s="68" t="str">
        <f>IFERROR(MID(作者统计[[#This Row],[作者]],FIND("(",作者统计[[#This Row],[作者]],1)+1,FIND(")",作者统计[[#This Row],[作者]],1)-FIND("(",作者统计[[#This Row],[作者]],1)-1),"")</f>
        <v/>
      </c>
    </row>
    <row r="1476" spans="2:10" ht="18" customHeight="1" x14ac:dyDescent="0.25">
      <c r="B1476" s="309"/>
      <c r="C1476" s="120"/>
      <c r="D1476" s="121"/>
      <c r="E1476" s="121"/>
      <c r="F1476" s="92"/>
      <c r="G1476" s="92"/>
      <c r="H1476" s="122"/>
      <c r="I1476" s="68" t="str">
        <f>IFERROR(MID(作者统计[[#This Row],[作者]],FIND("[",作者统计[[#This Row],[作者]],1)+1,FIND("]",作者统计[[#This Row],[作者]],1)-FIND("[",作者统计[[#This Row],[作者]],1)-1),"")</f>
        <v/>
      </c>
      <c r="J147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77" spans="2:10" ht="18" customHeight="1" x14ac:dyDescent="0.25">
      <c r="B1477" s="309"/>
      <c r="C1477" s="120"/>
      <c r="D1477" s="121"/>
      <c r="E1477" s="121"/>
      <c r="F1477" s="92"/>
      <c r="G1477" s="92"/>
      <c r="H1477" s="122"/>
      <c r="I1477" s="68" t="str">
        <f>IFERROR(MID(作者统计[[#This Row],[作者]],FIND("[",作者统计[[#This Row],[作者]],1)+1,FIND("]",作者统计[[#This Row],[作者]],1)-FIND("[",作者统计[[#This Row],[作者]],1)-1),"")</f>
        <v/>
      </c>
      <c r="J147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78" spans="2:10" ht="18" customHeight="1" x14ac:dyDescent="0.25">
      <c r="B1478" s="256"/>
      <c r="C1478" s="257"/>
      <c r="D1478" s="258"/>
      <c r="E1478" s="258"/>
      <c r="F1478" s="259"/>
      <c r="G1478" s="259"/>
      <c r="H1478" s="260"/>
      <c r="I1478" s="261" t="str">
        <f>IFERROR(MID(作者统计[[#This Row],[作者]],FIND("[",作者统计[[#This Row],[作者]],1)+1,FIND("]",作者统计[[#This Row],[作者]],1)-FIND("[",作者统计[[#This Row],[作者]],1)-1),"")</f>
        <v/>
      </c>
      <c r="J147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79" spans="2:10" ht="18" customHeight="1" x14ac:dyDescent="0.25">
      <c r="B1479" s="256"/>
      <c r="C1479" s="257"/>
      <c r="D1479" s="258"/>
      <c r="E1479" s="258"/>
      <c r="F1479" s="259"/>
      <c r="G1479" s="259"/>
      <c r="H1479" s="260"/>
      <c r="I1479" s="261" t="str">
        <f>IFERROR(MID(作者统计[[#This Row],[作者]],FIND("[",作者统计[[#This Row],[作者]],1)+1,FIND("]",作者统计[[#This Row],[作者]],1)-FIND("[",作者统计[[#This Row],[作者]],1)-1),"")</f>
        <v/>
      </c>
      <c r="J147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80" spans="2:10" ht="18" customHeight="1" x14ac:dyDescent="0.25">
      <c r="B1480" s="85"/>
      <c r="C1480" s="120"/>
      <c r="D1480" s="121"/>
      <c r="E1480" s="121"/>
      <c r="F1480" s="92"/>
      <c r="G1480" s="92"/>
      <c r="H1480" s="122"/>
      <c r="I1480" s="68" t="str">
        <f>IFERROR(MID(作者统计[[#This Row],[作者]],FIND("[",作者统计[[#This Row],[作者]],1)+1,FIND("]",作者统计[[#This Row],[作者]],1)-FIND("[",作者统计[[#This Row],[作者]],1)-1),"")</f>
        <v/>
      </c>
      <c r="J1480" s="68" t="str">
        <f>IFERROR(MID(作者统计[[#This Row],[作者]],FIND("(",作者统计[[#This Row],[作者]],1)+1,FIND(")",作者统计[[#This Row],[作者]],1)-FIND("(",作者统计[[#This Row],[作者]],1)-1),"")</f>
        <v/>
      </c>
    </row>
    <row r="1481" spans="2:10" ht="18" customHeight="1" x14ac:dyDescent="0.25">
      <c r="B1481" s="309"/>
      <c r="C1481" s="120"/>
      <c r="D1481" s="121"/>
      <c r="E1481" s="121"/>
      <c r="F1481" s="92"/>
      <c r="G1481" s="92"/>
      <c r="H1481" s="122"/>
      <c r="I1481" s="68" t="str">
        <f>IFERROR(MID(作者统计[[#This Row],[作者]],FIND("[",作者统计[[#This Row],[作者]],1)+1,FIND("]",作者统计[[#This Row],[作者]],1)-FIND("[",作者统计[[#This Row],[作者]],1)-1),"")</f>
        <v/>
      </c>
      <c r="J1481" s="68" t="str">
        <f>IFERROR(MID(作者统计[[#This Row],[作者]],FIND("(",作者统计[[#This Row],[作者]],1)+1,FIND(")",作者统计[[#This Row],[作者]],1)-FIND("(",作者统计[[#This Row],[作者]],1)-1),"")</f>
        <v/>
      </c>
    </row>
    <row r="1482" spans="2:10" ht="18" customHeight="1" x14ac:dyDescent="0.25">
      <c r="B1482" s="256"/>
      <c r="C1482" s="257"/>
      <c r="D1482" s="258"/>
      <c r="E1482" s="258"/>
      <c r="F1482" s="259"/>
      <c r="G1482" s="259"/>
      <c r="H1482" s="260"/>
      <c r="I1482" s="261" t="str">
        <f>IFERROR(MID(作者统计[[#This Row],[作者]],FIND("[",作者统计[[#This Row],[作者]],1)+1,FIND("]",作者统计[[#This Row],[作者]],1)-FIND("[",作者统计[[#This Row],[作者]],1)-1),"")</f>
        <v/>
      </c>
      <c r="J148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83" spans="2:10" ht="18" customHeight="1" x14ac:dyDescent="0.25">
      <c r="B1483" s="256"/>
      <c r="C1483" s="257"/>
      <c r="D1483" s="258"/>
      <c r="E1483" s="258"/>
      <c r="F1483" s="259"/>
      <c r="G1483" s="259"/>
      <c r="H1483" s="260"/>
      <c r="I1483" s="261" t="str">
        <f>IFERROR(MID(作者统计[[#This Row],[作者]],FIND("[",作者统计[[#This Row],[作者]],1)+1,FIND("]",作者统计[[#This Row],[作者]],1)-FIND("[",作者统计[[#This Row],[作者]],1)-1),"")</f>
        <v/>
      </c>
      <c r="J148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84" spans="2:10" ht="18" customHeight="1" x14ac:dyDescent="0.25">
      <c r="B1484" s="85"/>
      <c r="C1484" s="120"/>
      <c r="D1484" s="121"/>
      <c r="E1484" s="121"/>
      <c r="F1484" s="92"/>
      <c r="G1484" s="92"/>
      <c r="H1484" s="122"/>
      <c r="I1484" s="68" t="str">
        <f>IFERROR(MID(作者统计[[#This Row],[作者]],FIND("[",作者统计[[#This Row],[作者]],1)+1,FIND("]",作者统计[[#This Row],[作者]],1)-FIND("[",作者统计[[#This Row],[作者]],1)-1),"")</f>
        <v/>
      </c>
      <c r="J1484" s="68" t="str">
        <f>IFERROR(MID(作者统计[[#This Row],[作者]],FIND("(",作者统计[[#This Row],[作者]],1)+1,FIND(")",作者统计[[#This Row],[作者]],1)-FIND("(",作者统计[[#This Row],[作者]],1)-1),"")</f>
        <v/>
      </c>
    </row>
    <row r="1485" spans="2:10" ht="18" customHeight="1" x14ac:dyDescent="0.25">
      <c r="B1485" s="256"/>
      <c r="C1485" s="257"/>
      <c r="D1485" s="258"/>
      <c r="E1485" s="258"/>
      <c r="F1485" s="259"/>
      <c r="G1485" s="259"/>
      <c r="H1485" s="260"/>
      <c r="I1485" s="261" t="str">
        <f>IFERROR(MID(作者统计[[#This Row],[作者]],FIND("[",作者统计[[#This Row],[作者]],1)+1,FIND("]",作者统计[[#This Row],[作者]],1)-FIND("[",作者统计[[#This Row],[作者]],1)-1),"")</f>
        <v/>
      </c>
      <c r="J148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86" spans="2:10" ht="18" customHeight="1" x14ac:dyDescent="0.25">
      <c r="B1486" s="85"/>
      <c r="C1486" s="120"/>
      <c r="D1486" s="121"/>
      <c r="E1486" s="121"/>
      <c r="F1486" s="92"/>
      <c r="G1486" s="92"/>
      <c r="H1486" s="122"/>
      <c r="I1486" s="68" t="str">
        <f>IFERROR(MID(作者统计[[#This Row],[作者]],FIND("[",作者统计[[#This Row],[作者]],1)+1,FIND("]",作者统计[[#This Row],[作者]],1)-FIND("[",作者统计[[#This Row],[作者]],1)-1),"")</f>
        <v/>
      </c>
      <c r="J148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87" spans="2:10" ht="18" customHeight="1" x14ac:dyDescent="0.25">
      <c r="B1487" s="309"/>
      <c r="C1487" s="120"/>
      <c r="D1487" s="121"/>
      <c r="E1487" s="121"/>
      <c r="F1487" s="92"/>
      <c r="G1487" s="92"/>
      <c r="H1487" s="122"/>
      <c r="I1487" s="68" t="str">
        <f>IFERROR(MID(作者统计[[#This Row],[作者]],FIND("[",作者统计[[#This Row],[作者]],1)+1,FIND("]",作者统计[[#This Row],[作者]],1)-FIND("[",作者统计[[#This Row],[作者]],1)-1),"")</f>
        <v/>
      </c>
      <c r="J148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88" spans="2:10" ht="18" customHeight="1" x14ac:dyDescent="0.25">
      <c r="B1488" s="85"/>
      <c r="C1488" s="120"/>
      <c r="D1488" s="121"/>
      <c r="E1488" s="121"/>
      <c r="F1488" s="92"/>
      <c r="G1488" s="92"/>
      <c r="H1488" s="122"/>
      <c r="I1488" s="68" t="str">
        <f>IFERROR(MID(作者统计[[#This Row],[作者]],FIND("[",作者统计[[#This Row],[作者]],1)+1,FIND("]",作者统计[[#This Row],[作者]],1)-FIND("[",作者统计[[#This Row],[作者]],1)-1),"")</f>
        <v/>
      </c>
      <c r="J1488" s="68" t="str">
        <f>IFERROR(MID(作者统计[[#This Row],[作者]],FIND("(",作者统计[[#This Row],[作者]],1)+1,FIND(")",作者统计[[#This Row],[作者]],1)-FIND("(",作者统计[[#This Row],[作者]],1)-1),"")</f>
        <v/>
      </c>
    </row>
    <row r="1489" spans="2:10" ht="18" customHeight="1" x14ac:dyDescent="0.25">
      <c r="B1489" s="85"/>
      <c r="C1489" s="120"/>
      <c r="D1489" s="121"/>
      <c r="E1489" s="121"/>
      <c r="F1489" s="92"/>
      <c r="G1489" s="92"/>
      <c r="H1489" s="122"/>
      <c r="I1489" s="68" t="str">
        <f>IFERROR(MID(作者统计[[#This Row],[作者]],FIND("[",作者统计[[#This Row],[作者]],1)+1,FIND("]",作者统计[[#This Row],[作者]],1)-FIND("[",作者统计[[#This Row],[作者]],1)-1),"")</f>
        <v/>
      </c>
      <c r="J1489" s="68" t="str">
        <f>IFERROR(MID(作者统计[[#This Row],[作者]],FIND("(",作者统计[[#This Row],[作者]],1)+1,FIND(")",作者统计[[#This Row],[作者]],1)-FIND("(",作者统计[[#This Row],[作者]],1)-1),"")</f>
        <v/>
      </c>
    </row>
    <row r="1490" spans="2:10" ht="18" customHeight="1" x14ac:dyDescent="0.25">
      <c r="B1490" s="85"/>
      <c r="C1490" s="120"/>
      <c r="D1490" s="121"/>
      <c r="E1490" s="121"/>
      <c r="F1490" s="92"/>
      <c r="G1490" s="92"/>
      <c r="H1490" s="122"/>
      <c r="I1490" s="68" t="str">
        <f>IFERROR(MID(作者统计[[#This Row],[作者]],FIND("[",作者统计[[#This Row],[作者]],1)+1,FIND("]",作者统计[[#This Row],[作者]],1)-FIND("[",作者统计[[#This Row],[作者]],1)-1),"")</f>
        <v/>
      </c>
      <c r="J1490" s="68" t="str">
        <f>IFERROR(MID(作者统计[[#This Row],[作者]],FIND("(",作者统计[[#This Row],[作者]],1)+1,FIND(")",作者统计[[#This Row],[作者]],1)-FIND("(",作者统计[[#This Row],[作者]],1)-1),"")</f>
        <v/>
      </c>
    </row>
    <row r="1491" spans="2:10" ht="18" customHeight="1" x14ac:dyDescent="0.25">
      <c r="B1491" s="85"/>
      <c r="C1491" s="120"/>
      <c r="D1491" s="121"/>
      <c r="E1491" s="121"/>
      <c r="F1491" s="92"/>
      <c r="G1491" s="92"/>
      <c r="H1491" s="122"/>
      <c r="I1491" s="68" t="str">
        <f>IFERROR(MID(作者统计[[#This Row],[作者]],FIND("[",作者统计[[#This Row],[作者]],1)+1,FIND("]",作者统计[[#This Row],[作者]],1)-FIND("[",作者统计[[#This Row],[作者]],1)-1),"")</f>
        <v/>
      </c>
      <c r="J1491" s="68" t="str">
        <f>IFERROR(MID(作者统计[[#This Row],[作者]],FIND("(",作者统计[[#This Row],[作者]],1)+1,FIND(")",作者统计[[#This Row],[作者]],1)-FIND("(",作者统计[[#This Row],[作者]],1)-1),"")</f>
        <v/>
      </c>
    </row>
    <row r="1492" spans="2:10" ht="18" customHeight="1" x14ac:dyDescent="0.25">
      <c r="B1492" s="256"/>
      <c r="C1492" s="257"/>
      <c r="D1492" s="258"/>
      <c r="E1492" s="258"/>
      <c r="F1492" s="259"/>
      <c r="G1492" s="259"/>
      <c r="H1492" s="260"/>
      <c r="I1492" s="261" t="str">
        <f>IFERROR(MID(作者统计[[#This Row],[作者]],FIND("[",作者统计[[#This Row],[作者]],1)+1,FIND("]",作者统计[[#This Row],[作者]],1)-FIND("[",作者统计[[#This Row],[作者]],1)-1),"")</f>
        <v/>
      </c>
      <c r="J149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93" spans="2:10" ht="18" customHeight="1" x14ac:dyDescent="0.25">
      <c r="B1493" s="85"/>
      <c r="C1493" s="120"/>
      <c r="D1493" s="121"/>
      <c r="E1493" s="121"/>
      <c r="F1493" s="92"/>
      <c r="G1493" s="92"/>
      <c r="H1493" s="122"/>
      <c r="I1493" s="68" t="str">
        <f>IFERROR(MID(作者统计[[#This Row],[作者]],FIND("[",作者统计[[#This Row],[作者]],1)+1,FIND("]",作者统计[[#This Row],[作者]],1)-FIND("[",作者统计[[#This Row],[作者]],1)-1),"")</f>
        <v/>
      </c>
      <c r="J1493" s="68" t="str">
        <f>IFERROR(MID(作者统计[[#This Row],[作者]],FIND("(",作者统计[[#This Row],[作者]],1)+1,FIND(")",作者统计[[#This Row],[作者]],1)-FIND("(",作者统计[[#This Row],[作者]],1)-1),"")</f>
        <v/>
      </c>
    </row>
    <row r="1494" spans="2:10" ht="18" customHeight="1" x14ac:dyDescent="0.25">
      <c r="B1494" s="85"/>
      <c r="C1494" s="120"/>
      <c r="D1494" s="121"/>
      <c r="E1494" s="121"/>
      <c r="F1494" s="92"/>
      <c r="G1494" s="92"/>
      <c r="H1494" s="122"/>
      <c r="I1494" s="68" t="str">
        <f>IFERROR(MID(作者统计[[#This Row],[作者]],FIND("[",作者统计[[#This Row],[作者]],1)+1,FIND("]",作者统计[[#This Row],[作者]],1)-FIND("[",作者统计[[#This Row],[作者]],1)-1),"")</f>
        <v/>
      </c>
      <c r="J1494" s="68" t="str">
        <f>IFERROR(MID(作者统计[[#This Row],[作者]],FIND("(",作者统计[[#This Row],[作者]],1)+1,FIND(")",作者统计[[#This Row],[作者]],1)-FIND("(",作者统计[[#This Row],[作者]],1)-1),"")</f>
        <v/>
      </c>
    </row>
    <row r="1495" spans="2:10" ht="18" customHeight="1" x14ac:dyDescent="0.25">
      <c r="B1495" s="85"/>
      <c r="C1495" s="120"/>
      <c r="D1495" s="121"/>
      <c r="E1495" s="121"/>
      <c r="F1495" s="92"/>
      <c r="G1495" s="92"/>
      <c r="H1495" s="122"/>
      <c r="I1495" s="68" t="str">
        <f>IFERROR(MID(作者统计[[#This Row],[作者]],FIND("[",作者统计[[#This Row],[作者]],1)+1,FIND("]",作者统计[[#This Row],[作者]],1)-FIND("[",作者统计[[#This Row],[作者]],1)-1),"")</f>
        <v/>
      </c>
      <c r="J1495" s="68" t="str">
        <f>IFERROR(MID(作者统计[[#This Row],[作者]],FIND("(",作者统计[[#This Row],[作者]],1)+1,FIND(")",作者统计[[#This Row],[作者]],1)-FIND("(",作者统计[[#This Row],[作者]],1)-1),"")</f>
        <v/>
      </c>
    </row>
    <row r="1496" spans="2:10" ht="18" customHeight="1" x14ac:dyDescent="0.25">
      <c r="B1496" s="85"/>
      <c r="C1496" s="120"/>
      <c r="D1496" s="121"/>
      <c r="E1496" s="121"/>
      <c r="F1496" s="92"/>
      <c r="G1496" s="92"/>
      <c r="H1496" s="122"/>
      <c r="I1496" s="68" t="str">
        <f>IFERROR(MID(作者统计[[#This Row],[作者]],FIND("[",作者统计[[#This Row],[作者]],1)+1,FIND("]",作者统计[[#This Row],[作者]],1)-FIND("[",作者统计[[#This Row],[作者]],1)-1),"")</f>
        <v/>
      </c>
      <c r="J1496" s="68" t="str">
        <f>IFERROR(MID(作者统计[[#This Row],[作者]],FIND("(",作者统计[[#This Row],[作者]],1)+1,FIND(")",作者统计[[#This Row],[作者]],1)-FIND("(",作者统计[[#This Row],[作者]],1)-1),"")</f>
        <v/>
      </c>
    </row>
    <row r="1497" spans="2:10" ht="18" customHeight="1" x14ac:dyDescent="0.25">
      <c r="B1497" s="309"/>
      <c r="C1497" s="120"/>
      <c r="D1497" s="121"/>
      <c r="E1497" s="121"/>
      <c r="F1497" s="92"/>
      <c r="G1497" s="92"/>
      <c r="H1497" s="122"/>
      <c r="I1497" s="68" t="str">
        <f>IFERROR(MID(作者统计[[#This Row],[作者]],FIND("[",作者统计[[#This Row],[作者]],1)+1,FIND("]",作者统计[[#This Row],[作者]],1)-FIND("[",作者统计[[#This Row],[作者]],1)-1),"")</f>
        <v/>
      </c>
      <c r="J1497" s="68" t="str">
        <f>IFERROR(MID(作者统计[[#This Row],[作者]],FIND("(",作者统计[[#This Row],[作者]],1)+1,FIND(")",作者统计[[#This Row],[作者]],1)-FIND("(",作者统计[[#This Row],[作者]],1)-1),"")</f>
        <v/>
      </c>
    </row>
    <row r="1498" spans="2:10" ht="18" customHeight="1" x14ac:dyDescent="0.25">
      <c r="B1498" s="256"/>
      <c r="C1498" s="257"/>
      <c r="D1498" s="258"/>
      <c r="E1498" s="258"/>
      <c r="F1498" s="259"/>
      <c r="G1498" s="259"/>
      <c r="H1498" s="260"/>
      <c r="I1498" s="261" t="str">
        <f>IFERROR(MID(作者统计[[#This Row],[作者]],FIND("[",作者统计[[#This Row],[作者]],1)+1,FIND("]",作者统计[[#This Row],[作者]],1)-FIND("[",作者统计[[#This Row],[作者]],1)-1),"")</f>
        <v/>
      </c>
      <c r="J149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499" spans="2:10" ht="18" customHeight="1" x14ac:dyDescent="0.25">
      <c r="B1499" s="85"/>
      <c r="C1499" s="120"/>
      <c r="D1499" s="121"/>
      <c r="E1499" s="121"/>
      <c r="F1499" s="92"/>
      <c r="G1499" s="92"/>
      <c r="H1499" s="122"/>
      <c r="I1499" s="68" t="str">
        <f>IFERROR(MID(作者统计[[#This Row],[作者]],FIND("[",作者统计[[#This Row],[作者]],1)+1,FIND("]",作者统计[[#This Row],[作者]],1)-FIND("[",作者统计[[#This Row],[作者]],1)-1),"")</f>
        <v/>
      </c>
      <c r="J1499" s="68" t="str">
        <f>IFERROR(MID(作者统计[[#This Row],[作者]],FIND("(",作者统计[[#This Row],[作者]],1)+1,FIND(")",作者统计[[#This Row],[作者]],1)-FIND("(",作者统计[[#This Row],[作者]],1)-1),"")</f>
        <v/>
      </c>
    </row>
    <row r="1500" spans="2:10" ht="18" customHeight="1" x14ac:dyDescent="0.25">
      <c r="B1500" s="256"/>
      <c r="C1500" s="257"/>
      <c r="D1500" s="258"/>
      <c r="E1500" s="258"/>
      <c r="F1500" s="259"/>
      <c r="G1500" s="259"/>
      <c r="H1500" s="260"/>
      <c r="I1500" s="261" t="str">
        <f>IFERROR(MID(作者统计[[#This Row],[作者]],FIND("[",作者统计[[#This Row],[作者]],1)+1,FIND("]",作者统计[[#This Row],[作者]],1)-FIND("[",作者统计[[#This Row],[作者]],1)-1),"")</f>
        <v/>
      </c>
      <c r="J150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01" spans="2:10" ht="18" customHeight="1" x14ac:dyDescent="0.25">
      <c r="B1501" s="256"/>
      <c r="C1501" s="257"/>
      <c r="D1501" s="258"/>
      <c r="E1501" s="258"/>
      <c r="F1501" s="259"/>
      <c r="G1501" s="259"/>
      <c r="H1501" s="260"/>
      <c r="I1501" s="261" t="str">
        <f>IFERROR(MID(作者统计[[#This Row],[作者]],FIND("[",作者统计[[#This Row],[作者]],1)+1,FIND("]",作者统计[[#This Row],[作者]],1)-FIND("[",作者统计[[#This Row],[作者]],1)-1),"")</f>
        <v/>
      </c>
      <c r="J150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02" spans="2:10" ht="18" customHeight="1" x14ac:dyDescent="0.25">
      <c r="B1502" s="256"/>
      <c r="C1502" s="257"/>
      <c r="D1502" s="258"/>
      <c r="E1502" s="258"/>
      <c r="F1502" s="259"/>
      <c r="G1502" s="259"/>
      <c r="H1502" s="260"/>
      <c r="I1502" s="261" t="str">
        <f>IFERROR(MID(作者统计[[#This Row],[作者]],FIND("[",作者统计[[#This Row],[作者]],1)+1,FIND("]",作者统计[[#This Row],[作者]],1)-FIND("[",作者统计[[#This Row],[作者]],1)-1),"")</f>
        <v/>
      </c>
      <c r="J150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03" spans="2:10" ht="18" customHeight="1" x14ac:dyDescent="0.25">
      <c r="B1503" s="85"/>
      <c r="C1503" s="120"/>
      <c r="D1503" s="121"/>
      <c r="E1503" s="121"/>
      <c r="F1503" s="92"/>
      <c r="G1503" s="92"/>
      <c r="H1503" s="122"/>
      <c r="I1503" s="68" t="str">
        <f>IFERROR(MID(作者统计[[#This Row],[作者]],FIND("[",作者统计[[#This Row],[作者]],1)+1,FIND("]",作者统计[[#This Row],[作者]],1)-FIND("[",作者统计[[#This Row],[作者]],1)-1),"")</f>
        <v/>
      </c>
      <c r="J1503" s="68" t="str">
        <f>IFERROR(MID(作者统计[[#This Row],[作者]],FIND("(",作者统计[[#This Row],[作者]],1)+1,FIND(")",作者统计[[#This Row],[作者]],1)-FIND("(",作者统计[[#This Row],[作者]],1)-1),"")</f>
        <v/>
      </c>
    </row>
    <row r="1504" spans="2:10" ht="18" customHeight="1" x14ac:dyDescent="0.25">
      <c r="B1504" s="85"/>
      <c r="C1504" s="120"/>
      <c r="D1504" s="121"/>
      <c r="E1504" s="121"/>
      <c r="F1504" s="92"/>
      <c r="G1504" s="92"/>
      <c r="H1504" s="122"/>
      <c r="I1504" s="68" t="str">
        <f>IFERROR(MID(作者统计[[#This Row],[作者]],FIND("[",作者统计[[#This Row],[作者]],1)+1,FIND("]",作者统计[[#This Row],[作者]],1)-FIND("[",作者统计[[#This Row],[作者]],1)-1),"")</f>
        <v/>
      </c>
      <c r="J1504" s="68" t="str">
        <f>IFERROR(MID(作者统计[[#This Row],[作者]],FIND("(",作者统计[[#This Row],[作者]],1)+1,FIND(")",作者统计[[#This Row],[作者]],1)-FIND("(",作者统计[[#This Row],[作者]],1)-1),"")</f>
        <v/>
      </c>
    </row>
    <row r="1505" spans="2:10" ht="18" customHeight="1" x14ac:dyDescent="0.25">
      <c r="B1505" s="85"/>
      <c r="C1505" s="120"/>
      <c r="D1505" s="121"/>
      <c r="E1505" s="121"/>
      <c r="F1505" s="92"/>
      <c r="G1505" s="92"/>
      <c r="H1505" s="122"/>
      <c r="I1505" s="68" t="str">
        <f>IFERROR(MID(作者统计[[#This Row],[作者]],FIND("[",作者统计[[#This Row],[作者]],1)+1,FIND("]",作者统计[[#This Row],[作者]],1)-FIND("[",作者统计[[#This Row],[作者]],1)-1),"")</f>
        <v/>
      </c>
      <c r="J150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06" spans="2:10" ht="18" customHeight="1" x14ac:dyDescent="0.25">
      <c r="B1506" s="309"/>
      <c r="C1506" s="120"/>
      <c r="D1506" s="121"/>
      <c r="E1506" s="121"/>
      <c r="F1506" s="92"/>
      <c r="G1506" s="92"/>
      <c r="H1506" s="122"/>
      <c r="I1506" s="68" t="str">
        <f>IFERROR(MID(作者统计[[#This Row],[作者]],FIND("[",作者统计[[#This Row],[作者]],1)+1,FIND("]",作者统计[[#This Row],[作者]],1)-FIND("[",作者统计[[#This Row],[作者]],1)-1),"")</f>
        <v/>
      </c>
      <c r="J1506" s="68" t="str">
        <f>IFERROR(MID(作者统计[[#This Row],[作者]],FIND("(",作者统计[[#This Row],[作者]],1)+1,FIND(")",作者统计[[#This Row],[作者]],1)-FIND("(",作者统计[[#This Row],[作者]],1)-1),"")</f>
        <v/>
      </c>
    </row>
    <row r="1507" spans="2:10" ht="18" customHeight="1" x14ac:dyDescent="0.25">
      <c r="B1507" s="309"/>
      <c r="C1507" s="120"/>
      <c r="D1507" s="121"/>
      <c r="E1507" s="121"/>
      <c r="F1507" s="92"/>
      <c r="G1507" s="92"/>
      <c r="H1507" s="122"/>
      <c r="I1507" s="68" t="str">
        <f>IFERROR(MID(作者统计[[#This Row],[作者]],FIND("[",作者统计[[#This Row],[作者]],1)+1,FIND("]",作者统计[[#This Row],[作者]],1)-FIND("[",作者统计[[#This Row],[作者]],1)-1),"")</f>
        <v/>
      </c>
      <c r="J150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08" spans="2:10" ht="18" customHeight="1" x14ac:dyDescent="0.25">
      <c r="B1508" s="256"/>
      <c r="C1508" s="257"/>
      <c r="D1508" s="258"/>
      <c r="E1508" s="258"/>
      <c r="F1508" s="259"/>
      <c r="G1508" s="259"/>
      <c r="H1508" s="260"/>
      <c r="I1508" s="261" t="str">
        <f>IFERROR(MID(作者统计[[#This Row],[作者]],FIND("[",作者统计[[#This Row],[作者]],1)+1,FIND("]",作者统计[[#This Row],[作者]],1)-FIND("[",作者统计[[#This Row],[作者]],1)-1),"")</f>
        <v/>
      </c>
      <c r="J150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09" spans="2:10" ht="18" customHeight="1" x14ac:dyDescent="0.25">
      <c r="B1509" s="85"/>
      <c r="C1509" s="120"/>
      <c r="D1509" s="121"/>
      <c r="E1509" s="121"/>
      <c r="F1509" s="92"/>
      <c r="G1509" s="92"/>
      <c r="H1509" s="122"/>
      <c r="I1509" s="68" t="str">
        <f>IFERROR(MID(作者统计[[#This Row],[作者]],FIND("[",作者统计[[#This Row],[作者]],1)+1,FIND("]",作者统计[[#This Row],[作者]],1)-FIND("[",作者统计[[#This Row],[作者]],1)-1),"")</f>
        <v/>
      </c>
      <c r="J1509" s="68" t="str">
        <f>IFERROR(MID(作者统计[[#This Row],[作者]],FIND("(",作者统计[[#This Row],[作者]],1)+1,FIND(")",作者统计[[#This Row],[作者]],1)-FIND("(",作者统计[[#This Row],[作者]],1)-1),"")</f>
        <v/>
      </c>
    </row>
    <row r="1510" spans="2:10" ht="18" customHeight="1" x14ac:dyDescent="0.25">
      <c r="B1510" s="256"/>
      <c r="C1510" s="257"/>
      <c r="D1510" s="258"/>
      <c r="E1510" s="258"/>
      <c r="F1510" s="259"/>
      <c r="G1510" s="259"/>
      <c r="H1510" s="260"/>
      <c r="I1510" s="261" t="str">
        <f>IFERROR(MID(作者统计[[#This Row],[作者]],FIND("[",作者统计[[#This Row],[作者]],1)+1,FIND("]",作者统计[[#This Row],[作者]],1)-FIND("[",作者统计[[#This Row],[作者]],1)-1),"")</f>
        <v/>
      </c>
      <c r="J151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11" spans="2:10" ht="18" customHeight="1" x14ac:dyDescent="0.25">
      <c r="B1511" s="85"/>
      <c r="C1511" s="120"/>
      <c r="D1511" s="121"/>
      <c r="E1511" s="121"/>
      <c r="F1511" s="92"/>
      <c r="G1511" s="92"/>
      <c r="H1511" s="122"/>
      <c r="I1511" s="68" t="str">
        <f>IFERROR(MID(作者统计[[#This Row],[作者]],FIND("[",作者统计[[#This Row],[作者]],1)+1,FIND("]",作者统计[[#This Row],[作者]],1)-FIND("[",作者统计[[#This Row],[作者]],1)-1),"")</f>
        <v/>
      </c>
      <c r="J1511" s="68" t="str">
        <f>IFERROR(MID(作者统计[[#This Row],[作者]],FIND("(",作者统计[[#This Row],[作者]],1)+1,FIND(")",作者统计[[#This Row],[作者]],1)-FIND("(",作者统计[[#This Row],[作者]],1)-1),"")</f>
        <v/>
      </c>
    </row>
    <row r="1512" spans="2:10" ht="18" customHeight="1" x14ac:dyDescent="0.25">
      <c r="B1512" s="85"/>
      <c r="C1512" s="120"/>
      <c r="D1512" s="121"/>
      <c r="E1512" s="121"/>
      <c r="F1512" s="92"/>
      <c r="G1512" s="92"/>
      <c r="H1512" s="122"/>
      <c r="I1512" s="68" t="str">
        <f>IFERROR(MID(作者统计[[#This Row],[作者]],FIND("[",作者统计[[#This Row],[作者]],1)+1,FIND("]",作者统计[[#This Row],[作者]],1)-FIND("[",作者统计[[#This Row],[作者]],1)-1),"")</f>
        <v/>
      </c>
      <c r="J1512" s="68" t="str">
        <f>IFERROR(MID(作者统计[[#This Row],[作者]],FIND("(",作者统计[[#This Row],[作者]],1)+1,FIND(")",作者统计[[#This Row],[作者]],1)-FIND("(",作者统计[[#This Row],[作者]],1)-1),"")</f>
        <v/>
      </c>
    </row>
    <row r="1513" spans="2:10" ht="18" customHeight="1" x14ac:dyDescent="0.25">
      <c r="B1513" s="256"/>
      <c r="C1513" s="257"/>
      <c r="D1513" s="258"/>
      <c r="E1513" s="258"/>
      <c r="F1513" s="259"/>
      <c r="G1513" s="259"/>
      <c r="H1513" s="260"/>
      <c r="I1513" s="261" t="str">
        <f>IFERROR(MID(作者统计[[#This Row],[作者]],FIND("[",作者统计[[#This Row],[作者]],1)+1,FIND("]",作者统计[[#This Row],[作者]],1)-FIND("[",作者统计[[#This Row],[作者]],1)-1),"")</f>
        <v/>
      </c>
      <c r="J151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14" spans="2:10" ht="18" customHeight="1" x14ac:dyDescent="0.25">
      <c r="B1514" s="85"/>
      <c r="C1514" s="120"/>
      <c r="D1514" s="121"/>
      <c r="E1514" s="121"/>
      <c r="F1514" s="92"/>
      <c r="G1514" s="92"/>
      <c r="H1514" s="122"/>
      <c r="I1514" s="68" t="str">
        <f>IFERROR(MID(作者统计[[#This Row],[作者]],FIND("[",作者统计[[#This Row],[作者]],1)+1,FIND("]",作者统计[[#This Row],[作者]],1)-FIND("[",作者统计[[#This Row],[作者]],1)-1),"")</f>
        <v/>
      </c>
      <c r="J1514" s="68" t="str">
        <f>IFERROR(MID(作者统计[[#This Row],[作者]],FIND("(",作者统计[[#This Row],[作者]],1)+1,FIND(")",作者统计[[#This Row],[作者]],1)-FIND("(",作者统计[[#This Row],[作者]],1)-1),"")</f>
        <v/>
      </c>
    </row>
    <row r="1515" spans="2:10" ht="18" customHeight="1" x14ac:dyDescent="0.25">
      <c r="B1515" s="309"/>
      <c r="C1515" s="120"/>
      <c r="D1515" s="121"/>
      <c r="E1515" s="121"/>
      <c r="F1515" s="92"/>
      <c r="G1515" s="92"/>
      <c r="H1515" s="122"/>
      <c r="I1515" s="68" t="str">
        <f>IFERROR(MID(作者统计[[#This Row],[作者]],FIND("[",作者统计[[#This Row],[作者]],1)+1,FIND("]",作者统计[[#This Row],[作者]],1)-FIND("[",作者统计[[#This Row],[作者]],1)-1),"")</f>
        <v/>
      </c>
      <c r="J151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16" spans="2:10" ht="18" customHeight="1" x14ac:dyDescent="0.25">
      <c r="B1516" s="256"/>
      <c r="C1516" s="257"/>
      <c r="D1516" s="258"/>
      <c r="E1516" s="258"/>
      <c r="F1516" s="259"/>
      <c r="G1516" s="259"/>
      <c r="H1516" s="260"/>
      <c r="I1516" s="261" t="str">
        <f>IFERROR(MID(作者统计[[#This Row],[作者]],FIND("[",作者统计[[#This Row],[作者]],1)+1,FIND("]",作者统计[[#This Row],[作者]],1)-FIND("[",作者统计[[#This Row],[作者]],1)-1),"")</f>
        <v/>
      </c>
      <c r="J151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17" spans="2:10" ht="18" customHeight="1" x14ac:dyDescent="0.25">
      <c r="B1517" s="256"/>
      <c r="C1517" s="257"/>
      <c r="D1517" s="258"/>
      <c r="E1517" s="258"/>
      <c r="F1517" s="259"/>
      <c r="G1517" s="259"/>
      <c r="H1517" s="260"/>
      <c r="I1517" s="261" t="str">
        <f>IFERROR(MID(作者统计[[#This Row],[作者]],FIND("[",作者统计[[#This Row],[作者]],1)+1,FIND("]",作者统计[[#This Row],[作者]],1)-FIND("[",作者统计[[#This Row],[作者]],1)-1),"")</f>
        <v/>
      </c>
      <c r="J151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18" spans="2:10" ht="18" customHeight="1" x14ac:dyDescent="0.25">
      <c r="B1518" s="85"/>
      <c r="C1518" s="120"/>
      <c r="D1518" s="121"/>
      <c r="E1518" s="121"/>
      <c r="F1518" s="92"/>
      <c r="G1518" s="92"/>
      <c r="H1518" s="122"/>
      <c r="I1518" s="68" t="str">
        <f>IFERROR(MID(作者统计[[#This Row],[作者]],FIND("[",作者统计[[#This Row],[作者]],1)+1,FIND("]",作者统计[[#This Row],[作者]],1)-FIND("[",作者统计[[#This Row],[作者]],1)-1),"")</f>
        <v/>
      </c>
      <c r="J1518" s="68" t="str">
        <f>IFERROR(MID(作者统计[[#This Row],[作者]],FIND("(",作者统计[[#This Row],[作者]],1)+1,FIND(")",作者统计[[#This Row],[作者]],1)-FIND("(",作者统计[[#This Row],[作者]],1)-1),"")</f>
        <v/>
      </c>
    </row>
    <row r="1519" spans="2:10" ht="18" customHeight="1" x14ac:dyDescent="0.25">
      <c r="B1519" s="85"/>
      <c r="C1519" s="120"/>
      <c r="D1519" s="121"/>
      <c r="E1519" s="121"/>
      <c r="F1519" s="92"/>
      <c r="G1519" s="92"/>
      <c r="H1519" s="123"/>
      <c r="I1519" s="68" t="str">
        <f>IFERROR(MID(作者统计[[#This Row],[作者]],FIND("[",作者统计[[#This Row],[作者]],1)+1,FIND("]",作者统计[[#This Row],[作者]],1)-FIND("[",作者统计[[#This Row],[作者]],1)-1),"")</f>
        <v/>
      </c>
      <c r="J1519" s="68" t="str">
        <f>IFERROR(MID(作者统计[[#This Row],[作者]],FIND("(",作者统计[[#This Row],[作者]],1)+1,FIND(")",作者统计[[#This Row],[作者]],1)-FIND("(",作者统计[[#This Row],[作者]],1)-1),"")</f>
        <v/>
      </c>
    </row>
    <row r="1520" spans="2:10" ht="18" customHeight="1" x14ac:dyDescent="0.25">
      <c r="B1520" s="256"/>
      <c r="C1520" s="257"/>
      <c r="D1520" s="258"/>
      <c r="E1520" s="258"/>
      <c r="F1520" s="259"/>
      <c r="G1520" s="259"/>
      <c r="H1520" s="260"/>
      <c r="I1520" s="261" t="str">
        <f>IFERROR(MID(作者统计[[#This Row],[作者]],FIND("[",作者统计[[#This Row],[作者]],1)+1,FIND("]",作者统计[[#This Row],[作者]],1)-FIND("[",作者统计[[#This Row],[作者]],1)-1),"")</f>
        <v/>
      </c>
      <c r="J152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21" spans="2:10" ht="18" customHeight="1" x14ac:dyDescent="0.25">
      <c r="B1521" s="256"/>
      <c r="C1521" s="257"/>
      <c r="D1521" s="258"/>
      <c r="E1521" s="258"/>
      <c r="F1521" s="259"/>
      <c r="G1521" s="259"/>
      <c r="H1521" s="260"/>
      <c r="I1521" s="261" t="str">
        <f>IFERROR(MID(作者统计[[#This Row],[作者]],FIND("[",作者统计[[#This Row],[作者]],1)+1,FIND("]",作者统计[[#This Row],[作者]],1)-FIND("[",作者统计[[#This Row],[作者]],1)-1),"")</f>
        <v/>
      </c>
      <c r="J152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22" spans="2:10" ht="18" customHeight="1" x14ac:dyDescent="0.25">
      <c r="B1522" s="85"/>
      <c r="C1522" s="120"/>
      <c r="D1522" s="121"/>
      <c r="E1522" s="121"/>
      <c r="F1522" s="92"/>
      <c r="G1522" s="92"/>
      <c r="H1522" s="122"/>
      <c r="I1522" s="68" t="str">
        <f>IFERROR(MID(作者统计[[#This Row],[作者]],FIND("[",作者统计[[#This Row],[作者]],1)+1,FIND("]",作者统计[[#This Row],[作者]],1)-FIND("[",作者统计[[#This Row],[作者]],1)-1),"")</f>
        <v/>
      </c>
      <c r="J1522" s="68" t="str">
        <f>IFERROR(MID(作者统计[[#This Row],[作者]],FIND("(",作者统计[[#This Row],[作者]],1)+1,FIND(")",作者统计[[#This Row],[作者]],1)-FIND("(",作者统计[[#This Row],[作者]],1)-1),"")</f>
        <v/>
      </c>
    </row>
    <row r="1523" spans="2:10" ht="18" customHeight="1" x14ac:dyDescent="0.25">
      <c r="B1523" s="256"/>
      <c r="C1523" s="257"/>
      <c r="D1523" s="258"/>
      <c r="E1523" s="258"/>
      <c r="F1523" s="259"/>
      <c r="G1523" s="259"/>
      <c r="H1523" s="260"/>
      <c r="I1523" s="261" t="str">
        <f>IFERROR(MID(作者统计[[#This Row],[作者]],FIND("[",作者统计[[#This Row],[作者]],1)+1,FIND("]",作者统计[[#This Row],[作者]],1)-FIND("[",作者统计[[#This Row],[作者]],1)-1),"")</f>
        <v/>
      </c>
      <c r="J152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24" spans="2:10" ht="18" customHeight="1" x14ac:dyDescent="0.25">
      <c r="B1524" s="309"/>
      <c r="C1524" s="120"/>
      <c r="D1524" s="121"/>
      <c r="E1524" s="121"/>
      <c r="F1524" s="92"/>
      <c r="G1524" s="92"/>
      <c r="H1524" s="122"/>
      <c r="I1524" s="68" t="str">
        <f>IFERROR(MID(作者统计[[#This Row],[作者]],FIND("[",作者统计[[#This Row],[作者]],1)+1,FIND("]",作者统计[[#This Row],[作者]],1)-FIND("[",作者统计[[#This Row],[作者]],1)-1),"")</f>
        <v/>
      </c>
      <c r="J1524" s="68" t="str">
        <f>IFERROR(MID(作者统计[[#This Row],[作者]],FIND("(",作者统计[[#This Row],[作者]],1)+1,FIND(")",作者统计[[#This Row],[作者]],1)-FIND("(",作者统计[[#This Row],[作者]],1)-1),"")</f>
        <v/>
      </c>
    </row>
    <row r="1525" spans="2:10" ht="18" customHeight="1" x14ac:dyDescent="0.25">
      <c r="B1525" s="85"/>
      <c r="C1525" s="120"/>
      <c r="D1525" s="121"/>
      <c r="E1525" s="121"/>
      <c r="F1525" s="92"/>
      <c r="G1525" s="92"/>
      <c r="H1525" s="122"/>
      <c r="I1525" s="68" t="str">
        <f>IFERROR(MID(作者统计[[#This Row],[作者]],FIND("[",作者统计[[#This Row],[作者]],1)+1,FIND("]",作者统计[[#This Row],[作者]],1)-FIND("[",作者统计[[#This Row],[作者]],1)-1),"")</f>
        <v/>
      </c>
      <c r="J152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26" spans="2:10" ht="18" customHeight="1" x14ac:dyDescent="0.25">
      <c r="B1526" s="311"/>
      <c r="C1526" s="180"/>
      <c r="D1526" s="181"/>
      <c r="E1526" s="181"/>
      <c r="F1526" s="182"/>
      <c r="G1526" s="182"/>
      <c r="H1526" s="183"/>
      <c r="I1526" s="77" t="str">
        <f>IFERROR(MID(作者统计[[#This Row],[作者]],FIND("[",作者统计[[#This Row],[作者]],1)+1,FIND("]",作者统计[[#This Row],[作者]],1)-FIND("[",作者统计[[#This Row],[作者]],1)-1),"")</f>
        <v/>
      </c>
      <c r="J1526" s="77" t="str">
        <f>IFERROR(MID(作者统计[[#This Row],[作者]],FIND("(",作者统计[[#This Row],[作者]],1)+1,FIND(")",作者统计[[#This Row],[作者]],1)-FIND("(",作者统计[[#This Row],[作者]],1)-1),"")</f>
        <v/>
      </c>
    </row>
    <row r="1527" spans="2:10" ht="18" customHeight="1" x14ac:dyDescent="0.25">
      <c r="B1527" s="85"/>
      <c r="C1527" s="120"/>
      <c r="D1527" s="121"/>
      <c r="E1527" s="121"/>
      <c r="F1527" s="92"/>
      <c r="G1527" s="92"/>
      <c r="H1527" s="122"/>
      <c r="I1527" s="68" t="str">
        <f>IFERROR(MID(作者统计[[#This Row],[作者]],FIND("[",作者统计[[#This Row],[作者]],1)+1,FIND("]",作者统计[[#This Row],[作者]],1)-FIND("[",作者统计[[#This Row],[作者]],1)-1),"")</f>
        <v/>
      </c>
      <c r="J152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28" spans="2:10" ht="18" customHeight="1" x14ac:dyDescent="0.25">
      <c r="B1528" s="85"/>
      <c r="C1528" s="120"/>
      <c r="D1528" s="121"/>
      <c r="E1528" s="121"/>
      <c r="F1528" s="92"/>
      <c r="G1528" s="92"/>
      <c r="H1528" s="122"/>
      <c r="I1528" s="68" t="str">
        <f>IFERROR(MID(作者统计[[#This Row],[作者]],FIND("[",作者统计[[#This Row],[作者]],1)+1,FIND("]",作者统计[[#This Row],[作者]],1)-FIND("[",作者统计[[#This Row],[作者]],1)-1),"")</f>
        <v/>
      </c>
      <c r="J1528" s="68" t="str">
        <f>IFERROR(MID(作者统计[[#This Row],[作者]],FIND("(",作者统计[[#This Row],[作者]],1)+1,FIND(")",作者统计[[#This Row],[作者]],1)-FIND("(",作者统计[[#This Row],[作者]],1)-1),"")</f>
        <v/>
      </c>
    </row>
    <row r="1529" spans="2:10" ht="18" customHeight="1" x14ac:dyDescent="0.25">
      <c r="B1529" s="309"/>
      <c r="C1529" s="120"/>
      <c r="D1529" s="121"/>
      <c r="E1529" s="121"/>
      <c r="F1529" s="92"/>
      <c r="G1529" s="92"/>
      <c r="H1529" s="122"/>
      <c r="I1529" s="68" t="str">
        <f>IFERROR(MID(作者统计[[#This Row],[作者]],FIND("[",作者统计[[#This Row],[作者]],1)+1,FIND("]",作者统计[[#This Row],[作者]],1)-FIND("[",作者统计[[#This Row],[作者]],1)-1),"")</f>
        <v/>
      </c>
      <c r="J1529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0" spans="2:10" ht="18" customHeight="1" x14ac:dyDescent="0.25">
      <c r="B1530" s="309"/>
      <c r="C1530" s="120"/>
      <c r="D1530" s="121"/>
      <c r="E1530" s="121"/>
      <c r="F1530" s="92"/>
      <c r="G1530" s="92"/>
      <c r="H1530" s="122"/>
      <c r="I1530" s="68" t="str">
        <f>IFERROR(MID(作者统计[[#This Row],[作者]],FIND("[",作者统计[[#This Row],[作者]],1)+1,FIND("]",作者统计[[#This Row],[作者]],1)-FIND("[",作者统计[[#This Row],[作者]],1)-1),"")</f>
        <v/>
      </c>
      <c r="J1530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1" spans="2:10" ht="18" customHeight="1" x14ac:dyDescent="0.25">
      <c r="B1531" s="309"/>
      <c r="C1531" s="120"/>
      <c r="D1531" s="121"/>
      <c r="E1531" s="121"/>
      <c r="F1531" s="92"/>
      <c r="G1531" s="92"/>
      <c r="H1531" s="122"/>
      <c r="I1531" s="68" t="str">
        <f>IFERROR(MID(作者统计[[#This Row],[作者]],FIND("[",作者统计[[#This Row],[作者]],1)+1,FIND("]",作者统计[[#This Row],[作者]],1)-FIND("[",作者统计[[#This Row],[作者]],1)-1),"")</f>
        <v/>
      </c>
      <c r="J1531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2" spans="2:10" ht="18" customHeight="1" x14ac:dyDescent="0.25">
      <c r="B1532" s="309"/>
      <c r="C1532" s="120"/>
      <c r="D1532" s="121"/>
      <c r="E1532" s="121"/>
      <c r="F1532" s="92"/>
      <c r="G1532" s="92"/>
      <c r="H1532" s="122"/>
      <c r="I1532" s="68" t="str">
        <f>IFERROR(MID(作者统计[[#This Row],[作者]],FIND("[",作者统计[[#This Row],[作者]],1)+1,FIND("]",作者统计[[#This Row],[作者]],1)-FIND("[",作者统计[[#This Row],[作者]],1)-1),"")</f>
        <v/>
      </c>
      <c r="J1532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3" spans="2:10" ht="18" customHeight="1" x14ac:dyDescent="0.25">
      <c r="B1533" s="309"/>
      <c r="C1533" s="120"/>
      <c r="D1533" s="121"/>
      <c r="E1533" s="121"/>
      <c r="F1533" s="92"/>
      <c r="G1533" s="92"/>
      <c r="H1533" s="122"/>
      <c r="I1533" s="68" t="str">
        <f>IFERROR(MID(作者统计[[#This Row],[作者]],FIND("[",作者统计[[#This Row],[作者]],1)+1,FIND("]",作者统计[[#This Row],[作者]],1)-FIND("[",作者统计[[#This Row],[作者]],1)-1),"")</f>
        <v/>
      </c>
      <c r="J1533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4" spans="2:10" ht="18" customHeight="1" x14ac:dyDescent="0.25">
      <c r="B1534" s="256"/>
      <c r="C1534" s="257"/>
      <c r="D1534" s="258"/>
      <c r="E1534" s="258"/>
      <c r="F1534" s="259"/>
      <c r="G1534" s="259"/>
      <c r="H1534" s="260"/>
      <c r="I1534" s="261" t="str">
        <f>IFERROR(MID(作者统计[[#This Row],[作者]],FIND("[",作者统计[[#This Row],[作者]],1)+1,FIND("]",作者统计[[#This Row],[作者]],1)-FIND("[",作者统计[[#This Row],[作者]],1)-1),"")</f>
        <v/>
      </c>
      <c r="J15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35" spans="2:10" ht="18" customHeight="1" x14ac:dyDescent="0.25">
      <c r="B1535" s="309"/>
      <c r="C1535" s="120"/>
      <c r="D1535" s="121"/>
      <c r="E1535" s="121"/>
      <c r="F1535" s="92"/>
      <c r="G1535" s="92"/>
      <c r="H1535" s="122"/>
      <c r="I1535" s="68" t="str">
        <f>IFERROR(MID(作者统计[[#This Row],[作者]],FIND("[",作者统计[[#This Row],[作者]],1)+1,FIND("]",作者统计[[#This Row],[作者]],1)-FIND("[",作者统计[[#This Row],[作者]],1)-1),"")</f>
        <v/>
      </c>
      <c r="J153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6" spans="2:10" ht="18" customHeight="1" x14ac:dyDescent="0.25">
      <c r="B1536" s="309"/>
      <c r="C1536" s="120"/>
      <c r="D1536" s="121"/>
      <c r="E1536" s="121"/>
      <c r="F1536" s="92"/>
      <c r="G1536" s="92"/>
      <c r="H1536" s="122"/>
      <c r="I1536" s="68" t="str">
        <f>IFERROR(MID(作者统计[[#This Row],[作者]],FIND("[",作者统计[[#This Row],[作者]],1)+1,FIND("]",作者统计[[#This Row],[作者]],1)-FIND("[",作者统计[[#This Row],[作者]],1)-1),"")</f>
        <v/>
      </c>
      <c r="J1536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7" spans="2:10" ht="18" customHeight="1" x14ac:dyDescent="0.25">
      <c r="B1537" s="85"/>
      <c r="C1537" s="120"/>
      <c r="D1537" s="121"/>
      <c r="E1537" s="121"/>
      <c r="F1537" s="92"/>
      <c r="G1537" s="92"/>
      <c r="H1537" s="122"/>
      <c r="I1537" s="68" t="str">
        <f>IFERROR(MID(作者统计[[#This Row],[作者]],FIND("[",作者统计[[#This Row],[作者]],1)+1,FIND("]",作者统计[[#This Row],[作者]],1)-FIND("[",作者统计[[#This Row],[作者]],1)-1),"")</f>
        <v/>
      </c>
      <c r="J153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8" spans="2:10" ht="18" customHeight="1" x14ac:dyDescent="0.25">
      <c r="B1538" s="85"/>
      <c r="C1538" s="120"/>
      <c r="D1538" s="121"/>
      <c r="E1538" s="121"/>
      <c r="F1538" s="92"/>
      <c r="G1538" s="92"/>
      <c r="H1538" s="122"/>
      <c r="I1538" s="68" t="str">
        <f>IFERROR(MID(作者统计[[#This Row],[作者]],FIND("[",作者统计[[#This Row],[作者]],1)+1,FIND("]",作者统计[[#This Row],[作者]],1)-FIND("[",作者统计[[#This Row],[作者]],1)-1),"")</f>
        <v/>
      </c>
      <c r="J1538" s="68" t="str">
        <f>IFERROR(MID(作者统计[[#This Row],[作者]],FIND("(",作者统计[[#This Row],[作者]],1)+1,FIND(")",作者统计[[#This Row],[作者]],1)-FIND("(",作者统计[[#This Row],[作者]],1)-1),"")</f>
        <v/>
      </c>
    </row>
    <row r="1539" spans="2:10" ht="18" customHeight="1" x14ac:dyDescent="0.25">
      <c r="B1539" s="256"/>
      <c r="C1539" s="257"/>
      <c r="D1539" s="258"/>
      <c r="E1539" s="258"/>
      <c r="F1539" s="259"/>
      <c r="G1539" s="259"/>
      <c r="H1539" s="260"/>
      <c r="I1539" s="261" t="str">
        <f>IFERROR(MID(作者统计[[#This Row],[作者]],FIND("[",作者统计[[#This Row],[作者]],1)+1,FIND("]",作者统计[[#This Row],[作者]],1)-FIND("[",作者统计[[#This Row],[作者]],1)-1),"")</f>
        <v/>
      </c>
      <c r="J153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40" spans="2:10" ht="18" customHeight="1" x14ac:dyDescent="0.25">
      <c r="B1540" s="85"/>
      <c r="C1540" s="120"/>
      <c r="D1540" s="121"/>
      <c r="E1540" s="121"/>
      <c r="F1540" s="92"/>
      <c r="G1540" s="92"/>
      <c r="H1540" s="122"/>
      <c r="I1540" s="68" t="str">
        <f>IFERROR(MID(作者统计[[#This Row],[作者]],FIND("[",作者统计[[#This Row],[作者]],1)+1,FIND("]",作者统计[[#This Row],[作者]],1)-FIND("[",作者统计[[#This Row],[作者]],1)-1),"")</f>
        <v/>
      </c>
      <c r="J1540" s="68" t="str">
        <f>IFERROR(MID(作者统计[[#This Row],[作者]],FIND("(",作者统计[[#This Row],[作者]],1)+1,FIND(")",作者统计[[#This Row],[作者]],1)-FIND("(",作者统计[[#This Row],[作者]],1)-1),"")</f>
        <v/>
      </c>
    </row>
    <row r="1541" spans="2:10" ht="18" customHeight="1" x14ac:dyDescent="0.25">
      <c r="B1541" s="256"/>
      <c r="C1541" s="257"/>
      <c r="D1541" s="258"/>
      <c r="E1541" s="258"/>
      <c r="F1541" s="259"/>
      <c r="G1541" s="259"/>
      <c r="H1541" s="260"/>
      <c r="I1541" s="261" t="str">
        <f>IFERROR(MID(作者统计[[#This Row],[作者]],FIND("[",作者统计[[#This Row],[作者]],1)+1,FIND("]",作者统计[[#This Row],[作者]],1)-FIND("[",作者统计[[#This Row],[作者]],1)-1),"")</f>
        <v/>
      </c>
      <c r="J154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42" spans="2:10" ht="18" customHeight="1" x14ac:dyDescent="0.25">
      <c r="B1542" s="85"/>
      <c r="C1542" s="120"/>
      <c r="D1542" s="121"/>
      <c r="E1542" s="121"/>
      <c r="F1542" s="92"/>
      <c r="G1542" s="92"/>
      <c r="H1542" s="122"/>
      <c r="I1542" s="68" t="str">
        <f>IFERROR(MID(作者统计[[#This Row],[作者]],FIND("[",作者统计[[#This Row],[作者]],1)+1,FIND("]",作者统计[[#This Row],[作者]],1)-FIND("[",作者统计[[#This Row],[作者]],1)-1),"")</f>
        <v/>
      </c>
      <c r="J1542" s="68" t="str">
        <f>IFERROR(MID(作者统计[[#This Row],[作者]],FIND("(",作者统计[[#This Row],[作者]],1)+1,FIND(")",作者统计[[#This Row],[作者]],1)-FIND("(",作者统计[[#This Row],[作者]],1)-1),"")</f>
        <v/>
      </c>
    </row>
    <row r="1543" spans="2:10" ht="18" customHeight="1" x14ac:dyDescent="0.25">
      <c r="B1543" s="256"/>
      <c r="C1543" s="257"/>
      <c r="D1543" s="258"/>
      <c r="E1543" s="258"/>
      <c r="F1543" s="259"/>
      <c r="G1543" s="259"/>
      <c r="H1543" s="260"/>
      <c r="I1543" s="261" t="str">
        <f>IFERROR(MID(作者统计[[#This Row],[作者]],FIND("[",作者统计[[#This Row],[作者]],1)+1,FIND("]",作者统计[[#This Row],[作者]],1)-FIND("[",作者统计[[#This Row],[作者]],1)-1),"")</f>
        <v/>
      </c>
      <c r="J154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44" spans="2:10" ht="18" customHeight="1" x14ac:dyDescent="0.25">
      <c r="B1544" s="85"/>
      <c r="C1544" s="120"/>
      <c r="D1544" s="121"/>
      <c r="E1544" s="121"/>
      <c r="F1544" s="92"/>
      <c r="G1544" s="92"/>
      <c r="H1544" s="122"/>
      <c r="I1544" s="68" t="str">
        <f>IFERROR(MID(作者统计[[#This Row],[作者]],FIND("[",作者统计[[#This Row],[作者]],1)+1,FIND("]",作者统计[[#This Row],[作者]],1)-FIND("[",作者统计[[#This Row],[作者]],1)-1),"")</f>
        <v/>
      </c>
      <c r="J1544" s="68" t="str">
        <f>IFERROR(MID(作者统计[[#This Row],[作者]],FIND("(",作者统计[[#This Row],[作者]],1)+1,FIND(")",作者统计[[#This Row],[作者]],1)-FIND("(",作者统计[[#This Row],[作者]],1)-1),"")</f>
        <v/>
      </c>
    </row>
    <row r="1545" spans="2:10" ht="18" customHeight="1" x14ac:dyDescent="0.25">
      <c r="B1545" s="85"/>
      <c r="C1545" s="120"/>
      <c r="D1545" s="121"/>
      <c r="E1545" s="121"/>
      <c r="F1545" s="92"/>
      <c r="G1545" s="92"/>
      <c r="H1545" s="122"/>
      <c r="I1545" s="68" t="str">
        <f>IFERROR(MID(作者统计[[#This Row],[作者]],FIND("[",作者统计[[#This Row],[作者]],1)+1,FIND("]",作者统计[[#This Row],[作者]],1)-FIND("[",作者统计[[#This Row],[作者]],1)-1),"")</f>
        <v/>
      </c>
      <c r="J154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46" spans="2:10" ht="18" customHeight="1" x14ac:dyDescent="0.25">
      <c r="B1546" s="85"/>
      <c r="C1546" s="120"/>
      <c r="D1546" s="121"/>
      <c r="E1546" s="121"/>
      <c r="F1546" s="92"/>
      <c r="G1546" s="92"/>
      <c r="H1546" s="122"/>
      <c r="I1546" s="68" t="str">
        <f>IFERROR(MID(作者统计[[#This Row],[作者]],FIND("[",作者统计[[#This Row],[作者]],1)+1,FIND("]",作者统计[[#This Row],[作者]],1)-FIND("[",作者统计[[#This Row],[作者]],1)-1),"")</f>
        <v/>
      </c>
      <c r="J1546" s="68" t="str">
        <f>IFERROR(MID(作者统计[[#This Row],[作者]],FIND("(",作者统计[[#This Row],[作者]],1)+1,FIND(")",作者统计[[#This Row],[作者]],1)-FIND("(",作者统计[[#This Row],[作者]],1)-1),"")</f>
        <v/>
      </c>
    </row>
    <row r="1547" spans="2:10" ht="18" customHeight="1" x14ac:dyDescent="0.25">
      <c r="B1547" s="85"/>
      <c r="C1547" s="120"/>
      <c r="D1547" s="121"/>
      <c r="E1547" s="121"/>
      <c r="F1547" s="92"/>
      <c r="G1547" s="92"/>
      <c r="H1547" s="122"/>
      <c r="I1547" s="68" t="str">
        <f>IFERROR(MID(作者统计[[#This Row],[作者]],FIND("[",作者统计[[#This Row],[作者]],1)+1,FIND("]",作者统计[[#This Row],[作者]],1)-FIND("[",作者统计[[#This Row],[作者]],1)-1),"")</f>
        <v/>
      </c>
      <c r="J154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48" spans="2:10" ht="18" customHeight="1" x14ac:dyDescent="0.25">
      <c r="B1548" s="309"/>
      <c r="C1548" s="120"/>
      <c r="D1548" s="121"/>
      <c r="E1548" s="121"/>
      <c r="F1548" s="92"/>
      <c r="G1548" s="92"/>
      <c r="H1548" s="122"/>
      <c r="I1548" s="68" t="str">
        <f>IFERROR(MID(作者统计[[#This Row],[作者]],FIND("[",作者统计[[#This Row],[作者]],1)+1,FIND("]",作者统计[[#This Row],[作者]],1)-FIND("[",作者统计[[#This Row],[作者]],1)-1),"")</f>
        <v/>
      </c>
      <c r="J1548" s="68" t="str">
        <f>IFERROR(MID(作者统计[[#This Row],[作者]],FIND("(",作者统计[[#This Row],[作者]],1)+1,FIND(")",作者统计[[#This Row],[作者]],1)-FIND("(",作者统计[[#This Row],[作者]],1)-1),"")</f>
        <v/>
      </c>
    </row>
    <row r="1549" spans="2:10" ht="18" customHeight="1" x14ac:dyDescent="0.25">
      <c r="B1549" s="309"/>
      <c r="C1549" s="120"/>
      <c r="D1549" s="121"/>
      <c r="E1549" s="121"/>
      <c r="F1549" s="92"/>
      <c r="G1549" s="92"/>
      <c r="H1549" s="122"/>
      <c r="I1549" s="68" t="str">
        <f>IFERROR(MID(作者统计[[#This Row],[作者]],FIND("[",作者统计[[#This Row],[作者]],1)+1,FIND("]",作者统计[[#This Row],[作者]],1)-FIND("[",作者统计[[#This Row],[作者]],1)-1),"")</f>
        <v/>
      </c>
      <c r="J1549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0" spans="2:10" ht="18" customHeight="1" x14ac:dyDescent="0.25">
      <c r="B1550" s="309"/>
      <c r="C1550" s="120"/>
      <c r="D1550" s="121"/>
      <c r="E1550" s="121"/>
      <c r="F1550" s="92"/>
      <c r="G1550" s="92"/>
      <c r="H1550" s="122"/>
      <c r="I1550" s="68" t="str">
        <f>IFERROR(MID(作者统计[[#This Row],[作者]],FIND("[",作者统计[[#This Row],[作者]],1)+1,FIND("]",作者统计[[#This Row],[作者]],1)-FIND("[",作者统计[[#This Row],[作者]],1)-1),"")</f>
        <v/>
      </c>
      <c r="J1550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1" spans="2:10" ht="18" customHeight="1" x14ac:dyDescent="0.25">
      <c r="B1551" s="309"/>
      <c r="C1551" s="120"/>
      <c r="D1551" s="121"/>
      <c r="E1551" s="121"/>
      <c r="F1551" s="92"/>
      <c r="G1551" s="92"/>
      <c r="H1551" s="122"/>
      <c r="I1551" s="68" t="str">
        <f>IFERROR(MID(作者统计[[#This Row],[作者]],FIND("[",作者统计[[#This Row],[作者]],1)+1,FIND("]",作者统计[[#This Row],[作者]],1)-FIND("[",作者统计[[#This Row],[作者]],1)-1),"")</f>
        <v/>
      </c>
      <c r="J1551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2" spans="2:10" ht="18" customHeight="1" x14ac:dyDescent="0.25">
      <c r="B1552" s="309"/>
      <c r="C1552" s="120"/>
      <c r="D1552" s="121"/>
      <c r="E1552" s="121"/>
      <c r="F1552" s="92"/>
      <c r="G1552" s="92"/>
      <c r="H1552" s="122"/>
      <c r="I1552" s="68" t="str">
        <f>IFERROR(MID(作者统计[[#This Row],[作者]],FIND("[",作者统计[[#This Row],[作者]],1)+1,FIND("]",作者统计[[#This Row],[作者]],1)-FIND("[",作者统计[[#This Row],[作者]],1)-1),"")</f>
        <v/>
      </c>
      <c r="J1552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3" spans="2:10" ht="18" customHeight="1" x14ac:dyDescent="0.25">
      <c r="B1553" s="309"/>
      <c r="C1553" s="120"/>
      <c r="D1553" s="121"/>
      <c r="E1553" s="121"/>
      <c r="F1553" s="92"/>
      <c r="G1553" s="92"/>
      <c r="H1553" s="122"/>
      <c r="I1553" s="68" t="str">
        <f>IFERROR(MID(作者统计[[#This Row],[作者]],FIND("[",作者统计[[#This Row],[作者]],1)+1,FIND("]",作者统计[[#This Row],[作者]],1)-FIND("[",作者统计[[#This Row],[作者]],1)-1),"")</f>
        <v/>
      </c>
      <c r="J1553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4" spans="2:10" ht="18" customHeight="1" x14ac:dyDescent="0.25">
      <c r="B1554" s="85"/>
      <c r="C1554" s="120"/>
      <c r="D1554" s="121"/>
      <c r="E1554" s="121"/>
      <c r="F1554" s="92"/>
      <c r="G1554" s="92"/>
      <c r="H1554" s="122"/>
      <c r="I1554" s="68" t="str">
        <f>IFERROR(MID(作者统计[[#This Row],[作者]],FIND("[",作者统计[[#This Row],[作者]],1)+1,FIND("]",作者统计[[#This Row],[作者]],1)-FIND("[",作者统计[[#This Row],[作者]],1)-1),"")</f>
        <v/>
      </c>
      <c r="J1554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5" spans="2:10" ht="18" customHeight="1" x14ac:dyDescent="0.25">
      <c r="B1555" s="85"/>
      <c r="C1555" s="120"/>
      <c r="D1555" s="121"/>
      <c r="E1555" s="121"/>
      <c r="F1555" s="92"/>
      <c r="G1555" s="92"/>
      <c r="H1555" s="122"/>
      <c r="I1555" s="68" t="str">
        <f>IFERROR(MID(作者统计[[#This Row],[作者]],FIND("[",作者统计[[#This Row],[作者]],1)+1,FIND("]",作者统计[[#This Row],[作者]],1)-FIND("[",作者统计[[#This Row],[作者]],1)-1),"")</f>
        <v/>
      </c>
      <c r="J155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6" spans="2:10" ht="18" customHeight="1" x14ac:dyDescent="0.25">
      <c r="B1556" s="85"/>
      <c r="C1556" s="120"/>
      <c r="D1556" s="121"/>
      <c r="E1556" s="121"/>
      <c r="F1556" s="92"/>
      <c r="G1556" s="92"/>
      <c r="H1556" s="122"/>
      <c r="I1556" s="68" t="str">
        <f>IFERROR(MID(作者统计[[#This Row],[作者]],FIND("[",作者统计[[#This Row],[作者]],1)+1,FIND("]",作者统计[[#This Row],[作者]],1)-FIND("[",作者统计[[#This Row],[作者]],1)-1),"")</f>
        <v/>
      </c>
      <c r="J1556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7" spans="2:10" ht="18" customHeight="1" x14ac:dyDescent="0.25">
      <c r="B1557" s="309"/>
      <c r="C1557" s="120"/>
      <c r="D1557" s="121"/>
      <c r="E1557" s="121"/>
      <c r="F1557" s="92"/>
      <c r="G1557" s="92"/>
      <c r="H1557" s="122"/>
      <c r="I1557" s="68" t="str">
        <f>IFERROR(MID(作者统计[[#This Row],[作者]],FIND("[",作者统计[[#This Row],[作者]],1)+1,FIND("]",作者统计[[#This Row],[作者]],1)-FIND("[",作者统计[[#This Row],[作者]],1)-1),"")</f>
        <v/>
      </c>
      <c r="J155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58" spans="2:10" ht="18" customHeight="1" x14ac:dyDescent="0.25">
      <c r="B1558" s="256"/>
      <c r="C1558" s="257"/>
      <c r="D1558" s="258"/>
      <c r="E1558" s="258"/>
      <c r="F1558" s="259"/>
      <c r="G1558" s="259"/>
      <c r="H1558" s="260"/>
      <c r="I1558" s="261" t="str">
        <f>IFERROR(MID(作者统计[[#This Row],[作者]],FIND("[",作者统计[[#This Row],[作者]],1)+1,FIND("]",作者统计[[#This Row],[作者]],1)-FIND("[",作者统计[[#This Row],[作者]],1)-1),"")</f>
        <v/>
      </c>
      <c r="J155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59" spans="2:10" ht="18" customHeight="1" x14ac:dyDescent="0.25">
      <c r="B1559" s="256"/>
      <c r="C1559" s="257"/>
      <c r="D1559" s="258"/>
      <c r="E1559" s="258"/>
      <c r="F1559" s="259"/>
      <c r="G1559" s="259"/>
      <c r="H1559" s="260"/>
      <c r="I1559" s="261" t="str">
        <f>IFERROR(MID(作者统计[[#This Row],[作者]],FIND("[",作者统计[[#This Row],[作者]],1)+1,FIND("]",作者统计[[#This Row],[作者]],1)-FIND("[",作者统计[[#This Row],[作者]],1)-1),"")</f>
        <v/>
      </c>
      <c r="J155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60" spans="2:10" ht="18" customHeight="1" x14ac:dyDescent="0.25">
      <c r="B1560" s="256"/>
      <c r="C1560" s="257"/>
      <c r="D1560" s="258"/>
      <c r="E1560" s="258"/>
      <c r="F1560" s="259"/>
      <c r="G1560" s="259"/>
      <c r="H1560" s="260"/>
      <c r="I1560" s="261" t="str">
        <f>IFERROR(MID(作者统计[[#This Row],[作者]],FIND("[",作者统计[[#This Row],[作者]],1)+1,FIND("]",作者统计[[#This Row],[作者]],1)-FIND("[",作者统计[[#This Row],[作者]],1)-1),"")</f>
        <v/>
      </c>
      <c r="J156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61" spans="2:10" ht="18" customHeight="1" x14ac:dyDescent="0.25">
      <c r="B1561" s="256"/>
      <c r="C1561" s="257"/>
      <c r="D1561" s="258"/>
      <c r="E1561" s="258"/>
      <c r="F1561" s="259"/>
      <c r="G1561" s="259"/>
      <c r="H1561" s="260"/>
      <c r="I1561" s="261" t="str">
        <f>IFERROR(MID(作者统计[[#This Row],[作者]],FIND("[",作者统计[[#This Row],[作者]],1)+1,FIND("]",作者统计[[#This Row],[作者]],1)-FIND("[",作者统计[[#This Row],[作者]],1)-1),"")</f>
        <v/>
      </c>
      <c r="J156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62" spans="2:10" ht="18" customHeight="1" x14ac:dyDescent="0.25">
      <c r="B1562" s="309"/>
      <c r="C1562" s="120"/>
      <c r="D1562" s="121"/>
      <c r="E1562" s="121"/>
      <c r="F1562" s="92"/>
      <c r="G1562" s="92"/>
      <c r="H1562" s="122"/>
      <c r="I1562" s="68" t="str">
        <f>IFERROR(MID(作者统计[[#This Row],[作者]],FIND("[",作者统计[[#This Row],[作者]],1)+1,FIND("]",作者统计[[#This Row],[作者]],1)-FIND("[",作者统计[[#This Row],[作者]],1)-1),"")</f>
        <v/>
      </c>
      <c r="J1562" s="68" t="str">
        <f>IFERROR(MID(作者统计[[#This Row],[作者]],FIND("(",作者统计[[#This Row],[作者]],1)+1,FIND(")",作者统计[[#This Row],[作者]],1)-FIND("(",作者统计[[#This Row],[作者]],1)-1),"")</f>
        <v/>
      </c>
    </row>
    <row r="1563" spans="2:10" ht="18" customHeight="1" x14ac:dyDescent="0.25">
      <c r="B1563" s="256"/>
      <c r="C1563" s="257"/>
      <c r="D1563" s="258"/>
      <c r="E1563" s="258"/>
      <c r="F1563" s="259"/>
      <c r="G1563" s="259"/>
      <c r="H1563" s="260"/>
      <c r="I1563" s="261" t="str">
        <f>IFERROR(MID(作者统计[[#This Row],[作者]],FIND("[",作者统计[[#This Row],[作者]],1)+1,FIND("]",作者统计[[#This Row],[作者]],1)-FIND("[",作者统计[[#This Row],[作者]],1)-1),"")</f>
        <v/>
      </c>
      <c r="J156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64" spans="2:10" ht="18" customHeight="1" x14ac:dyDescent="0.25">
      <c r="B1564" s="256"/>
      <c r="C1564" s="257"/>
      <c r="D1564" s="258"/>
      <c r="E1564" s="258"/>
      <c r="F1564" s="259"/>
      <c r="G1564" s="259"/>
      <c r="H1564" s="260"/>
      <c r="I1564" s="261" t="str">
        <f>IFERROR(MID(作者统计[[#This Row],[作者]],FIND("[",作者统计[[#This Row],[作者]],1)+1,FIND("]",作者统计[[#This Row],[作者]],1)-FIND("[",作者统计[[#This Row],[作者]],1)-1),"")</f>
        <v/>
      </c>
      <c r="J156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65" spans="2:10" ht="18" customHeight="1" x14ac:dyDescent="0.25">
      <c r="B1565" s="256"/>
      <c r="C1565" s="257"/>
      <c r="D1565" s="258"/>
      <c r="E1565" s="258"/>
      <c r="F1565" s="259"/>
      <c r="G1565" s="259"/>
      <c r="H1565" s="260"/>
      <c r="I1565" s="261" t="str">
        <f>IFERROR(MID(作者统计[[#This Row],[作者]],FIND("[",作者统计[[#This Row],[作者]],1)+1,FIND("]",作者统计[[#This Row],[作者]],1)-FIND("[",作者统计[[#This Row],[作者]],1)-1),"")</f>
        <v/>
      </c>
      <c r="J156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66" spans="2:10" ht="18" customHeight="1" x14ac:dyDescent="0.25">
      <c r="B1566" s="85"/>
      <c r="C1566" s="120"/>
      <c r="D1566" s="121"/>
      <c r="E1566" s="121"/>
      <c r="F1566" s="92"/>
      <c r="G1566" s="92"/>
      <c r="H1566" s="122"/>
      <c r="I1566" s="68" t="str">
        <f>IFERROR(MID(作者统计[[#This Row],[作者]],FIND("[",作者统计[[#This Row],[作者]],1)+1,FIND("]",作者统计[[#This Row],[作者]],1)-FIND("[",作者统计[[#This Row],[作者]],1)-1),"")</f>
        <v/>
      </c>
      <c r="J1566" s="68" t="str">
        <f>IFERROR(MID(作者统计[[#This Row],[作者]],FIND("(",作者统计[[#This Row],[作者]],1)+1,FIND(")",作者统计[[#This Row],[作者]],1)-FIND("(",作者统计[[#This Row],[作者]],1)-1),"")</f>
        <v/>
      </c>
    </row>
    <row r="1567" spans="2:10" ht="18" customHeight="1" x14ac:dyDescent="0.25">
      <c r="B1567" s="85"/>
      <c r="C1567" s="120"/>
      <c r="D1567" s="121"/>
      <c r="E1567" s="121"/>
      <c r="F1567" s="92"/>
      <c r="G1567" s="92"/>
      <c r="H1567" s="122"/>
      <c r="I1567" s="68" t="str">
        <f>IFERROR(MID(作者统计[[#This Row],[作者]],FIND("[",作者统计[[#This Row],[作者]],1)+1,FIND("]",作者统计[[#This Row],[作者]],1)-FIND("[",作者统计[[#This Row],[作者]],1)-1),"")</f>
        <v/>
      </c>
      <c r="J156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68" spans="2:10" ht="18" customHeight="1" x14ac:dyDescent="0.25">
      <c r="B1568" s="85"/>
      <c r="C1568" s="120"/>
      <c r="D1568" s="121"/>
      <c r="E1568" s="121"/>
      <c r="F1568" s="92"/>
      <c r="G1568" s="92"/>
      <c r="H1568" s="122"/>
      <c r="I1568" s="68" t="str">
        <f>IFERROR(MID(作者统计[[#This Row],[作者]],FIND("[",作者统计[[#This Row],[作者]],1)+1,FIND("]",作者统计[[#This Row],[作者]],1)-FIND("[",作者统计[[#This Row],[作者]],1)-1),"")</f>
        <v/>
      </c>
      <c r="J1568" s="68" t="str">
        <f>IFERROR(MID(作者统计[[#This Row],[作者]],FIND("(",作者统计[[#This Row],[作者]],1)+1,FIND(")",作者统计[[#This Row],[作者]],1)-FIND("(",作者统计[[#This Row],[作者]],1)-1),"")</f>
        <v/>
      </c>
    </row>
    <row r="1569" spans="2:10" ht="18" customHeight="1" x14ac:dyDescent="0.25">
      <c r="B1569" s="309"/>
      <c r="C1569" s="120"/>
      <c r="D1569" s="121"/>
      <c r="E1569" s="121"/>
      <c r="F1569" s="92"/>
      <c r="G1569" s="92"/>
      <c r="H1569" s="122"/>
      <c r="I1569" s="68" t="str">
        <f>IFERROR(MID(作者统计[[#This Row],[作者]],FIND("[",作者统计[[#This Row],[作者]],1)+1,FIND("]",作者统计[[#This Row],[作者]],1)-FIND("[",作者统计[[#This Row],[作者]],1)-1),"")</f>
        <v/>
      </c>
      <c r="J1569" s="68" t="str">
        <f>IFERROR(MID(作者统计[[#This Row],[作者]],FIND("(",作者统计[[#This Row],[作者]],1)+1,FIND(")",作者统计[[#This Row],[作者]],1)-FIND("(",作者统计[[#This Row],[作者]],1)-1),"")</f>
        <v/>
      </c>
    </row>
    <row r="1570" spans="2:10" ht="18" customHeight="1" x14ac:dyDescent="0.25">
      <c r="B1570" s="85"/>
      <c r="C1570" s="120"/>
      <c r="D1570" s="121"/>
      <c r="E1570" s="121"/>
      <c r="F1570" s="92"/>
      <c r="G1570" s="92"/>
      <c r="H1570" s="122"/>
      <c r="I1570" s="68" t="str">
        <f>IFERROR(MID(作者统计[[#This Row],[作者]],FIND("[",作者统计[[#This Row],[作者]],1)+1,FIND("]",作者统计[[#This Row],[作者]],1)-FIND("[",作者统计[[#This Row],[作者]],1)-1),"")</f>
        <v/>
      </c>
      <c r="J1570" s="68" t="str">
        <f>IFERROR(MID(作者统计[[#This Row],[作者]],FIND("(",作者统计[[#This Row],[作者]],1)+1,FIND(")",作者统计[[#This Row],[作者]],1)-FIND("(",作者统计[[#This Row],[作者]],1)-1),"")</f>
        <v/>
      </c>
    </row>
    <row r="1571" spans="2:10" ht="18" customHeight="1" x14ac:dyDescent="0.25">
      <c r="B1571" s="256"/>
      <c r="C1571" s="257"/>
      <c r="D1571" s="258"/>
      <c r="E1571" s="258"/>
      <c r="F1571" s="259"/>
      <c r="G1571" s="259"/>
      <c r="H1571" s="260"/>
      <c r="I1571" s="261" t="str">
        <f>IFERROR(MID(作者统计[[#This Row],[作者]],FIND("[",作者统计[[#This Row],[作者]],1)+1,FIND("]",作者统计[[#This Row],[作者]],1)-FIND("[",作者统计[[#This Row],[作者]],1)-1),"")</f>
        <v/>
      </c>
      <c r="J157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72" spans="2:10" ht="18" customHeight="1" x14ac:dyDescent="0.25">
      <c r="B1572" s="85"/>
      <c r="C1572" s="120"/>
      <c r="D1572" s="121"/>
      <c r="E1572" s="121"/>
      <c r="F1572" s="92"/>
      <c r="G1572" s="92"/>
      <c r="H1572" s="122"/>
      <c r="I1572" s="68" t="str">
        <f>IFERROR(MID(作者统计[[#This Row],[作者]],FIND("[",作者统计[[#This Row],[作者]],1)+1,FIND("]",作者统计[[#This Row],[作者]],1)-FIND("[",作者统计[[#This Row],[作者]],1)-1),"")</f>
        <v/>
      </c>
      <c r="J1572" s="68" t="str">
        <f>IFERROR(MID(作者统计[[#This Row],[作者]],FIND("(",作者统计[[#This Row],[作者]],1)+1,FIND(")",作者统计[[#This Row],[作者]],1)-FIND("(",作者统计[[#This Row],[作者]],1)-1),"")</f>
        <v/>
      </c>
    </row>
    <row r="1573" spans="2:10" ht="18" customHeight="1" x14ac:dyDescent="0.25">
      <c r="B1573" s="256"/>
      <c r="C1573" s="257"/>
      <c r="D1573" s="258"/>
      <c r="E1573" s="258"/>
      <c r="F1573" s="259"/>
      <c r="G1573" s="259"/>
      <c r="H1573" s="260"/>
      <c r="I1573" s="261" t="str">
        <f>IFERROR(MID(作者统计[[#This Row],[作者]],FIND("[",作者统计[[#This Row],[作者]],1)+1,FIND("]",作者统计[[#This Row],[作者]],1)-FIND("[",作者统计[[#This Row],[作者]],1)-1),"")</f>
        <v/>
      </c>
      <c r="J157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74" spans="2:10" ht="18" customHeight="1" x14ac:dyDescent="0.25">
      <c r="B1574" s="256"/>
      <c r="C1574" s="257"/>
      <c r="D1574" s="258"/>
      <c r="E1574" s="258"/>
      <c r="F1574" s="259"/>
      <c r="G1574" s="259"/>
      <c r="H1574" s="260"/>
      <c r="I1574" s="261" t="str">
        <f>IFERROR(MID(作者统计[[#This Row],[作者]],FIND("[",作者统计[[#This Row],[作者]],1)+1,FIND("]",作者统计[[#This Row],[作者]],1)-FIND("[",作者统计[[#This Row],[作者]],1)-1),"")</f>
        <v/>
      </c>
      <c r="J157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75" spans="2:10" ht="18" customHeight="1" x14ac:dyDescent="0.25">
      <c r="B1575" s="85"/>
      <c r="C1575" s="120"/>
      <c r="D1575" s="121"/>
      <c r="E1575" s="121"/>
      <c r="F1575" s="92"/>
      <c r="G1575" s="92"/>
      <c r="H1575" s="122"/>
      <c r="I1575" s="68" t="str">
        <f>IFERROR(MID(作者统计[[#This Row],[作者]],FIND("[",作者统计[[#This Row],[作者]],1)+1,FIND("]",作者统计[[#This Row],[作者]],1)-FIND("[",作者统计[[#This Row],[作者]],1)-1),"")</f>
        <v/>
      </c>
      <c r="J157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76" spans="2:10" ht="18" customHeight="1" x14ac:dyDescent="0.25">
      <c r="B1576" s="309"/>
      <c r="C1576" s="120"/>
      <c r="D1576" s="121"/>
      <c r="E1576" s="121"/>
      <c r="F1576" s="92"/>
      <c r="G1576" s="92"/>
      <c r="H1576" s="122"/>
      <c r="I1576" s="68" t="str">
        <f>IFERROR(MID(作者统计[[#This Row],[作者]],FIND("[",作者统计[[#This Row],[作者]],1)+1,FIND("]",作者统计[[#This Row],[作者]],1)-FIND("[",作者统计[[#This Row],[作者]],1)-1),"")</f>
        <v/>
      </c>
      <c r="J1576" s="68" t="str">
        <f>IFERROR(MID(作者统计[[#This Row],[作者]],FIND("(",作者统计[[#This Row],[作者]],1)+1,FIND(")",作者统计[[#This Row],[作者]],1)-FIND("(",作者统计[[#This Row],[作者]],1)-1),"")</f>
        <v/>
      </c>
    </row>
    <row r="1577" spans="2:10" ht="18" customHeight="1" x14ac:dyDescent="0.25">
      <c r="B1577" s="85"/>
      <c r="C1577" s="120"/>
      <c r="D1577" s="121"/>
      <c r="E1577" s="121"/>
      <c r="F1577" s="92"/>
      <c r="G1577" s="92"/>
      <c r="H1577" s="122"/>
      <c r="I1577" s="68" t="str">
        <f>IFERROR(MID(作者统计[[#This Row],[作者]],FIND("[",作者统计[[#This Row],[作者]],1)+1,FIND("]",作者统计[[#This Row],[作者]],1)-FIND("[",作者统计[[#This Row],[作者]],1)-1),"")</f>
        <v/>
      </c>
      <c r="J157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78" spans="2:10" ht="18" customHeight="1" x14ac:dyDescent="0.25">
      <c r="B1578" s="85"/>
      <c r="C1578" s="120"/>
      <c r="D1578" s="121"/>
      <c r="E1578" s="121"/>
      <c r="F1578" s="92"/>
      <c r="G1578" s="92"/>
      <c r="H1578" s="122"/>
      <c r="I1578" s="68" t="str">
        <f>IFERROR(MID(作者统计[[#This Row],[作者]],FIND("[",作者统计[[#This Row],[作者]],1)+1,FIND("]",作者统计[[#This Row],[作者]],1)-FIND("[",作者统计[[#This Row],[作者]],1)-1),"")</f>
        <v/>
      </c>
      <c r="J1578" s="68" t="str">
        <f>IFERROR(MID(作者统计[[#This Row],[作者]],FIND("(",作者统计[[#This Row],[作者]],1)+1,FIND(")",作者统计[[#This Row],[作者]],1)-FIND("(",作者统计[[#This Row],[作者]],1)-1),"")</f>
        <v/>
      </c>
    </row>
    <row r="1579" spans="2:10" ht="18" customHeight="1" x14ac:dyDescent="0.25">
      <c r="B1579" s="85"/>
      <c r="C1579" s="120"/>
      <c r="D1579" s="121"/>
      <c r="E1579" s="121"/>
      <c r="F1579" s="92"/>
      <c r="G1579" s="92"/>
      <c r="H1579" s="122"/>
      <c r="I1579" s="68" t="str">
        <f>IFERROR(MID(作者统计[[#This Row],[作者]],FIND("[",作者统计[[#This Row],[作者]],1)+1,FIND("]",作者统计[[#This Row],[作者]],1)-FIND("[",作者统计[[#This Row],[作者]],1)-1),"")</f>
        <v/>
      </c>
      <c r="J1579" s="68" t="str">
        <f>IFERROR(MID(作者统计[[#This Row],[作者]],FIND("(",作者统计[[#This Row],[作者]],1)+1,FIND(")",作者统计[[#This Row],[作者]],1)-FIND("(",作者统计[[#This Row],[作者]],1)-1),"")</f>
        <v/>
      </c>
    </row>
    <row r="1580" spans="2:10" ht="18" customHeight="1" x14ac:dyDescent="0.25">
      <c r="B1580" s="85"/>
      <c r="C1580" s="120"/>
      <c r="D1580" s="121"/>
      <c r="E1580" s="121"/>
      <c r="F1580" s="92"/>
      <c r="G1580" s="92"/>
      <c r="H1580" s="122"/>
      <c r="I1580" s="68" t="str">
        <f>IFERROR(MID(作者统计[[#This Row],[作者]],FIND("[",作者统计[[#This Row],[作者]],1)+1,FIND("]",作者统计[[#This Row],[作者]],1)-FIND("[",作者统计[[#This Row],[作者]],1)-1),"")</f>
        <v/>
      </c>
      <c r="J1580" s="68" t="str">
        <f>IFERROR(MID(作者统计[[#This Row],[作者]],FIND("(",作者统计[[#This Row],[作者]],1)+1,FIND(")",作者统计[[#This Row],[作者]],1)-FIND("(",作者统计[[#This Row],[作者]],1)-1),"")</f>
        <v/>
      </c>
    </row>
    <row r="1581" spans="2:10" ht="18" customHeight="1" x14ac:dyDescent="0.25">
      <c r="B1581" s="309"/>
      <c r="C1581" s="120"/>
      <c r="D1581" s="121"/>
      <c r="E1581" s="121"/>
      <c r="F1581" s="92"/>
      <c r="G1581" s="92"/>
      <c r="H1581" s="122"/>
      <c r="I1581" s="68" t="str">
        <f>IFERROR(MID(作者统计[[#This Row],[作者]],FIND("[",作者统计[[#This Row],[作者]],1)+1,FIND("]",作者统计[[#This Row],[作者]],1)-FIND("[",作者统计[[#This Row],[作者]],1)-1),"")</f>
        <v/>
      </c>
      <c r="J1581" s="68" t="str">
        <f>IFERROR(MID(作者统计[[#This Row],[作者]],FIND("(",作者统计[[#This Row],[作者]],1)+1,FIND(")",作者统计[[#This Row],[作者]],1)-FIND("(",作者统计[[#This Row],[作者]],1)-1),"")</f>
        <v/>
      </c>
    </row>
    <row r="1582" spans="2:10" ht="18" customHeight="1" x14ac:dyDescent="0.25">
      <c r="B1582" s="256"/>
      <c r="C1582" s="257"/>
      <c r="D1582" s="258"/>
      <c r="E1582" s="258"/>
      <c r="F1582" s="259"/>
      <c r="G1582" s="259"/>
      <c r="H1582" s="260"/>
      <c r="I1582" s="261" t="str">
        <f>IFERROR(MID(作者统计[[#This Row],[作者]],FIND("[",作者统计[[#This Row],[作者]],1)+1,FIND("]",作者统计[[#This Row],[作者]],1)-FIND("[",作者统计[[#This Row],[作者]],1)-1),"")</f>
        <v/>
      </c>
      <c r="J158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83" spans="2:10" ht="18" customHeight="1" x14ac:dyDescent="0.25">
      <c r="B1583" s="85"/>
      <c r="C1583" s="120"/>
      <c r="D1583" s="121"/>
      <c r="E1583" s="121"/>
      <c r="F1583" s="92"/>
      <c r="G1583" s="92"/>
      <c r="H1583" s="122"/>
      <c r="I1583" s="68" t="str">
        <f>IFERROR(MID(作者统计[[#This Row],[作者]],FIND("[",作者统计[[#This Row],[作者]],1)+1,FIND("]",作者统计[[#This Row],[作者]],1)-FIND("[",作者统计[[#This Row],[作者]],1)-1),"")</f>
        <v/>
      </c>
      <c r="J1583" s="68" t="str">
        <f>IFERROR(MID(作者统计[[#This Row],[作者]],FIND("(",作者统计[[#This Row],[作者]],1)+1,FIND(")",作者统计[[#This Row],[作者]],1)-FIND("(",作者统计[[#This Row],[作者]],1)-1),"")</f>
        <v/>
      </c>
    </row>
    <row r="1584" spans="2:10" ht="18" customHeight="1" x14ac:dyDescent="0.25">
      <c r="B1584" s="309"/>
      <c r="C1584" s="120"/>
      <c r="D1584" s="121"/>
      <c r="E1584" s="121"/>
      <c r="F1584" s="92"/>
      <c r="G1584" s="92"/>
      <c r="H1584" s="122"/>
      <c r="I1584" s="68" t="str">
        <f>IFERROR(MID(作者统计[[#This Row],[作者]],FIND("[",作者统计[[#This Row],[作者]],1)+1,FIND("]",作者统计[[#This Row],[作者]],1)-FIND("[",作者统计[[#This Row],[作者]],1)-1),"")</f>
        <v/>
      </c>
      <c r="J1584" s="68" t="str">
        <f>IFERROR(MID(作者统计[[#This Row],[作者]],FIND("(",作者统计[[#This Row],[作者]],1)+1,FIND(")",作者统计[[#This Row],[作者]],1)-FIND("(",作者统计[[#This Row],[作者]],1)-1),"")</f>
        <v/>
      </c>
    </row>
    <row r="1585" spans="2:10" ht="18" customHeight="1" x14ac:dyDescent="0.25">
      <c r="B1585" s="85"/>
      <c r="C1585" s="120"/>
      <c r="D1585" s="121"/>
      <c r="E1585" s="121"/>
      <c r="F1585" s="92"/>
      <c r="G1585" s="92"/>
      <c r="H1585" s="122"/>
      <c r="I1585" s="68" t="str">
        <f>IFERROR(MID(作者统计[[#This Row],[作者]],FIND("[",作者统计[[#This Row],[作者]],1)+1,FIND("]",作者统计[[#This Row],[作者]],1)-FIND("[",作者统计[[#This Row],[作者]],1)-1),"")</f>
        <v/>
      </c>
      <c r="J158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86" spans="2:10" ht="18" customHeight="1" x14ac:dyDescent="0.25">
      <c r="B1586" s="256"/>
      <c r="C1586" s="257"/>
      <c r="D1586" s="258"/>
      <c r="E1586" s="258"/>
      <c r="F1586" s="259"/>
      <c r="G1586" s="259"/>
      <c r="H1586" s="260"/>
      <c r="I1586" s="261" t="str">
        <f>IFERROR(MID(作者统计[[#This Row],[作者]],FIND("[",作者统计[[#This Row],[作者]],1)+1,FIND("]",作者统计[[#This Row],[作者]],1)-FIND("[",作者统计[[#This Row],[作者]],1)-1),"")</f>
        <v/>
      </c>
      <c r="J158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87" spans="2:10" ht="18" customHeight="1" x14ac:dyDescent="0.25">
      <c r="B1587" s="309"/>
      <c r="C1587" s="120"/>
      <c r="D1587" s="121"/>
      <c r="E1587" s="121"/>
      <c r="F1587" s="92"/>
      <c r="G1587" s="92"/>
      <c r="H1587" s="122"/>
      <c r="I1587" s="68" t="str">
        <f>IFERROR(MID(作者统计[[#This Row],[作者]],FIND("[",作者统计[[#This Row],[作者]],1)+1,FIND("]",作者统计[[#This Row],[作者]],1)-FIND("[",作者统计[[#This Row],[作者]],1)-1),"")</f>
        <v/>
      </c>
      <c r="J158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88" spans="2:10" ht="18" customHeight="1" x14ac:dyDescent="0.25">
      <c r="B1588" s="256"/>
      <c r="C1588" s="257"/>
      <c r="D1588" s="258"/>
      <c r="E1588" s="258"/>
      <c r="F1588" s="259"/>
      <c r="G1588" s="259"/>
      <c r="H1588" s="260"/>
      <c r="I1588" s="261" t="str">
        <f>IFERROR(MID(作者统计[[#This Row],[作者]],FIND("[",作者统计[[#This Row],[作者]],1)+1,FIND("]",作者统计[[#This Row],[作者]],1)-FIND("[",作者统计[[#This Row],[作者]],1)-1),"")</f>
        <v/>
      </c>
      <c r="J158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89" spans="2:10" ht="18" customHeight="1" x14ac:dyDescent="0.25">
      <c r="B1589" s="256"/>
      <c r="C1589" s="257"/>
      <c r="D1589" s="258"/>
      <c r="E1589" s="258"/>
      <c r="F1589" s="259"/>
      <c r="G1589" s="259"/>
      <c r="H1589" s="260"/>
      <c r="I1589" s="261" t="str">
        <f>IFERROR(MID(作者统计[[#This Row],[作者]],FIND("[",作者统计[[#This Row],[作者]],1)+1,FIND("]",作者统计[[#This Row],[作者]],1)-FIND("[",作者统计[[#This Row],[作者]],1)-1),"")</f>
        <v/>
      </c>
      <c r="J158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590" spans="2:10" ht="18" customHeight="1" x14ac:dyDescent="0.25">
      <c r="B1590" s="85"/>
      <c r="C1590" s="120"/>
      <c r="D1590" s="121"/>
      <c r="E1590" s="121"/>
      <c r="F1590" s="92"/>
      <c r="G1590" s="92"/>
      <c r="H1590" s="122"/>
      <c r="I1590" s="68" t="str">
        <f>IFERROR(MID(作者统计[[#This Row],[作者]],FIND("[",作者统计[[#This Row],[作者]],1)+1,FIND("]",作者统计[[#This Row],[作者]],1)-FIND("[",作者统计[[#This Row],[作者]],1)-1),"")</f>
        <v/>
      </c>
      <c r="J1590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1" spans="2:10" ht="18" customHeight="1" x14ac:dyDescent="0.25">
      <c r="B1591" s="85"/>
      <c r="C1591" s="120"/>
      <c r="D1591" s="121"/>
      <c r="E1591" s="121"/>
      <c r="F1591" s="92"/>
      <c r="G1591" s="92"/>
      <c r="H1591" s="122"/>
      <c r="I1591" s="68" t="str">
        <f>IFERROR(MID(作者统计[[#This Row],[作者]],FIND("[",作者统计[[#This Row],[作者]],1)+1,FIND("]",作者统计[[#This Row],[作者]],1)-FIND("[",作者统计[[#This Row],[作者]],1)-1),"")</f>
        <v/>
      </c>
      <c r="J1591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2" spans="2:10" ht="18" customHeight="1" x14ac:dyDescent="0.25">
      <c r="B1592" s="85"/>
      <c r="C1592" s="120"/>
      <c r="D1592" s="121"/>
      <c r="E1592" s="121"/>
      <c r="F1592" s="92"/>
      <c r="G1592" s="92"/>
      <c r="H1592" s="122"/>
      <c r="I1592" s="68" t="str">
        <f>IFERROR(MID(作者统计[[#This Row],[作者]],FIND("[",作者统计[[#This Row],[作者]],1)+1,FIND("]",作者统计[[#This Row],[作者]],1)-FIND("[",作者统计[[#This Row],[作者]],1)-1),"")</f>
        <v/>
      </c>
      <c r="J1592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3" spans="2:10" ht="18" customHeight="1" x14ac:dyDescent="0.25">
      <c r="B1593" s="85"/>
      <c r="C1593" s="120"/>
      <c r="D1593" s="121"/>
      <c r="E1593" s="121"/>
      <c r="F1593" s="92"/>
      <c r="G1593" s="92"/>
      <c r="H1593" s="122"/>
      <c r="I1593" s="68" t="str">
        <f>IFERROR(MID(作者统计[[#This Row],[作者]],FIND("[",作者统计[[#This Row],[作者]],1)+1,FIND("]",作者统计[[#This Row],[作者]],1)-FIND("[",作者统计[[#This Row],[作者]],1)-1),"")</f>
        <v/>
      </c>
      <c r="J1593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4" spans="2:10" ht="18" customHeight="1" x14ac:dyDescent="0.25">
      <c r="B1594" s="309"/>
      <c r="C1594" s="120"/>
      <c r="D1594" s="121"/>
      <c r="E1594" s="121"/>
      <c r="F1594" s="92"/>
      <c r="G1594" s="92"/>
      <c r="H1594" s="122"/>
      <c r="I1594" s="68" t="str">
        <f>IFERROR(MID(作者统计[[#This Row],[作者]],FIND("[",作者统计[[#This Row],[作者]],1)+1,FIND("]",作者统计[[#This Row],[作者]],1)-FIND("[",作者统计[[#This Row],[作者]],1)-1),"")</f>
        <v/>
      </c>
      <c r="J1594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5" spans="2:10" ht="18" customHeight="1" x14ac:dyDescent="0.25">
      <c r="B1595" s="85"/>
      <c r="C1595" s="120"/>
      <c r="D1595" s="121"/>
      <c r="E1595" s="121"/>
      <c r="F1595" s="92"/>
      <c r="G1595" s="92"/>
      <c r="H1595" s="122"/>
      <c r="I1595" s="68" t="str">
        <f>IFERROR(MID(作者统计[[#This Row],[作者]],FIND("[",作者统计[[#This Row],[作者]],1)+1,FIND("]",作者统计[[#This Row],[作者]],1)-FIND("[",作者统计[[#This Row],[作者]],1)-1),"")</f>
        <v/>
      </c>
      <c r="J1595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6" spans="2:10" ht="18" customHeight="1" x14ac:dyDescent="0.25">
      <c r="B1596" s="85"/>
      <c r="C1596" s="120"/>
      <c r="D1596" s="121"/>
      <c r="E1596" s="121"/>
      <c r="F1596" s="92"/>
      <c r="G1596" s="92"/>
      <c r="H1596" s="122"/>
      <c r="I1596" s="68" t="str">
        <f>IFERROR(MID(作者统计[[#This Row],[作者]],FIND("[",作者统计[[#This Row],[作者]],1)+1,FIND("]",作者统计[[#This Row],[作者]],1)-FIND("[",作者统计[[#This Row],[作者]],1)-1),"")</f>
        <v/>
      </c>
      <c r="J1596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7" spans="2:10" ht="18" customHeight="1" x14ac:dyDescent="0.25">
      <c r="B1597" s="85"/>
      <c r="C1597" s="120"/>
      <c r="D1597" s="121"/>
      <c r="E1597" s="121"/>
      <c r="F1597" s="92"/>
      <c r="G1597" s="92"/>
      <c r="H1597" s="122"/>
      <c r="I1597" s="68" t="str">
        <f>IFERROR(MID(作者统计[[#This Row],[作者]],FIND("[",作者统计[[#This Row],[作者]],1)+1,FIND("]",作者统计[[#This Row],[作者]],1)-FIND("[",作者统计[[#This Row],[作者]],1)-1),"")</f>
        <v/>
      </c>
      <c r="J1597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8" spans="2:10" ht="18" customHeight="1" x14ac:dyDescent="0.25">
      <c r="B1598" s="85"/>
      <c r="C1598" s="120"/>
      <c r="D1598" s="121"/>
      <c r="E1598" s="121"/>
      <c r="F1598" s="92"/>
      <c r="G1598" s="92"/>
      <c r="H1598" s="122"/>
      <c r="I1598" s="68" t="str">
        <f>IFERROR(MID(作者统计[[#This Row],[作者]],FIND("[",作者统计[[#This Row],[作者]],1)+1,FIND("]",作者统计[[#This Row],[作者]],1)-FIND("[",作者统计[[#This Row],[作者]],1)-1),"")</f>
        <v/>
      </c>
      <c r="J1598" s="68" t="str">
        <f>IFERROR(MID(作者统计[[#This Row],[作者]],FIND("(",作者统计[[#This Row],[作者]],1)+1,FIND(")",作者统计[[#This Row],[作者]],1)-FIND("(",作者统计[[#This Row],[作者]],1)-1),"")</f>
        <v/>
      </c>
    </row>
    <row r="1599" spans="2:10" ht="18" customHeight="1" x14ac:dyDescent="0.25">
      <c r="B1599" s="85"/>
      <c r="C1599" s="120"/>
      <c r="D1599" s="121"/>
      <c r="E1599" s="121"/>
      <c r="F1599" s="92"/>
      <c r="G1599" s="92"/>
      <c r="H1599" s="122"/>
      <c r="I1599" s="68" t="str">
        <f>IFERROR(MID(作者统计[[#This Row],[作者]],FIND("[",作者统计[[#This Row],[作者]],1)+1,FIND("]",作者统计[[#This Row],[作者]],1)-FIND("[",作者统计[[#This Row],[作者]],1)-1),"")</f>
        <v/>
      </c>
      <c r="J1599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0" spans="2:10" ht="18" customHeight="1" x14ac:dyDescent="0.25">
      <c r="B1600" s="309"/>
      <c r="C1600" s="120"/>
      <c r="D1600" s="121"/>
      <c r="E1600" s="121"/>
      <c r="F1600" s="92"/>
      <c r="G1600" s="92"/>
      <c r="H1600" s="122"/>
      <c r="I1600" s="68" t="str">
        <f>IFERROR(MID(作者统计[[#This Row],[作者]],FIND("[",作者统计[[#This Row],[作者]],1)+1,FIND("]",作者统计[[#This Row],[作者]],1)-FIND("[",作者统计[[#This Row],[作者]],1)-1),"")</f>
        <v/>
      </c>
      <c r="J160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1" spans="2:10" ht="18" customHeight="1" x14ac:dyDescent="0.25">
      <c r="B1601" s="309"/>
      <c r="C1601" s="120"/>
      <c r="D1601" s="121"/>
      <c r="E1601" s="121"/>
      <c r="F1601" s="92"/>
      <c r="G1601" s="92"/>
      <c r="H1601" s="122"/>
      <c r="I1601" s="68" t="str">
        <f>IFERROR(MID(作者统计[[#This Row],[作者]],FIND("[",作者统计[[#This Row],[作者]],1)+1,FIND("]",作者统计[[#This Row],[作者]],1)-FIND("[",作者统计[[#This Row],[作者]],1)-1),"")</f>
        <v/>
      </c>
      <c r="J1601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2" spans="2:10" ht="18" customHeight="1" x14ac:dyDescent="0.25">
      <c r="B1602" s="309"/>
      <c r="C1602" s="120"/>
      <c r="D1602" s="121"/>
      <c r="E1602" s="121"/>
      <c r="F1602" s="92"/>
      <c r="G1602" s="92"/>
      <c r="H1602" s="122"/>
      <c r="I1602" s="68" t="str">
        <f>IFERROR(MID(作者统计[[#This Row],[作者]],FIND("[",作者统计[[#This Row],[作者]],1)+1,FIND("]",作者统计[[#This Row],[作者]],1)-FIND("[",作者统计[[#This Row],[作者]],1)-1),"")</f>
        <v/>
      </c>
      <c r="J160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3" spans="2:10" ht="18" customHeight="1" x14ac:dyDescent="0.25">
      <c r="B1603" s="85"/>
      <c r="C1603" s="120"/>
      <c r="D1603" s="121"/>
      <c r="E1603" s="121"/>
      <c r="F1603" s="92"/>
      <c r="G1603" s="92"/>
      <c r="H1603" s="122"/>
      <c r="I1603" s="68" t="str">
        <f>IFERROR(MID(作者统计[[#This Row],[作者]],FIND("[",作者统计[[#This Row],[作者]],1)+1,FIND("]",作者统计[[#This Row],[作者]],1)-FIND("[",作者统计[[#This Row],[作者]],1)-1),"")</f>
        <v/>
      </c>
      <c r="J1603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4" spans="2:10" ht="18" customHeight="1" x14ac:dyDescent="0.25">
      <c r="B1604" s="309"/>
      <c r="C1604" s="120"/>
      <c r="D1604" s="121"/>
      <c r="E1604" s="121"/>
      <c r="F1604" s="92"/>
      <c r="G1604" s="92"/>
      <c r="H1604" s="122"/>
      <c r="I1604" s="68" t="str">
        <f>IFERROR(MID(作者统计[[#This Row],[作者]],FIND("[",作者统计[[#This Row],[作者]],1)+1,FIND("]",作者统计[[#This Row],[作者]],1)-FIND("[",作者统计[[#This Row],[作者]],1)-1),"")</f>
        <v/>
      </c>
      <c r="J1604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5" spans="2:10" ht="18" customHeight="1" x14ac:dyDescent="0.25">
      <c r="B1605" s="85"/>
      <c r="C1605" s="120"/>
      <c r="D1605" s="121"/>
      <c r="E1605" s="121"/>
      <c r="F1605" s="92"/>
      <c r="G1605" s="92"/>
      <c r="H1605" s="122"/>
      <c r="I1605" s="68" t="str">
        <f>IFERROR(MID(作者统计[[#This Row],[作者]],FIND("[",作者统计[[#This Row],[作者]],1)+1,FIND("]",作者统计[[#This Row],[作者]],1)-FIND("[",作者统计[[#This Row],[作者]],1)-1),"")</f>
        <v/>
      </c>
      <c r="J1605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6" spans="2:10" ht="18" customHeight="1" x14ac:dyDescent="0.25">
      <c r="B1606" s="85"/>
      <c r="C1606" s="120"/>
      <c r="D1606" s="121"/>
      <c r="E1606" s="121"/>
      <c r="F1606" s="92"/>
      <c r="G1606" s="92"/>
      <c r="H1606" s="122"/>
      <c r="I1606" s="68" t="str">
        <f>IFERROR(MID(作者统计[[#This Row],[作者]],FIND("[",作者统计[[#This Row],[作者]],1)+1,FIND("]",作者统计[[#This Row],[作者]],1)-FIND("[",作者统计[[#This Row],[作者]],1)-1),"")</f>
        <v/>
      </c>
      <c r="J1606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7" spans="2:10" ht="18" customHeight="1" x14ac:dyDescent="0.25">
      <c r="B1607" s="309"/>
      <c r="C1607" s="120"/>
      <c r="D1607" s="121"/>
      <c r="E1607" s="121"/>
      <c r="F1607" s="92"/>
      <c r="G1607" s="92"/>
      <c r="H1607" s="122"/>
      <c r="I1607" s="68" t="str">
        <f>IFERROR(MID(作者统计[[#This Row],[作者]],FIND("[",作者统计[[#This Row],[作者]],1)+1,FIND("]",作者统计[[#This Row],[作者]],1)-FIND("[",作者统计[[#This Row],[作者]],1)-1),"")</f>
        <v/>
      </c>
      <c r="J1607" s="68" t="str">
        <f>IFERROR(MID(作者统计[[#This Row],[作者]],FIND("(",作者统计[[#This Row],[作者]],1)+1,FIND(")",作者统计[[#This Row],[作者]],1)-FIND("(",作者统计[[#This Row],[作者]],1)-1),"")</f>
        <v/>
      </c>
    </row>
    <row r="1608" spans="2:10" ht="18" customHeight="1" x14ac:dyDescent="0.25">
      <c r="B1608" s="256"/>
      <c r="C1608" s="257"/>
      <c r="D1608" s="258"/>
      <c r="E1608" s="258"/>
      <c r="F1608" s="259"/>
      <c r="G1608" s="259"/>
      <c r="H1608" s="260"/>
      <c r="I1608" s="261" t="str">
        <f>IFERROR(MID(作者统计[[#This Row],[作者]],FIND("[",作者统计[[#This Row],[作者]],1)+1,FIND("]",作者统计[[#This Row],[作者]],1)-FIND("[",作者统计[[#This Row],[作者]],1)-1),"")</f>
        <v/>
      </c>
      <c r="J160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09" spans="2:10" ht="18" customHeight="1" x14ac:dyDescent="0.25">
      <c r="B1609" s="309"/>
      <c r="C1609" s="120"/>
      <c r="D1609" s="121"/>
      <c r="E1609" s="121"/>
      <c r="F1609" s="92"/>
      <c r="G1609" s="92"/>
      <c r="H1609" s="122"/>
      <c r="I1609" s="68" t="str">
        <f>IFERROR(MID(作者统计[[#This Row],[作者]],FIND("[",作者统计[[#This Row],[作者]],1)+1,FIND("]",作者统计[[#This Row],[作者]],1)-FIND("[",作者统计[[#This Row],[作者]],1)-1),"")</f>
        <v/>
      </c>
      <c r="J1609" s="68" t="str">
        <f>IFERROR(MID(作者统计[[#This Row],[作者]],FIND("(",作者统计[[#This Row],[作者]],1)+1,FIND(")",作者统计[[#This Row],[作者]],1)-FIND("(",作者统计[[#This Row],[作者]],1)-1),"")</f>
        <v/>
      </c>
    </row>
    <row r="1610" spans="2:10" ht="18" customHeight="1" x14ac:dyDescent="0.25">
      <c r="B1610" s="85"/>
      <c r="C1610" s="120"/>
      <c r="D1610" s="121"/>
      <c r="E1610" s="121"/>
      <c r="F1610" s="92"/>
      <c r="G1610" s="92"/>
      <c r="H1610" s="122"/>
      <c r="I1610" s="68" t="str">
        <f>IFERROR(MID(作者统计[[#This Row],[作者]],FIND("[",作者统计[[#This Row],[作者]],1)+1,FIND("]",作者统计[[#This Row],[作者]],1)-FIND("[",作者统计[[#This Row],[作者]],1)-1),"")</f>
        <v/>
      </c>
      <c r="J161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11" spans="2:10" ht="18" customHeight="1" x14ac:dyDescent="0.25">
      <c r="B1611" s="256"/>
      <c r="C1611" s="257"/>
      <c r="D1611" s="258"/>
      <c r="E1611" s="258"/>
      <c r="F1611" s="259"/>
      <c r="G1611" s="259"/>
      <c r="H1611" s="260"/>
      <c r="I1611" s="261" t="str">
        <f>IFERROR(MID(作者统计[[#This Row],[作者]],FIND("[",作者统计[[#This Row],[作者]],1)+1,FIND("]",作者统计[[#This Row],[作者]],1)-FIND("[",作者统计[[#This Row],[作者]],1)-1),"")</f>
        <v/>
      </c>
      <c r="J161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12" spans="2:10" ht="18" customHeight="1" x14ac:dyDescent="0.25">
      <c r="B1612" s="309"/>
      <c r="C1612" s="120"/>
      <c r="D1612" s="121"/>
      <c r="E1612" s="121"/>
      <c r="F1612" s="92"/>
      <c r="G1612" s="92"/>
      <c r="H1612" s="122"/>
      <c r="I1612" s="68" t="str">
        <f>IFERROR(MID(作者统计[[#This Row],[作者]],FIND("[",作者统计[[#This Row],[作者]],1)+1,FIND("]",作者统计[[#This Row],[作者]],1)-FIND("[",作者统计[[#This Row],[作者]],1)-1),"")</f>
        <v/>
      </c>
      <c r="J161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13" spans="2:10" ht="18" customHeight="1" x14ac:dyDescent="0.25">
      <c r="B1613" s="85"/>
      <c r="C1613" s="120"/>
      <c r="D1613" s="121"/>
      <c r="E1613" s="121"/>
      <c r="F1613" s="92"/>
      <c r="G1613" s="92"/>
      <c r="H1613" s="122"/>
      <c r="I1613" s="68" t="str">
        <f>IFERROR(MID(作者统计[[#This Row],[作者]],FIND("[",作者统计[[#This Row],[作者]],1)+1,FIND("]",作者统计[[#This Row],[作者]],1)-FIND("[",作者统计[[#This Row],[作者]],1)-1),"")</f>
        <v/>
      </c>
      <c r="J1613" s="68" t="str">
        <f>IFERROR(MID(作者统计[[#This Row],[作者]],FIND("(",作者统计[[#This Row],[作者]],1)+1,FIND(")",作者统计[[#This Row],[作者]],1)-FIND("(",作者统计[[#This Row],[作者]],1)-1),"")</f>
        <v/>
      </c>
    </row>
    <row r="1614" spans="2:10" ht="18" customHeight="1" x14ac:dyDescent="0.25">
      <c r="B1614" s="85"/>
      <c r="C1614" s="120"/>
      <c r="D1614" s="121"/>
      <c r="E1614" s="121"/>
      <c r="F1614" s="92"/>
      <c r="G1614" s="92"/>
      <c r="H1614" s="122"/>
      <c r="I1614" s="68" t="str">
        <f>IFERROR(MID(作者统计[[#This Row],[作者]],FIND("[",作者统计[[#This Row],[作者]],1)+1,FIND("]",作者统计[[#This Row],[作者]],1)-FIND("[",作者统计[[#This Row],[作者]],1)-1),"")</f>
        <v/>
      </c>
      <c r="J1614" s="68" t="str">
        <f>IFERROR(MID(作者统计[[#This Row],[作者]],FIND("(",作者统计[[#This Row],[作者]],1)+1,FIND(")",作者统计[[#This Row],[作者]],1)-FIND("(",作者统计[[#This Row],[作者]],1)-1),"")</f>
        <v/>
      </c>
    </row>
    <row r="1615" spans="2:10" ht="18" customHeight="1" x14ac:dyDescent="0.25">
      <c r="B1615" s="256"/>
      <c r="C1615" s="257"/>
      <c r="D1615" s="258"/>
      <c r="E1615" s="258"/>
      <c r="F1615" s="259"/>
      <c r="G1615" s="259"/>
      <c r="H1615" s="260"/>
      <c r="I1615" s="261" t="str">
        <f>IFERROR(MID(作者统计[[#This Row],[作者]],FIND("[",作者统计[[#This Row],[作者]],1)+1,FIND("]",作者统计[[#This Row],[作者]],1)-FIND("[",作者统计[[#This Row],[作者]],1)-1),"")</f>
        <v/>
      </c>
      <c r="J161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16" spans="2:10" ht="18" customHeight="1" x14ac:dyDescent="0.25">
      <c r="B1616" s="85"/>
      <c r="C1616" s="120"/>
      <c r="D1616" s="121"/>
      <c r="E1616" s="121"/>
      <c r="F1616" s="92"/>
      <c r="G1616" s="92"/>
      <c r="H1616" s="122"/>
      <c r="I1616" s="68" t="str">
        <f>IFERROR(MID(作者统计[[#This Row],[作者]],FIND("[",作者统计[[#This Row],[作者]],1)+1,FIND("]",作者统计[[#This Row],[作者]],1)-FIND("[",作者统计[[#This Row],[作者]],1)-1),"")</f>
        <v/>
      </c>
      <c r="J1616" s="68" t="str">
        <f>IFERROR(MID(作者统计[[#This Row],[作者]],FIND("(",作者统计[[#This Row],[作者]],1)+1,FIND(")",作者统计[[#This Row],[作者]],1)-FIND("(",作者统计[[#This Row],[作者]],1)-1),"")</f>
        <v/>
      </c>
    </row>
    <row r="1617" spans="2:10" ht="18" customHeight="1" x14ac:dyDescent="0.25">
      <c r="B1617" s="85"/>
      <c r="C1617" s="120"/>
      <c r="D1617" s="121"/>
      <c r="E1617" s="121"/>
      <c r="F1617" s="92"/>
      <c r="G1617" s="92"/>
      <c r="H1617" s="122"/>
      <c r="I1617" s="68" t="str">
        <f>IFERROR(MID(作者统计[[#This Row],[作者]],FIND("[",作者统计[[#This Row],[作者]],1)+1,FIND("]",作者统计[[#This Row],[作者]],1)-FIND("[",作者统计[[#This Row],[作者]],1)-1),"")</f>
        <v/>
      </c>
      <c r="J1617" s="68" t="str">
        <f>IFERROR(MID(作者统计[[#This Row],[作者]],FIND("(",作者统计[[#This Row],[作者]],1)+1,FIND(")",作者统计[[#This Row],[作者]],1)-FIND("(",作者统计[[#This Row],[作者]],1)-1),"")</f>
        <v/>
      </c>
    </row>
    <row r="1618" spans="2:10" ht="18" customHeight="1" x14ac:dyDescent="0.25">
      <c r="B1618" s="85"/>
      <c r="C1618" s="120"/>
      <c r="D1618" s="121"/>
      <c r="E1618" s="121"/>
      <c r="F1618" s="92"/>
      <c r="G1618" s="92"/>
      <c r="H1618" s="122"/>
      <c r="I1618" s="68" t="str">
        <f>IFERROR(MID(作者统计[[#This Row],[作者]],FIND("[",作者统计[[#This Row],[作者]],1)+1,FIND("]",作者统计[[#This Row],[作者]],1)-FIND("[",作者统计[[#This Row],[作者]],1)-1),"")</f>
        <v/>
      </c>
      <c r="J1618" s="68" t="str">
        <f>IFERROR(MID(作者统计[[#This Row],[作者]],FIND("(",作者统计[[#This Row],[作者]],1)+1,FIND(")",作者统计[[#This Row],[作者]],1)-FIND("(",作者统计[[#This Row],[作者]],1)-1),"")</f>
        <v/>
      </c>
    </row>
    <row r="1619" spans="2:10" ht="18" customHeight="1" x14ac:dyDescent="0.25">
      <c r="B1619" s="85"/>
      <c r="C1619" s="120"/>
      <c r="D1619" s="121"/>
      <c r="E1619" s="121"/>
      <c r="F1619" s="92"/>
      <c r="G1619" s="92"/>
      <c r="H1619" s="122"/>
      <c r="I1619" s="68" t="str">
        <f>IFERROR(MID(作者统计[[#This Row],[作者]],FIND("[",作者统计[[#This Row],[作者]],1)+1,FIND("]",作者统计[[#This Row],[作者]],1)-FIND("[",作者统计[[#This Row],[作者]],1)-1),"")</f>
        <v/>
      </c>
      <c r="J1619" s="68" t="str">
        <f>IFERROR(MID(作者统计[[#This Row],[作者]],FIND("(",作者统计[[#This Row],[作者]],1)+1,FIND(")",作者统计[[#This Row],[作者]],1)-FIND("(",作者统计[[#This Row],[作者]],1)-1),"")</f>
        <v/>
      </c>
    </row>
    <row r="1620" spans="2:10" ht="18" customHeight="1" x14ac:dyDescent="0.25">
      <c r="B1620" s="85"/>
      <c r="C1620" s="120"/>
      <c r="D1620" s="121"/>
      <c r="E1620" s="121"/>
      <c r="F1620" s="92"/>
      <c r="G1620" s="92"/>
      <c r="H1620" s="122"/>
      <c r="I1620" s="68" t="str">
        <f>IFERROR(MID(作者统计[[#This Row],[作者]],FIND("[",作者统计[[#This Row],[作者]],1)+1,FIND("]",作者统计[[#This Row],[作者]],1)-FIND("[",作者统计[[#This Row],[作者]],1)-1),"")</f>
        <v/>
      </c>
      <c r="J162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21" spans="2:10" ht="18" customHeight="1" x14ac:dyDescent="0.25">
      <c r="B1621" s="256"/>
      <c r="C1621" s="257"/>
      <c r="D1621" s="258"/>
      <c r="E1621" s="258"/>
      <c r="F1621" s="259"/>
      <c r="G1621" s="259"/>
      <c r="H1621" s="260"/>
      <c r="I1621" s="261" t="str">
        <f>IFERROR(MID(作者统计[[#This Row],[作者]],FIND("[",作者统计[[#This Row],[作者]],1)+1,FIND("]",作者统计[[#This Row],[作者]],1)-FIND("[",作者统计[[#This Row],[作者]],1)-1),"")</f>
        <v/>
      </c>
      <c r="J162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22" spans="2:10" ht="18" customHeight="1" x14ac:dyDescent="0.25">
      <c r="B1622" s="309"/>
      <c r="C1622" s="120"/>
      <c r="D1622" s="121"/>
      <c r="E1622" s="121"/>
      <c r="F1622" s="92"/>
      <c r="G1622" s="92"/>
      <c r="H1622" s="122"/>
      <c r="I1622" s="68" t="str">
        <f>IFERROR(MID(作者统计[[#This Row],[作者]],FIND("[",作者统计[[#This Row],[作者]],1)+1,FIND("]",作者统计[[#This Row],[作者]],1)-FIND("[",作者统计[[#This Row],[作者]],1)-1),"")</f>
        <v/>
      </c>
      <c r="J162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23" spans="2:10" ht="18" customHeight="1" x14ac:dyDescent="0.25">
      <c r="B1623" s="256"/>
      <c r="C1623" s="257"/>
      <c r="D1623" s="258"/>
      <c r="E1623" s="258"/>
      <c r="F1623" s="259"/>
      <c r="G1623" s="259"/>
      <c r="H1623" s="260"/>
      <c r="I1623" s="261" t="str">
        <f>IFERROR(MID(作者统计[[#This Row],[作者]],FIND("[",作者统计[[#This Row],[作者]],1)+1,FIND("]",作者统计[[#This Row],[作者]],1)-FIND("[",作者统计[[#This Row],[作者]],1)-1),"")</f>
        <v/>
      </c>
      <c r="J162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24" spans="2:10" ht="18" customHeight="1" x14ac:dyDescent="0.25">
      <c r="B1624" s="256"/>
      <c r="C1624" s="257"/>
      <c r="D1624" s="258"/>
      <c r="E1624" s="258"/>
      <c r="F1624" s="259"/>
      <c r="G1624" s="259"/>
      <c r="H1624" s="260"/>
      <c r="I1624" s="261" t="str">
        <f>IFERROR(MID(作者统计[[#This Row],[作者]],FIND("[",作者统计[[#This Row],[作者]],1)+1,FIND("]",作者统计[[#This Row],[作者]],1)-FIND("[",作者统计[[#This Row],[作者]],1)-1),"")</f>
        <v/>
      </c>
      <c r="J162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25" spans="2:10" ht="18" customHeight="1" x14ac:dyDescent="0.25">
      <c r="B1625" s="309"/>
      <c r="C1625" s="120"/>
      <c r="D1625" s="121"/>
      <c r="E1625" s="121"/>
      <c r="F1625" s="92"/>
      <c r="G1625" s="92"/>
      <c r="H1625" s="122"/>
      <c r="I1625" s="68" t="str">
        <f>IFERROR(MID(作者统计[[#This Row],[作者]],FIND("[",作者统计[[#This Row],[作者]],1)+1,FIND("]",作者统计[[#This Row],[作者]],1)-FIND("[",作者统计[[#This Row],[作者]],1)-1),"")</f>
        <v/>
      </c>
      <c r="J1625" s="68" t="str">
        <f>IFERROR(MID(作者统计[[#This Row],[作者]],FIND("(",作者统计[[#This Row],[作者]],1)+1,FIND(")",作者统计[[#This Row],[作者]],1)-FIND("(",作者统计[[#This Row],[作者]],1)-1),"")</f>
        <v/>
      </c>
    </row>
    <row r="1626" spans="2:10" ht="18" customHeight="1" x14ac:dyDescent="0.25">
      <c r="B1626" s="85"/>
      <c r="C1626" s="120"/>
      <c r="D1626" s="121"/>
      <c r="E1626" s="121"/>
      <c r="F1626" s="92"/>
      <c r="G1626" s="92"/>
      <c r="H1626" s="122"/>
      <c r="I1626" s="68" t="str">
        <f>IFERROR(MID(作者统计[[#This Row],[作者]],FIND("[",作者统计[[#This Row],[作者]],1)+1,FIND("]",作者统计[[#This Row],[作者]],1)-FIND("[",作者统计[[#This Row],[作者]],1)-1),"")</f>
        <v/>
      </c>
      <c r="J1626" s="68" t="str">
        <f>IFERROR(MID(作者统计[[#This Row],[作者]],FIND("(",作者统计[[#This Row],[作者]],1)+1,FIND(")",作者统计[[#This Row],[作者]],1)-FIND("(",作者统计[[#This Row],[作者]],1)-1),"")</f>
        <v/>
      </c>
    </row>
    <row r="1627" spans="2:10" ht="18" customHeight="1" x14ac:dyDescent="0.25">
      <c r="B1627" s="85"/>
      <c r="C1627" s="120"/>
      <c r="D1627" s="121"/>
      <c r="E1627" s="121"/>
      <c r="F1627" s="92"/>
      <c r="G1627" s="92"/>
      <c r="H1627" s="122"/>
      <c r="I1627" s="68" t="str">
        <f>IFERROR(MID(作者统计[[#This Row],[作者]],FIND("[",作者统计[[#This Row],[作者]],1)+1,FIND("]",作者统计[[#This Row],[作者]],1)-FIND("[",作者统计[[#This Row],[作者]],1)-1),"")</f>
        <v/>
      </c>
      <c r="J1627" s="68" t="str">
        <f>IFERROR(MID(作者统计[[#This Row],[作者]],FIND("(",作者统计[[#This Row],[作者]],1)+1,FIND(")",作者统计[[#This Row],[作者]],1)-FIND("(",作者统计[[#This Row],[作者]],1)-1),"")</f>
        <v/>
      </c>
    </row>
    <row r="1628" spans="2:10" ht="18" customHeight="1" x14ac:dyDescent="0.25">
      <c r="B1628" s="309"/>
      <c r="C1628" s="120"/>
      <c r="D1628" s="121"/>
      <c r="E1628" s="121"/>
      <c r="F1628" s="92"/>
      <c r="G1628" s="92"/>
      <c r="H1628" s="122"/>
      <c r="I1628" s="68" t="str">
        <f>IFERROR(MID(作者统计[[#This Row],[作者]],FIND("[",作者统计[[#This Row],[作者]],1)+1,FIND("]",作者统计[[#This Row],[作者]],1)-FIND("[",作者统计[[#This Row],[作者]],1)-1),"")</f>
        <v/>
      </c>
      <c r="J1628" s="68" t="str">
        <f>IFERROR(MID(作者统计[[#This Row],[作者]],FIND("(",作者统计[[#This Row],[作者]],1)+1,FIND(")",作者统计[[#This Row],[作者]],1)-FIND("(",作者统计[[#This Row],[作者]],1)-1),"")</f>
        <v/>
      </c>
    </row>
    <row r="1629" spans="2:10" ht="18" customHeight="1" x14ac:dyDescent="0.25">
      <c r="B1629" s="256"/>
      <c r="C1629" s="257"/>
      <c r="D1629" s="258"/>
      <c r="E1629" s="258"/>
      <c r="F1629" s="259"/>
      <c r="G1629" s="259"/>
      <c r="H1629" s="260"/>
      <c r="I1629" s="261" t="str">
        <f>IFERROR(MID(作者统计[[#This Row],[作者]],FIND("[",作者统计[[#This Row],[作者]],1)+1,FIND("]",作者统计[[#This Row],[作者]],1)-FIND("[",作者统计[[#This Row],[作者]],1)-1),"")</f>
        <v/>
      </c>
      <c r="J162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30" spans="2:10" ht="18" customHeight="1" x14ac:dyDescent="0.25">
      <c r="B1630" s="85"/>
      <c r="C1630" s="120"/>
      <c r="D1630" s="121"/>
      <c r="E1630" s="121"/>
      <c r="F1630" s="92"/>
      <c r="G1630" s="92"/>
      <c r="H1630" s="122"/>
      <c r="I1630" s="68" t="str">
        <f>IFERROR(MID(作者统计[[#This Row],[作者]],FIND("[",作者统计[[#This Row],[作者]],1)+1,FIND("]",作者统计[[#This Row],[作者]],1)-FIND("[",作者统计[[#This Row],[作者]],1)-1),"")</f>
        <v/>
      </c>
      <c r="J163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31" spans="2:10" ht="18" customHeight="1" x14ac:dyDescent="0.25">
      <c r="B1631" s="85"/>
      <c r="C1631" s="120"/>
      <c r="D1631" s="121"/>
      <c r="E1631" s="121"/>
      <c r="F1631" s="92"/>
      <c r="G1631" s="92"/>
      <c r="H1631" s="122"/>
      <c r="I1631" s="68" t="str">
        <f>IFERROR(MID(作者统计[[#This Row],[作者]],FIND("[",作者统计[[#This Row],[作者]],1)+1,FIND("]",作者统计[[#This Row],[作者]],1)-FIND("[",作者统计[[#This Row],[作者]],1)-1),"")</f>
        <v/>
      </c>
      <c r="J1631" s="68" t="str">
        <f>IFERROR(MID(作者统计[[#This Row],[作者]],FIND("(",作者统计[[#This Row],[作者]],1)+1,FIND(")",作者统计[[#This Row],[作者]],1)-FIND("(",作者统计[[#This Row],[作者]],1)-1),"")</f>
        <v/>
      </c>
    </row>
    <row r="1632" spans="2:10" ht="18" customHeight="1" x14ac:dyDescent="0.25">
      <c r="B1632" s="85"/>
      <c r="C1632" s="120"/>
      <c r="D1632" s="121"/>
      <c r="E1632" s="121"/>
      <c r="F1632" s="92"/>
      <c r="G1632" s="92"/>
      <c r="H1632" s="122"/>
      <c r="I1632" s="68" t="str">
        <f>IFERROR(MID(作者统计[[#This Row],[作者]],FIND("[",作者统计[[#This Row],[作者]],1)+1,FIND("]",作者统计[[#This Row],[作者]],1)-FIND("[",作者统计[[#This Row],[作者]],1)-1),"")</f>
        <v/>
      </c>
      <c r="J163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33" spans="2:10" ht="18" customHeight="1" x14ac:dyDescent="0.25">
      <c r="B1633" s="85"/>
      <c r="C1633" s="120"/>
      <c r="D1633" s="121"/>
      <c r="E1633" s="121"/>
      <c r="F1633" s="92"/>
      <c r="G1633" s="92"/>
      <c r="H1633" s="122"/>
      <c r="I1633" s="68" t="str">
        <f>IFERROR(MID(作者统计[[#This Row],[作者]],FIND("[",作者统计[[#This Row],[作者]],1)+1,FIND("]",作者统计[[#This Row],[作者]],1)-FIND("[",作者统计[[#This Row],[作者]],1)-1),"")</f>
        <v/>
      </c>
      <c r="J1633" s="68" t="str">
        <f>IFERROR(MID(作者统计[[#This Row],[作者]],FIND("(",作者统计[[#This Row],[作者]],1)+1,FIND(")",作者统计[[#This Row],[作者]],1)-FIND("(",作者统计[[#This Row],[作者]],1)-1),"")</f>
        <v/>
      </c>
    </row>
    <row r="1634" spans="2:10" ht="18" customHeight="1" x14ac:dyDescent="0.25">
      <c r="B1634" s="256"/>
      <c r="C1634" s="257"/>
      <c r="D1634" s="258"/>
      <c r="E1634" s="258"/>
      <c r="F1634" s="259"/>
      <c r="G1634" s="259"/>
      <c r="H1634" s="260"/>
      <c r="I1634" s="261" t="str">
        <f>IFERROR(MID(作者统计[[#This Row],[作者]],FIND("[",作者统计[[#This Row],[作者]],1)+1,FIND("]",作者统计[[#This Row],[作者]],1)-FIND("[",作者统计[[#This Row],[作者]],1)-1),"")</f>
        <v/>
      </c>
      <c r="J16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35" spans="2:10" ht="18" customHeight="1" x14ac:dyDescent="0.25">
      <c r="B1635" s="309"/>
      <c r="C1635" s="120"/>
      <c r="D1635" s="121"/>
      <c r="E1635" s="121"/>
      <c r="F1635" s="92"/>
      <c r="G1635" s="92"/>
      <c r="H1635" s="122"/>
      <c r="I1635" s="68" t="str">
        <f>IFERROR(MID(作者统计[[#This Row],[作者]],FIND("[",作者统计[[#This Row],[作者]],1)+1,FIND("]",作者统计[[#This Row],[作者]],1)-FIND("[",作者统计[[#This Row],[作者]],1)-1),"")</f>
        <v/>
      </c>
      <c r="J1635" s="68" t="str">
        <f>IFERROR(MID(作者统计[[#This Row],[作者]],FIND("(",作者统计[[#This Row],[作者]],1)+1,FIND(")",作者统计[[#This Row],[作者]],1)-FIND("(",作者统计[[#This Row],[作者]],1)-1),"")</f>
        <v/>
      </c>
    </row>
    <row r="1636" spans="2:10" ht="18" customHeight="1" x14ac:dyDescent="0.25">
      <c r="B1636" s="256"/>
      <c r="C1636" s="257"/>
      <c r="D1636" s="258"/>
      <c r="E1636" s="258"/>
      <c r="F1636" s="259"/>
      <c r="G1636" s="259"/>
      <c r="H1636" s="260"/>
      <c r="I1636" s="261" t="str">
        <f>IFERROR(MID(作者统计[[#This Row],[作者]],FIND("[",作者统计[[#This Row],[作者]],1)+1,FIND("]",作者统计[[#This Row],[作者]],1)-FIND("[",作者统计[[#This Row],[作者]],1)-1),"")</f>
        <v/>
      </c>
      <c r="J163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37" spans="2:10" ht="18" customHeight="1" x14ac:dyDescent="0.25">
      <c r="B1637" s="309"/>
      <c r="C1637" s="120"/>
      <c r="D1637" s="121"/>
      <c r="E1637" s="121"/>
      <c r="F1637" s="92"/>
      <c r="G1637" s="92"/>
      <c r="H1637" s="122"/>
      <c r="I1637" s="68" t="str">
        <f>IFERROR(MID(作者统计[[#This Row],[作者]],FIND("[",作者统计[[#This Row],[作者]],1)+1,FIND("]",作者统计[[#This Row],[作者]],1)-FIND("[",作者统计[[#This Row],[作者]],1)-1),"")</f>
        <v/>
      </c>
      <c r="J1637" s="68" t="str">
        <f>IFERROR(MID(作者统计[[#This Row],[作者]],FIND("(",作者统计[[#This Row],[作者]],1)+1,FIND(")",作者统计[[#This Row],[作者]],1)-FIND("(",作者统计[[#This Row],[作者]],1)-1),"")</f>
        <v/>
      </c>
    </row>
    <row r="1638" spans="2:10" ht="18" customHeight="1" x14ac:dyDescent="0.25">
      <c r="B1638" s="85"/>
      <c r="C1638" s="120"/>
      <c r="D1638" s="121"/>
      <c r="E1638" s="121"/>
      <c r="F1638" s="92"/>
      <c r="G1638" s="92"/>
      <c r="H1638" s="122"/>
      <c r="I1638" s="68" t="str">
        <f>IFERROR(MID(作者统计[[#This Row],[作者]],FIND("[",作者统计[[#This Row],[作者]],1)+1,FIND("]",作者统计[[#This Row],[作者]],1)-FIND("[",作者统计[[#This Row],[作者]],1)-1),"")</f>
        <v/>
      </c>
      <c r="J1638" s="68" t="str">
        <f>IFERROR(MID(作者统计[[#This Row],[作者]],FIND("(",作者统计[[#This Row],[作者]],1)+1,FIND(")",作者统计[[#This Row],[作者]],1)-FIND("(",作者统计[[#This Row],[作者]],1)-1),"")</f>
        <v/>
      </c>
    </row>
    <row r="1639" spans="2:10" ht="18" customHeight="1" x14ac:dyDescent="0.25">
      <c r="B1639" s="85"/>
      <c r="C1639" s="120"/>
      <c r="D1639" s="121"/>
      <c r="E1639" s="121"/>
      <c r="F1639" s="92"/>
      <c r="G1639" s="92"/>
      <c r="H1639" s="122"/>
      <c r="I1639" s="68" t="str">
        <f>IFERROR(MID(作者统计[[#This Row],[作者]],FIND("[",作者统计[[#This Row],[作者]],1)+1,FIND("]",作者统计[[#This Row],[作者]],1)-FIND("[",作者统计[[#This Row],[作者]],1)-1),"")</f>
        <v/>
      </c>
      <c r="J1639" s="68" t="str">
        <f>IFERROR(MID(作者统计[[#This Row],[作者]],FIND("(",作者统计[[#This Row],[作者]],1)+1,FIND(")",作者统计[[#This Row],[作者]],1)-FIND("(",作者统计[[#This Row],[作者]],1)-1),"")</f>
        <v/>
      </c>
    </row>
    <row r="1640" spans="2:10" ht="18" customHeight="1" x14ac:dyDescent="0.25">
      <c r="B1640" s="309"/>
      <c r="C1640" s="120"/>
      <c r="D1640" s="121"/>
      <c r="E1640" s="121"/>
      <c r="F1640" s="92"/>
      <c r="G1640" s="92"/>
      <c r="H1640" s="122"/>
      <c r="I1640" s="68" t="str">
        <f>IFERROR(MID(作者统计[[#This Row],[作者]],FIND("[",作者统计[[#This Row],[作者]],1)+1,FIND("]",作者统计[[#This Row],[作者]],1)-FIND("[",作者统计[[#This Row],[作者]],1)-1),"")</f>
        <v/>
      </c>
      <c r="J164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41" spans="2:10" ht="18" customHeight="1" x14ac:dyDescent="0.25">
      <c r="B1641" s="309"/>
      <c r="C1641" s="120"/>
      <c r="D1641" s="121"/>
      <c r="E1641" s="121"/>
      <c r="F1641" s="92"/>
      <c r="G1641" s="92"/>
      <c r="H1641" s="122"/>
      <c r="I1641" s="68" t="str">
        <f>IFERROR(MID(作者统计[[#This Row],[作者]],FIND("[",作者统计[[#This Row],[作者]],1)+1,FIND("]",作者统计[[#This Row],[作者]],1)-FIND("[",作者统计[[#This Row],[作者]],1)-1),"")</f>
        <v/>
      </c>
      <c r="J1641" s="68" t="str">
        <f>IFERROR(MID(作者统计[[#This Row],[作者]],FIND("(",作者统计[[#This Row],[作者]],1)+1,FIND(")",作者统计[[#This Row],[作者]],1)-FIND("(",作者统计[[#This Row],[作者]],1)-1),"")</f>
        <v/>
      </c>
    </row>
    <row r="1642" spans="2:10" ht="18" customHeight="1" x14ac:dyDescent="0.25">
      <c r="B1642" s="309"/>
      <c r="C1642" s="120"/>
      <c r="D1642" s="121"/>
      <c r="E1642" s="121"/>
      <c r="F1642" s="92"/>
      <c r="G1642" s="92"/>
      <c r="H1642" s="122"/>
      <c r="I1642" s="68" t="str">
        <f>IFERROR(MID(作者统计[[#This Row],[作者]],FIND("[",作者统计[[#This Row],[作者]],1)+1,FIND("]",作者统计[[#This Row],[作者]],1)-FIND("[",作者统计[[#This Row],[作者]],1)-1),"")</f>
        <v/>
      </c>
      <c r="J164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43" spans="2:10" ht="18" customHeight="1" x14ac:dyDescent="0.25">
      <c r="B1643" s="85"/>
      <c r="C1643" s="120"/>
      <c r="D1643" s="121"/>
      <c r="E1643" s="121"/>
      <c r="F1643" s="92"/>
      <c r="G1643" s="92"/>
      <c r="H1643" s="122"/>
      <c r="I1643" s="68" t="str">
        <f>IFERROR(MID(作者统计[[#This Row],[作者]],FIND("[",作者统计[[#This Row],[作者]],1)+1,FIND("]",作者统计[[#This Row],[作者]],1)-FIND("[",作者统计[[#This Row],[作者]],1)-1),"")</f>
        <v/>
      </c>
      <c r="J1643" s="68" t="str">
        <f>IFERROR(MID(作者统计[[#This Row],[作者]],FIND("(",作者统计[[#This Row],[作者]],1)+1,FIND(")",作者统计[[#This Row],[作者]],1)-FIND("(",作者统计[[#This Row],[作者]],1)-1),"")</f>
        <v/>
      </c>
    </row>
    <row r="1644" spans="2:10" ht="18" customHeight="1" x14ac:dyDescent="0.25">
      <c r="B1644" s="85"/>
      <c r="C1644" s="120"/>
      <c r="D1644" s="121"/>
      <c r="E1644" s="121"/>
      <c r="F1644" s="92"/>
      <c r="G1644" s="92"/>
      <c r="H1644" s="122"/>
      <c r="I1644" s="68" t="str">
        <f>IFERROR(MID(作者统计[[#This Row],[作者]],FIND("[",作者统计[[#This Row],[作者]],1)+1,FIND("]",作者统计[[#This Row],[作者]],1)-FIND("[",作者统计[[#This Row],[作者]],1)-1),"")</f>
        <v/>
      </c>
      <c r="J1644" s="68" t="str">
        <f>IFERROR(MID(作者统计[[#This Row],[作者]],FIND("(",作者统计[[#This Row],[作者]],1)+1,FIND(")",作者统计[[#This Row],[作者]],1)-FIND("(",作者统计[[#This Row],[作者]],1)-1),"")</f>
        <v/>
      </c>
    </row>
    <row r="1645" spans="2:10" ht="18" customHeight="1" x14ac:dyDescent="0.25">
      <c r="B1645" s="256"/>
      <c r="C1645" s="257"/>
      <c r="D1645" s="258"/>
      <c r="E1645" s="258"/>
      <c r="F1645" s="259"/>
      <c r="G1645" s="259"/>
      <c r="H1645" s="260"/>
      <c r="I1645" s="261" t="str">
        <f>IFERROR(MID(作者统计[[#This Row],[作者]],FIND("[",作者统计[[#This Row],[作者]],1)+1,FIND("]",作者统计[[#This Row],[作者]],1)-FIND("[",作者统计[[#This Row],[作者]],1)-1),"")</f>
        <v/>
      </c>
      <c r="J164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46" spans="2:10" ht="18" customHeight="1" x14ac:dyDescent="0.25">
      <c r="B1646" s="85"/>
      <c r="C1646" s="120"/>
      <c r="D1646" s="121"/>
      <c r="E1646" s="121"/>
      <c r="F1646" s="92"/>
      <c r="G1646" s="92"/>
      <c r="H1646" s="122"/>
      <c r="I1646" s="68" t="str">
        <f>IFERROR(MID(作者统计[[#This Row],[作者]],FIND("[",作者统计[[#This Row],[作者]],1)+1,FIND("]",作者统计[[#This Row],[作者]],1)-FIND("[",作者统计[[#This Row],[作者]],1)-1),"")</f>
        <v/>
      </c>
      <c r="J1646" s="68" t="str">
        <f>IFERROR(MID(作者统计[[#This Row],[作者]],FIND("(",作者统计[[#This Row],[作者]],1)+1,FIND(")",作者统计[[#This Row],[作者]],1)-FIND("(",作者统计[[#This Row],[作者]],1)-1),"")</f>
        <v/>
      </c>
    </row>
    <row r="1647" spans="2:10" ht="18" customHeight="1" x14ac:dyDescent="0.25">
      <c r="B1647" s="256"/>
      <c r="C1647" s="257"/>
      <c r="D1647" s="258"/>
      <c r="E1647" s="258"/>
      <c r="F1647" s="259"/>
      <c r="G1647" s="259"/>
      <c r="H1647" s="260"/>
      <c r="I1647" s="261" t="str">
        <f>IFERROR(MID(作者统计[[#This Row],[作者]],FIND("[",作者统计[[#This Row],[作者]],1)+1,FIND("]",作者统计[[#This Row],[作者]],1)-FIND("[",作者统计[[#This Row],[作者]],1)-1),"")</f>
        <v/>
      </c>
      <c r="J164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48" spans="2:10" ht="18" customHeight="1" x14ac:dyDescent="0.25">
      <c r="B1648" s="85"/>
      <c r="C1648" s="120"/>
      <c r="D1648" s="121"/>
      <c r="E1648" s="121"/>
      <c r="F1648" s="92"/>
      <c r="G1648" s="92"/>
      <c r="H1648" s="122"/>
      <c r="I1648" s="68" t="str">
        <f>IFERROR(MID(作者统计[[#This Row],[作者]],FIND("[",作者统计[[#This Row],[作者]],1)+1,FIND("]",作者统计[[#This Row],[作者]],1)-FIND("[",作者统计[[#This Row],[作者]],1)-1),"")</f>
        <v/>
      </c>
      <c r="J1648" s="68" t="str">
        <f>IFERROR(MID(作者统计[[#This Row],[作者]],FIND("(",作者统计[[#This Row],[作者]],1)+1,FIND(")",作者统计[[#This Row],[作者]],1)-FIND("(",作者统计[[#This Row],[作者]],1)-1),"")</f>
        <v/>
      </c>
    </row>
    <row r="1649" spans="2:10" ht="18" customHeight="1" x14ac:dyDescent="0.25">
      <c r="B1649" s="85"/>
      <c r="C1649" s="120"/>
      <c r="D1649" s="121"/>
      <c r="E1649" s="121"/>
      <c r="F1649" s="92"/>
      <c r="G1649" s="92"/>
      <c r="H1649" s="122"/>
      <c r="I1649" s="68" t="str">
        <f>IFERROR(MID(作者统计[[#This Row],[作者]],FIND("[",作者统计[[#This Row],[作者]],1)+1,FIND("]",作者统计[[#This Row],[作者]],1)-FIND("[",作者统计[[#This Row],[作者]],1)-1),"")</f>
        <v/>
      </c>
      <c r="J1649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0" spans="2:10" ht="18" customHeight="1" x14ac:dyDescent="0.25">
      <c r="B1650" s="85"/>
      <c r="C1650" s="120"/>
      <c r="D1650" s="121"/>
      <c r="E1650" s="121"/>
      <c r="F1650" s="92"/>
      <c r="G1650" s="92"/>
      <c r="H1650" s="122"/>
      <c r="I1650" s="68" t="str">
        <f>IFERROR(MID(作者统计[[#This Row],[作者]],FIND("[",作者统计[[#This Row],[作者]],1)+1,FIND("]",作者统计[[#This Row],[作者]],1)-FIND("[",作者统计[[#This Row],[作者]],1)-1),"")</f>
        <v/>
      </c>
      <c r="J165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1" spans="2:10" ht="18" customHeight="1" x14ac:dyDescent="0.25">
      <c r="B1651" s="85"/>
      <c r="C1651" s="120"/>
      <c r="D1651" s="121"/>
      <c r="E1651" s="121"/>
      <c r="F1651" s="92"/>
      <c r="G1651" s="92"/>
      <c r="H1651" s="122"/>
      <c r="I1651" s="68" t="str">
        <f>IFERROR(MID(作者统计[[#This Row],[作者]],FIND("[",作者统计[[#This Row],[作者]],1)+1,FIND("]",作者统计[[#This Row],[作者]],1)-FIND("[",作者统计[[#This Row],[作者]],1)-1),"")</f>
        <v/>
      </c>
      <c r="J1651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2" spans="2:10" ht="18" customHeight="1" x14ac:dyDescent="0.25">
      <c r="B1652" s="309"/>
      <c r="C1652" s="120"/>
      <c r="D1652" s="121"/>
      <c r="E1652" s="121"/>
      <c r="F1652" s="92"/>
      <c r="G1652" s="92"/>
      <c r="H1652" s="122"/>
      <c r="I1652" s="68" t="str">
        <f>IFERROR(MID(作者统计[[#This Row],[作者]],FIND("[",作者统计[[#This Row],[作者]],1)+1,FIND("]",作者统计[[#This Row],[作者]],1)-FIND("[",作者统计[[#This Row],[作者]],1)-1),"")</f>
        <v/>
      </c>
      <c r="J165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3" spans="2:10" ht="18" customHeight="1" x14ac:dyDescent="0.25">
      <c r="B1653" s="85"/>
      <c r="C1653" s="120"/>
      <c r="D1653" s="121"/>
      <c r="E1653" s="121"/>
      <c r="F1653" s="92"/>
      <c r="G1653" s="92"/>
      <c r="H1653" s="122"/>
      <c r="I1653" s="68" t="str">
        <f>IFERROR(MID(作者统计[[#This Row],[作者]],FIND("[",作者统计[[#This Row],[作者]],1)+1,FIND("]",作者统计[[#This Row],[作者]],1)-FIND("[",作者统计[[#This Row],[作者]],1)-1),"")</f>
        <v/>
      </c>
      <c r="J1653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4" spans="2:10" ht="18" customHeight="1" x14ac:dyDescent="0.25">
      <c r="B1654" s="85"/>
      <c r="C1654" s="120"/>
      <c r="D1654" s="121"/>
      <c r="E1654" s="121"/>
      <c r="F1654" s="92"/>
      <c r="G1654" s="92"/>
      <c r="H1654" s="122"/>
      <c r="I1654" s="68" t="str">
        <f>IFERROR(MID(作者统计[[#This Row],[作者]],FIND("[",作者统计[[#This Row],[作者]],1)+1,FIND("]",作者统计[[#This Row],[作者]],1)-FIND("[",作者统计[[#This Row],[作者]],1)-1),"")</f>
        <v/>
      </c>
      <c r="J1654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5" spans="2:10" ht="18" customHeight="1" x14ac:dyDescent="0.25">
      <c r="B1655" s="309"/>
      <c r="C1655" s="120"/>
      <c r="D1655" s="121"/>
      <c r="E1655" s="121"/>
      <c r="F1655" s="92"/>
      <c r="G1655" s="92"/>
      <c r="H1655" s="122"/>
      <c r="I1655" s="68" t="str">
        <f>IFERROR(MID(作者统计[[#This Row],[作者]],FIND("[",作者统计[[#This Row],[作者]],1)+1,FIND("]",作者统计[[#This Row],[作者]],1)-FIND("[",作者统计[[#This Row],[作者]],1)-1),"")</f>
        <v/>
      </c>
      <c r="J1655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6" spans="2:10" ht="18" customHeight="1" x14ac:dyDescent="0.25">
      <c r="B1656" s="85"/>
      <c r="C1656" s="120"/>
      <c r="D1656" s="121"/>
      <c r="E1656" s="121"/>
      <c r="F1656" s="92"/>
      <c r="G1656" s="92"/>
      <c r="H1656" s="122"/>
      <c r="I1656" s="68" t="str">
        <f>IFERROR(MID(作者统计[[#This Row],[作者]],FIND("[",作者统计[[#This Row],[作者]],1)+1,FIND("]",作者统计[[#This Row],[作者]],1)-FIND("[",作者统计[[#This Row],[作者]],1)-1),"")</f>
        <v/>
      </c>
      <c r="J1656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7" spans="2:10" ht="18" customHeight="1" x14ac:dyDescent="0.25">
      <c r="B1657" s="309"/>
      <c r="C1657" s="120"/>
      <c r="D1657" s="121"/>
      <c r="E1657" s="121"/>
      <c r="F1657" s="92"/>
      <c r="G1657" s="92"/>
      <c r="H1657" s="122"/>
      <c r="I1657" s="68" t="str">
        <f>IFERROR(MID(作者统计[[#This Row],[作者]],FIND("[",作者统计[[#This Row],[作者]],1)+1,FIND("]",作者统计[[#This Row],[作者]],1)-FIND("[",作者统计[[#This Row],[作者]],1)-1),"")</f>
        <v/>
      </c>
      <c r="J1657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8" spans="2:10" ht="18" customHeight="1" x14ac:dyDescent="0.25">
      <c r="B1658" s="85"/>
      <c r="C1658" s="120"/>
      <c r="D1658" s="121"/>
      <c r="E1658" s="121"/>
      <c r="F1658" s="92"/>
      <c r="G1658" s="92"/>
      <c r="H1658" s="122"/>
      <c r="I1658" s="68" t="str">
        <f>IFERROR(MID(作者统计[[#This Row],[作者]],FIND("[",作者统计[[#This Row],[作者]],1)+1,FIND("]",作者统计[[#This Row],[作者]],1)-FIND("[",作者统计[[#This Row],[作者]],1)-1),"")</f>
        <v/>
      </c>
      <c r="J1658" s="68" t="str">
        <f>IFERROR(MID(作者统计[[#This Row],[作者]],FIND("(",作者统计[[#This Row],[作者]],1)+1,FIND(")",作者统计[[#This Row],[作者]],1)-FIND("(",作者统计[[#This Row],[作者]],1)-1),"")</f>
        <v/>
      </c>
    </row>
    <row r="1659" spans="2:10" ht="18" customHeight="1" x14ac:dyDescent="0.25">
      <c r="B1659" s="311"/>
      <c r="C1659" s="180"/>
      <c r="D1659" s="181"/>
      <c r="E1659" s="181"/>
      <c r="F1659" s="182"/>
      <c r="G1659" s="182"/>
      <c r="H1659" s="183"/>
      <c r="I1659" s="77" t="str">
        <f>IFERROR(MID(作者统计[[#This Row],[作者]],FIND("[",作者统计[[#This Row],[作者]],1)+1,FIND("]",作者统计[[#This Row],[作者]],1)-FIND("[",作者统计[[#This Row],[作者]],1)-1),"")</f>
        <v/>
      </c>
      <c r="J1659" s="77" t="str">
        <f>IFERROR(MID(作者统计[[#This Row],[作者]],FIND("(",作者统计[[#This Row],[作者]],1)+1,FIND(")",作者统计[[#This Row],[作者]],1)-FIND("(",作者统计[[#This Row],[作者]],1)-1),"")</f>
        <v/>
      </c>
    </row>
    <row r="1660" spans="2:10" ht="18" customHeight="1" x14ac:dyDescent="0.25">
      <c r="B1660" s="85"/>
      <c r="C1660" s="120"/>
      <c r="D1660" s="121"/>
      <c r="E1660" s="121"/>
      <c r="F1660" s="92"/>
      <c r="G1660" s="92"/>
      <c r="H1660" s="122"/>
      <c r="I1660" s="68" t="str">
        <f>IFERROR(MID(作者统计[[#This Row],[作者]],FIND("[",作者统计[[#This Row],[作者]],1)+1,FIND("]",作者统计[[#This Row],[作者]],1)-FIND("[",作者统计[[#This Row],[作者]],1)-1),"")</f>
        <v/>
      </c>
      <c r="J166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61" spans="2:10" ht="18" customHeight="1" x14ac:dyDescent="0.25">
      <c r="B1661" s="256"/>
      <c r="C1661" s="257"/>
      <c r="D1661" s="258"/>
      <c r="E1661" s="258"/>
      <c r="F1661" s="259"/>
      <c r="G1661" s="259"/>
      <c r="H1661" s="260"/>
      <c r="I1661" s="261" t="str">
        <f>IFERROR(MID(作者统计[[#This Row],[作者]],FIND("[",作者统计[[#This Row],[作者]],1)+1,FIND("]",作者统计[[#This Row],[作者]],1)-FIND("[",作者统计[[#This Row],[作者]],1)-1),"")</f>
        <v/>
      </c>
      <c r="J166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62" spans="2:10" ht="18" customHeight="1" x14ac:dyDescent="0.25">
      <c r="B1662" s="309"/>
      <c r="C1662" s="120"/>
      <c r="D1662" s="121"/>
      <c r="E1662" s="121"/>
      <c r="F1662" s="92"/>
      <c r="G1662" s="92"/>
      <c r="H1662" s="122"/>
      <c r="I1662" s="68" t="str">
        <f>IFERROR(MID(作者统计[[#This Row],[作者]],FIND("[",作者统计[[#This Row],[作者]],1)+1,FIND("]",作者统计[[#This Row],[作者]],1)-FIND("[",作者统计[[#This Row],[作者]],1)-1),"")</f>
        <v/>
      </c>
      <c r="J166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63" spans="2:10" ht="18" customHeight="1" x14ac:dyDescent="0.25">
      <c r="B1663" s="309"/>
      <c r="C1663" s="120"/>
      <c r="D1663" s="121"/>
      <c r="E1663" s="121"/>
      <c r="F1663" s="92"/>
      <c r="G1663" s="92"/>
      <c r="H1663" s="122"/>
      <c r="I1663" s="68" t="str">
        <f>IFERROR(MID(作者统计[[#This Row],[作者]],FIND("[",作者统计[[#This Row],[作者]],1)+1,FIND("]",作者统计[[#This Row],[作者]],1)-FIND("[",作者统计[[#This Row],[作者]],1)-1),"")</f>
        <v/>
      </c>
      <c r="J1663" s="68" t="str">
        <f>IFERROR(MID(作者统计[[#This Row],[作者]],FIND("(",作者统计[[#This Row],[作者]],1)+1,FIND(")",作者统计[[#This Row],[作者]],1)-FIND("(",作者统计[[#This Row],[作者]],1)-1),"")</f>
        <v/>
      </c>
    </row>
    <row r="1664" spans="2:10" ht="18" customHeight="1" x14ac:dyDescent="0.25">
      <c r="B1664" s="85"/>
      <c r="C1664" s="120"/>
      <c r="D1664" s="121"/>
      <c r="E1664" s="121"/>
      <c r="F1664" s="92"/>
      <c r="G1664" s="92"/>
      <c r="H1664" s="122"/>
      <c r="I1664" s="68" t="str">
        <f>IFERROR(MID(作者统计[[#This Row],[作者]],FIND("[",作者统计[[#This Row],[作者]],1)+1,FIND("]",作者统计[[#This Row],[作者]],1)-FIND("[",作者统计[[#This Row],[作者]],1)-1),"")</f>
        <v/>
      </c>
      <c r="J1664" s="68" t="str">
        <f>IFERROR(MID(作者统计[[#This Row],[作者]],FIND("(",作者统计[[#This Row],[作者]],1)+1,FIND(")",作者统计[[#This Row],[作者]],1)-FIND("(",作者统计[[#This Row],[作者]],1)-1),"")</f>
        <v/>
      </c>
    </row>
    <row r="1665" spans="2:10" ht="18" customHeight="1" x14ac:dyDescent="0.25">
      <c r="B1665" s="85"/>
      <c r="C1665" s="120"/>
      <c r="D1665" s="121"/>
      <c r="E1665" s="121"/>
      <c r="F1665" s="92"/>
      <c r="G1665" s="92"/>
      <c r="H1665" s="122"/>
      <c r="I1665" s="68" t="str">
        <f>IFERROR(MID(作者统计[[#This Row],[作者]],FIND("[",作者统计[[#This Row],[作者]],1)+1,FIND("]",作者统计[[#This Row],[作者]],1)-FIND("[",作者统计[[#This Row],[作者]],1)-1),"")</f>
        <v/>
      </c>
      <c r="J1665" s="68" t="str">
        <f>IFERROR(MID(作者统计[[#This Row],[作者]],FIND("(",作者统计[[#This Row],[作者]],1)+1,FIND(")",作者统计[[#This Row],[作者]],1)-FIND("(",作者统计[[#This Row],[作者]],1)-1),"")</f>
        <v/>
      </c>
    </row>
    <row r="1666" spans="2:10" ht="18" customHeight="1" x14ac:dyDescent="0.25">
      <c r="B1666" s="85"/>
      <c r="C1666" s="120"/>
      <c r="D1666" s="121"/>
      <c r="E1666" s="121"/>
      <c r="F1666" s="92"/>
      <c r="G1666" s="92"/>
      <c r="H1666" s="122"/>
      <c r="I1666" s="68" t="str">
        <f>IFERROR(MID(作者统计[[#This Row],[作者]],FIND("[",作者统计[[#This Row],[作者]],1)+1,FIND("]",作者统计[[#This Row],[作者]],1)-FIND("[",作者统计[[#This Row],[作者]],1)-1),"")</f>
        <v/>
      </c>
      <c r="J1666" s="68" t="str">
        <f>IFERROR(MID(作者统计[[#This Row],[作者]],FIND("(",作者统计[[#This Row],[作者]],1)+1,FIND(")",作者统计[[#This Row],[作者]],1)-FIND("(",作者统计[[#This Row],[作者]],1)-1),"")</f>
        <v/>
      </c>
    </row>
    <row r="1667" spans="2:10" ht="18" customHeight="1" x14ac:dyDescent="0.25">
      <c r="B1667" s="309"/>
      <c r="C1667" s="120"/>
      <c r="D1667" s="121"/>
      <c r="E1667" s="121"/>
      <c r="F1667" s="92"/>
      <c r="G1667" s="92"/>
      <c r="H1667" s="122"/>
      <c r="I1667" s="68" t="str">
        <f>IFERROR(MID(作者统计[[#This Row],[作者]],FIND("[",作者统计[[#This Row],[作者]],1)+1,FIND("]",作者统计[[#This Row],[作者]],1)-FIND("[",作者统计[[#This Row],[作者]],1)-1),"")</f>
        <v/>
      </c>
      <c r="J1667" s="68" t="str">
        <f>IFERROR(MID(作者统计[[#This Row],[作者]],FIND("(",作者统计[[#This Row],[作者]],1)+1,FIND(")",作者统计[[#This Row],[作者]],1)-FIND("(",作者统计[[#This Row],[作者]],1)-1),"")</f>
        <v/>
      </c>
    </row>
    <row r="1668" spans="2:10" ht="18" customHeight="1" x14ac:dyDescent="0.25">
      <c r="B1668" s="256"/>
      <c r="C1668" s="257"/>
      <c r="D1668" s="258"/>
      <c r="E1668" s="258"/>
      <c r="F1668" s="259"/>
      <c r="G1668" s="259"/>
      <c r="H1668" s="260"/>
      <c r="I1668" s="261" t="str">
        <f>IFERROR(MID(作者统计[[#This Row],[作者]],FIND("[",作者统计[[#This Row],[作者]],1)+1,FIND("]",作者统计[[#This Row],[作者]],1)-FIND("[",作者统计[[#This Row],[作者]],1)-1),"")</f>
        <v/>
      </c>
      <c r="J166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69" spans="2:10" ht="18" customHeight="1" x14ac:dyDescent="0.25">
      <c r="B1669" s="85"/>
      <c r="C1669" s="120"/>
      <c r="D1669" s="121"/>
      <c r="E1669" s="121"/>
      <c r="F1669" s="92"/>
      <c r="G1669" s="92"/>
      <c r="H1669" s="122"/>
      <c r="I1669" s="68" t="str">
        <f>IFERROR(MID(作者统计[[#This Row],[作者]],FIND("[",作者统计[[#This Row],[作者]],1)+1,FIND("]",作者统计[[#This Row],[作者]],1)-FIND("[",作者统计[[#This Row],[作者]],1)-1),"")</f>
        <v/>
      </c>
      <c r="J1669" s="68" t="str">
        <f>IFERROR(MID(作者统计[[#This Row],[作者]],FIND("(",作者统计[[#This Row],[作者]],1)+1,FIND(")",作者统计[[#This Row],[作者]],1)-FIND("(",作者统计[[#This Row],[作者]],1)-1),"")</f>
        <v/>
      </c>
    </row>
    <row r="1670" spans="2:10" ht="18" customHeight="1" x14ac:dyDescent="0.25">
      <c r="B1670" s="309"/>
      <c r="C1670" s="120"/>
      <c r="D1670" s="121"/>
      <c r="E1670" s="121"/>
      <c r="F1670" s="92"/>
      <c r="G1670" s="92"/>
      <c r="H1670" s="122"/>
      <c r="I1670" s="68" t="str">
        <f>IFERROR(MID(作者统计[[#This Row],[作者]],FIND("[",作者统计[[#This Row],[作者]],1)+1,FIND("]",作者统计[[#This Row],[作者]],1)-FIND("[",作者统计[[#This Row],[作者]],1)-1),"")</f>
        <v/>
      </c>
      <c r="J167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71" spans="2:10" ht="18" customHeight="1" x14ac:dyDescent="0.25">
      <c r="B1671" s="256"/>
      <c r="C1671" s="257"/>
      <c r="D1671" s="258"/>
      <c r="E1671" s="258"/>
      <c r="F1671" s="259"/>
      <c r="G1671" s="259"/>
      <c r="H1671" s="260"/>
      <c r="I1671" s="261" t="str">
        <f>IFERROR(MID(作者统计[[#This Row],[作者]],FIND("[",作者统计[[#This Row],[作者]],1)+1,FIND("]",作者统计[[#This Row],[作者]],1)-FIND("[",作者统计[[#This Row],[作者]],1)-1),"")</f>
        <v/>
      </c>
      <c r="J167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72" spans="2:10" ht="18" customHeight="1" x14ac:dyDescent="0.25">
      <c r="B1672" s="309"/>
      <c r="C1672" s="120"/>
      <c r="D1672" s="121"/>
      <c r="E1672" s="121"/>
      <c r="F1672" s="92"/>
      <c r="G1672" s="92"/>
      <c r="H1672" s="122"/>
      <c r="I1672" s="68" t="str">
        <f>IFERROR(MID(作者统计[[#This Row],[作者]],FIND("[",作者统计[[#This Row],[作者]],1)+1,FIND("]",作者统计[[#This Row],[作者]],1)-FIND("[",作者统计[[#This Row],[作者]],1)-1),"")</f>
        <v/>
      </c>
      <c r="J167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73" spans="2:10" ht="18" customHeight="1" x14ac:dyDescent="0.25">
      <c r="B1673" s="256"/>
      <c r="C1673" s="257"/>
      <c r="D1673" s="258"/>
      <c r="E1673" s="258"/>
      <c r="F1673" s="259"/>
      <c r="G1673" s="259"/>
      <c r="H1673" s="260"/>
      <c r="I1673" s="261" t="str">
        <f>IFERROR(MID(作者统计[[#This Row],[作者]],FIND("[",作者统计[[#This Row],[作者]],1)+1,FIND("]",作者统计[[#This Row],[作者]],1)-FIND("[",作者统计[[#This Row],[作者]],1)-1),"")</f>
        <v/>
      </c>
      <c r="J167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74" spans="2:10" ht="18" customHeight="1" x14ac:dyDescent="0.25">
      <c r="B1674" s="85"/>
      <c r="C1674" s="120"/>
      <c r="D1674" s="121"/>
      <c r="E1674" s="121"/>
      <c r="F1674" s="92"/>
      <c r="G1674" s="92"/>
      <c r="H1674" s="122"/>
      <c r="I1674" s="68" t="str">
        <f>IFERROR(MID(作者统计[[#This Row],[作者]],FIND("[",作者统计[[#This Row],[作者]],1)+1,FIND("]",作者统计[[#This Row],[作者]],1)-FIND("[",作者统计[[#This Row],[作者]],1)-1),"")</f>
        <v/>
      </c>
      <c r="J1674" s="68" t="str">
        <f>IFERROR(MID(作者统计[[#This Row],[作者]],FIND("(",作者统计[[#This Row],[作者]],1)+1,FIND(")",作者统计[[#This Row],[作者]],1)-FIND("(",作者统计[[#This Row],[作者]],1)-1),"")</f>
        <v/>
      </c>
    </row>
    <row r="1675" spans="2:10" ht="18" customHeight="1" x14ac:dyDescent="0.25">
      <c r="B1675" s="85"/>
      <c r="C1675" s="120"/>
      <c r="D1675" s="121"/>
      <c r="E1675" s="121"/>
      <c r="F1675" s="92"/>
      <c r="G1675" s="92"/>
      <c r="H1675" s="122"/>
      <c r="I1675" s="68" t="str">
        <f>IFERROR(MID(作者统计[[#This Row],[作者]],FIND("[",作者统计[[#This Row],[作者]],1)+1,FIND("]",作者统计[[#This Row],[作者]],1)-FIND("[",作者统计[[#This Row],[作者]],1)-1),"")</f>
        <v/>
      </c>
      <c r="J1675" s="68" t="str">
        <f>IFERROR(MID(作者统计[[#This Row],[作者]],FIND("(",作者统计[[#This Row],[作者]],1)+1,FIND(")",作者统计[[#This Row],[作者]],1)-FIND("(",作者统计[[#This Row],[作者]],1)-1),"")</f>
        <v/>
      </c>
    </row>
    <row r="1676" spans="2:10" ht="18" customHeight="1" x14ac:dyDescent="0.25">
      <c r="B1676" s="256"/>
      <c r="C1676" s="257"/>
      <c r="D1676" s="258"/>
      <c r="E1676" s="258"/>
      <c r="F1676" s="259"/>
      <c r="G1676" s="259"/>
      <c r="H1676" s="260"/>
      <c r="I1676" s="261" t="str">
        <f>IFERROR(MID(作者统计[[#This Row],[作者]],FIND("[",作者统计[[#This Row],[作者]],1)+1,FIND("]",作者统计[[#This Row],[作者]],1)-FIND("[",作者统计[[#This Row],[作者]],1)-1),"")</f>
        <v/>
      </c>
      <c r="J167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77" spans="2:10" ht="18" customHeight="1" x14ac:dyDescent="0.25">
      <c r="B1677" s="85"/>
      <c r="C1677" s="120"/>
      <c r="D1677" s="121"/>
      <c r="E1677" s="121"/>
      <c r="F1677" s="92"/>
      <c r="G1677" s="92"/>
      <c r="H1677" s="122"/>
      <c r="I1677" s="68" t="str">
        <f>IFERROR(MID(作者统计[[#This Row],[作者]],FIND("[",作者统计[[#This Row],[作者]],1)+1,FIND("]",作者统计[[#This Row],[作者]],1)-FIND("[",作者统计[[#This Row],[作者]],1)-1),"")</f>
        <v/>
      </c>
      <c r="J1677" s="68" t="str">
        <f>IFERROR(MID(作者统计[[#This Row],[作者]],FIND("(",作者统计[[#This Row],[作者]],1)+1,FIND(")",作者统计[[#This Row],[作者]],1)-FIND("(",作者统计[[#This Row],[作者]],1)-1),"")</f>
        <v/>
      </c>
    </row>
    <row r="1678" spans="2:10" ht="18" customHeight="1" x14ac:dyDescent="0.25">
      <c r="B1678" s="85"/>
      <c r="C1678" s="120"/>
      <c r="D1678" s="121"/>
      <c r="E1678" s="121"/>
      <c r="F1678" s="92"/>
      <c r="G1678" s="92"/>
      <c r="H1678" s="122"/>
      <c r="I1678" s="68" t="str">
        <f>IFERROR(MID(作者统计[[#This Row],[作者]],FIND("[",作者统计[[#This Row],[作者]],1)+1,FIND("]",作者统计[[#This Row],[作者]],1)-FIND("[",作者统计[[#This Row],[作者]],1)-1),"")</f>
        <v/>
      </c>
      <c r="J1678" s="68" t="str">
        <f>IFERROR(MID(作者统计[[#This Row],[作者]],FIND("(",作者统计[[#This Row],[作者]],1)+1,FIND(")",作者统计[[#This Row],[作者]],1)-FIND("(",作者统计[[#This Row],[作者]],1)-1),"")</f>
        <v/>
      </c>
    </row>
    <row r="1679" spans="2:10" ht="18" customHeight="1" x14ac:dyDescent="0.25">
      <c r="B1679" s="85"/>
      <c r="C1679" s="120"/>
      <c r="D1679" s="121"/>
      <c r="E1679" s="121"/>
      <c r="F1679" s="92"/>
      <c r="G1679" s="92"/>
      <c r="H1679" s="122"/>
      <c r="I1679" s="68" t="str">
        <f>IFERROR(MID(作者统计[[#This Row],[作者]],FIND("[",作者统计[[#This Row],[作者]],1)+1,FIND("]",作者统计[[#This Row],[作者]],1)-FIND("[",作者统计[[#This Row],[作者]],1)-1),"")</f>
        <v/>
      </c>
      <c r="J1679" s="68" t="str">
        <f>IFERROR(MID(作者统计[[#This Row],[作者]],FIND("(",作者统计[[#This Row],[作者]],1)+1,FIND(")",作者统计[[#This Row],[作者]],1)-FIND("(",作者统计[[#This Row],[作者]],1)-1),"")</f>
        <v/>
      </c>
    </row>
    <row r="1680" spans="2:10" ht="18" customHeight="1" x14ac:dyDescent="0.25">
      <c r="B1680" s="85"/>
      <c r="C1680" s="120"/>
      <c r="D1680" s="121"/>
      <c r="E1680" s="121"/>
      <c r="F1680" s="92"/>
      <c r="G1680" s="92"/>
      <c r="H1680" s="122"/>
      <c r="I1680" s="68" t="str">
        <f>IFERROR(MID(作者统计[[#This Row],[作者]],FIND("[",作者统计[[#This Row],[作者]],1)+1,FIND("]",作者统计[[#This Row],[作者]],1)-FIND("[",作者统计[[#This Row],[作者]],1)-1),"")</f>
        <v/>
      </c>
      <c r="J168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81" spans="2:10" ht="18" customHeight="1" x14ac:dyDescent="0.25">
      <c r="B1681" s="85"/>
      <c r="C1681" s="120"/>
      <c r="D1681" s="121"/>
      <c r="E1681" s="121"/>
      <c r="F1681" s="92"/>
      <c r="G1681" s="92"/>
      <c r="H1681" s="122"/>
      <c r="I1681" s="68" t="str">
        <f>IFERROR(MID(作者统计[[#This Row],[作者]],FIND("[",作者统计[[#This Row],[作者]],1)+1,FIND("]",作者统计[[#This Row],[作者]],1)-FIND("[",作者统计[[#This Row],[作者]],1)-1),"")</f>
        <v/>
      </c>
      <c r="J1681" s="68" t="str">
        <f>IFERROR(MID(作者统计[[#This Row],[作者]],FIND("(",作者统计[[#This Row],[作者]],1)+1,FIND(")",作者统计[[#This Row],[作者]],1)-FIND("(",作者统计[[#This Row],[作者]],1)-1),"")</f>
        <v/>
      </c>
    </row>
    <row r="1682" spans="2:10" ht="18" customHeight="1" x14ac:dyDescent="0.25">
      <c r="B1682" s="85"/>
      <c r="C1682" s="120"/>
      <c r="D1682" s="121"/>
      <c r="E1682" s="121"/>
      <c r="F1682" s="92"/>
      <c r="G1682" s="92"/>
      <c r="H1682" s="122"/>
      <c r="I1682" s="68" t="str">
        <f>IFERROR(MID(作者统计[[#This Row],[作者]],FIND("[",作者统计[[#This Row],[作者]],1)+1,FIND("]",作者统计[[#This Row],[作者]],1)-FIND("[",作者统计[[#This Row],[作者]],1)-1),"")</f>
        <v/>
      </c>
      <c r="J168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83" spans="2:10" ht="18" customHeight="1" x14ac:dyDescent="0.25">
      <c r="B1683" s="85"/>
      <c r="C1683" s="120"/>
      <c r="D1683" s="121"/>
      <c r="E1683" s="121"/>
      <c r="F1683" s="92"/>
      <c r="G1683" s="92"/>
      <c r="H1683" s="122"/>
      <c r="I1683" s="68" t="str">
        <f>IFERROR(MID(作者统计[[#This Row],[作者]],FIND("[",作者统计[[#This Row],[作者]],1)+1,FIND("]",作者统计[[#This Row],[作者]],1)-FIND("[",作者统计[[#This Row],[作者]],1)-1),"")</f>
        <v/>
      </c>
      <c r="J1683" s="68" t="str">
        <f>IFERROR(MID(作者统计[[#This Row],[作者]],FIND("(",作者统计[[#This Row],[作者]],1)+1,FIND(")",作者统计[[#This Row],[作者]],1)-FIND("(",作者统计[[#This Row],[作者]],1)-1),"")</f>
        <v/>
      </c>
    </row>
    <row r="1684" spans="2:10" ht="18" customHeight="1" x14ac:dyDescent="0.25">
      <c r="B1684" s="85"/>
      <c r="C1684" s="120"/>
      <c r="D1684" s="121"/>
      <c r="E1684" s="121"/>
      <c r="F1684" s="92"/>
      <c r="G1684" s="92"/>
      <c r="H1684" s="122"/>
      <c r="I1684" s="68" t="str">
        <f>IFERROR(MID(作者统计[[#This Row],[作者]],FIND("[",作者统计[[#This Row],[作者]],1)+1,FIND("]",作者统计[[#This Row],[作者]],1)-FIND("[",作者统计[[#This Row],[作者]],1)-1),"")</f>
        <v/>
      </c>
      <c r="J1684" s="68" t="str">
        <f>IFERROR(MID(作者统计[[#This Row],[作者]],FIND("(",作者统计[[#This Row],[作者]],1)+1,FIND(")",作者统计[[#This Row],[作者]],1)-FIND("(",作者统计[[#This Row],[作者]],1)-1),"")</f>
        <v/>
      </c>
    </row>
    <row r="1685" spans="2:10" ht="18" customHeight="1" x14ac:dyDescent="0.25">
      <c r="B1685" s="85"/>
      <c r="C1685" s="120"/>
      <c r="D1685" s="121"/>
      <c r="E1685" s="121"/>
      <c r="F1685" s="92"/>
      <c r="G1685" s="92"/>
      <c r="H1685" s="122"/>
      <c r="I1685" s="68" t="str">
        <f>IFERROR(MID(作者统计[[#This Row],[作者]],FIND("[",作者统计[[#This Row],[作者]],1)+1,FIND("]",作者统计[[#This Row],[作者]],1)-FIND("[",作者统计[[#This Row],[作者]],1)-1),"")</f>
        <v/>
      </c>
      <c r="J1685" s="68" t="str">
        <f>IFERROR(MID(作者统计[[#This Row],[作者]],FIND("(",作者统计[[#This Row],[作者]],1)+1,FIND(")",作者统计[[#This Row],[作者]],1)-FIND("(",作者统计[[#This Row],[作者]],1)-1),"")</f>
        <v/>
      </c>
    </row>
    <row r="1686" spans="2:10" ht="18" customHeight="1" x14ac:dyDescent="0.25">
      <c r="B1686" s="256"/>
      <c r="C1686" s="257"/>
      <c r="D1686" s="258"/>
      <c r="E1686" s="258"/>
      <c r="F1686" s="259"/>
      <c r="G1686" s="259"/>
      <c r="H1686" s="260"/>
      <c r="I1686" s="261" t="str">
        <f>IFERROR(MID(作者统计[[#This Row],[作者]],FIND("[",作者统计[[#This Row],[作者]],1)+1,FIND("]",作者统计[[#This Row],[作者]],1)-FIND("[",作者统计[[#This Row],[作者]],1)-1),"")</f>
        <v/>
      </c>
      <c r="J168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87" spans="2:10" ht="18" customHeight="1" x14ac:dyDescent="0.25">
      <c r="B1687" s="256"/>
      <c r="C1687" s="257"/>
      <c r="D1687" s="258"/>
      <c r="E1687" s="258"/>
      <c r="F1687" s="259"/>
      <c r="G1687" s="259"/>
      <c r="H1687" s="260"/>
      <c r="I1687" s="261" t="str">
        <f>IFERROR(MID(作者统计[[#This Row],[作者]],FIND("[",作者统计[[#This Row],[作者]],1)+1,FIND("]",作者统计[[#This Row],[作者]],1)-FIND("[",作者统计[[#This Row],[作者]],1)-1),"")</f>
        <v/>
      </c>
      <c r="J168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88" spans="2:10" ht="18" customHeight="1" x14ac:dyDescent="0.25">
      <c r="B1688" s="85"/>
      <c r="C1688" s="120"/>
      <c r="D1688" s="121"/>
      <c r="E1688" s="121"/>
      <c r="F1688" s="92"/>
      <c r="G1688" s="92"/>
      <c r="H1688" s="122"/>
      <c r="I1688" s="68" t="str">
        <f>IFERROR(MID(作者统计[[#This Row],[作者]],FIND("[",作者统计[[#This Row],[作者]],1)+1,FIND("]",作者统计[[#This Row],[作者]],1)-FIND("[",作者统计[[#This Row],[作者]],1)-1),"")</f>
        <v/>
      </c>
      <c r="J1688" s="68" t="str">
        <f>IFERROR(MID(作者统计[[#This Row],[作者]],FIND("(",作者统计[[#This Row],[作者]],1)+1,FIND(")",作者统计[[#This Row],[作者]],1)-FIND("(",作者统计[[#This Row],[作者]],1)-1),"")</f>
        <v/>
      </c>
    </row>
    <row r="1689" spans="2:10" ht="18" customHeight="1" x14ac:dyDescent="0.25">
      <c r="B1689" s="309"/>
      <c r="C1689" s="120"/>
      <c r="D1689" s="121"/>
      <c r="E1689" s="121"/>
      <c r="F1689" s="92"/>
      <c r="G1689" s="92"/>
      <c r="H1689" s="122"/>
      <c r="I1689" s="68" t="str">
        <f>IFERROR(MID(作者统计[[#This Row],[作者]],FIND("[",作者统计[[#This Row],[作者]],1)+1,FIND("]",作者统计[[#This Row],[作者]],1)-FIND("[",作者统计[[#This Row],[作者]],1)-1),"")</f>
        <v/>
      </c>
      <c r="J1689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0" spans="2:10" ht="18" customHeight="1" x14ac:dyDescent="0.25">
      <c r="B1690" s="85"/>
      <c r="C1690" s="120"/>
      <c r="D1690" s="121"/>
      <c r="E1690" s="121"/>
      <c r="F1690" s="92"/>
      <c r="G1690" s="92"/>
      <c r="H1690" s="122"/>
      <c r="I1690" s="68" t="str">
        <f>IFERROR(MID(作者统计[[#This Row],[作者]],FIND("[",作者统计[[#This Row],[作者]],1)+1,FIND("]",作者统计[[#This Row],[作者]],1)-FIND("[",作者统计[[#This Row],[作者]],1)-1),"")</f>
        <v/>
      </c>
      <c r="J1690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1" spans="2:10" ht="18" customHeight="1" x14ac:dyDescent="0.25">
      <c r="B1691" s="85"/>
      <c r="C1691" s="120"/>
      <c r="D1691" s="121"/>
      <c r="E1691" s="121"/>
      <c r="F1691" s="92"/>
      <c r="G1691" s="92"/>
      <c r="H1691" s="122"/>
      <c r="I1691" s="68" t="str">
        <f>IFERROR(MID(作者统计[[#This Row],[作者]],FIND("[",作者统计[[#This Row],[作者]],1)+1,FIND("]",作者统计[[#This Row],[作者]],1)-FIND("[",作者统计[[#This Row],[作者]],1)-1),"")</f>
        <v/>
      </c>
      <c r="J1691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2" spans="2:10" ht="18" customHeight="1" x14ac:dyDescent="0.25">
      <c r="B1692" s="85"/>
      <c r="C1692" s="120"/>
      <c r="D1692" s="121"/>
      <c r="E1692" s="121"/>
      <c r="F1692" s="92"/>
      <c r="G1692" s="92"/>
      <c r="H1692" s="122"/>
      <c r="I1692" s="68" t="str">
        <f>IFERROR(MID(作者统计[[#This Row],[作者]],FIND("[",作者统计[[#This Row],[作者]],1)+1,FIND("]",作者统计[[#This Row],[作者]],1)-FIND("[",作者统计[[#This Row],[作者]],1)-1),"")</f>
        <v/>
      </c>
      <c r="J1692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3" spans="2:10" ht="18" customHeight="1" x14ac:dyDescent="0.25">
      <c r="B1693" s="85"/>
      <c r="C1693" s="120"/>
      <c r="D1693" s="121"/>
      <c r="E1693" s="121"/>
      <c r="F1693" s="92"/>
      <c r="G1693" s="92"/>
      <c r="H1693" s="122"/>
      <c r="I1693" s="68" t="str">
        <f>IFERROR(MID(作者统计[[#This Row],[作者]],FIND("[",作者统计[[#This Row],[作者]],1)+1,FIND("]",作者统计[[#This Row],[作者]],1)-FIND("[",作者统计[[#This Row],[作者]],1)-1),"")</f>
        <v/>
      </c>
      <c r="J1693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4" spans="2:10" ht="18" customHeight="1" x14ac:dyDescent="0.25">
      <c r="B1694" s="309"/>
      <c r="C1694" s="120"/>
      <c r="D1694" s="121"/>
      <c r="E1694" s="121"/>
      <c r="F1694" s="92"/>
      <c r="G1694" s="92"/>
      <c r="H1694" s="122"/>
      <c r="I1694" s="68" t="str">
        <f>IFERROR(MID(作者统计[[#This Row],[作者]],FIND("[",作者统计[[#This Row],[作者]],1)+1,FIND("]",作者统计[[#This Row],[作者]],1)-FIND("[",作者统计[[#This Row],[作者]],1)-1),"")</f>
        <v/>
      </c>
      <c r="J1694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5" spans="2:10" ht="18" customHeight="1" x14ac:dyDescent="0.25">
      <c r="B1695" s="85"/>
      <c r="C1695" s="120"/>
      <c r="D1695" s="121"/>
      <c r="E1695" s="121"/>
      <c r="F1695" s="92"/>
      <c r="G1695" s="92"/>
      <c r="H1695" s="122"/>
      <c r="I1695" s="68" t="str">
        <f>IFERROR(MID(作者统计[[#This Row],[作者]],FIND("[",作者统计[[#This Row],[作者]],1)+1,FIND("]",作者统计[[#This Row],[作者]],1)-FIND("[",作者统计[[#This Row],[作者]],1)-1),"")</f>
        <v/>
      </c>
      <c r="J1695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6" spans="2:10" ht="18" customHeight="1" x14ac:dyDescent="0.25">
      <c r="B1696" s="85"/>
      <c r="C1696" s="120"/>
      <c r="D1696" s="121"/>
      <c r="E1696" s="121"/>
      <c r="F1696" s="92"/>
      <c r="G1696" s="92"/>
      <c r="H1696" s="122"/>
      <c r="I1696" s="68" t="str">
        <f>IFERROR(MID(作者统计[[#This Row],[作者]],FIND("[",作者统计[[#This Row],[作者]],1)+1,FIND("]",作者统计[[#This Row],[作者]],1)-FIND("[",作者统计[[#This Row],[作者]],1)-1),"")</f>
        <v/>
      </c>
      <c r="J1696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7" spans="2:10" ht="18" customHeight="1" x14ac:dyDescent="0.25">
      <c r="B1697" s="85"/>
      <c r="C1697" s="120"/>
      <c r="D1697" s="121"/>
      <c r="E1697" s="121"/>
      <c r="F1697" s="92"/>
      <c r="G1697" s="92"/>
      <c r="H1697" s="122"/>
      <c r="I1697" s="68" t="str">
        <f>IFERROR(MID(作者统计[[#This Row],[作者]],FIND("[",作者统计[[#This Row],[作者]],1)+1,FIND("]",作者统计[[#This Row],[作者]],1)-FIND("[",作者统计[[#This Row],[作者]],1)-1),"")</f>
        <v/>
      </c>
      <c r="J1697" s="68" t="str">
        <f>IFERROR(MID(作者统计[[#This Row],[作者]],FIND("(",作者统计[[#This Row],[作者]],1)+1,FIND(")",作者统计[[#This Row],[作者]],1)-FIND("(",作者统计[[#This Row],[作者]],1)-1),"")</f>
        <v/>
      </c>
    </row>
    <row r="1698" spans="2:10" ht="18" customHeight="1" x14ac:dyDescent="0.25">
      <c r="B1698" s="256"/>
      <c r="C1698" s="257"/>
      <c r="D1698" s="258"/>
      <c r="E1698" s="258"/>
      <c r="F1698" s="259"/>
      <c r="G1698" s="259"/>
      <c r="H1698" s="260"/>
      <c r="I1698" s="261" t="str">
        <f>IFERROR(MID(作者统计[[#This Row],[作者]],FIND("[",作者统计[[#This Row],[作者]],1)+1,FIND("]",作者统计[[#This Row],[作者]],1)-FIND("[",作者统计[[#This Row],[作者]],1)-1),"")</f>
        <v/>
      </c>
      <c r="J169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699" spans="2:10" ht="18" customHeight="1" x14ac:dyDescent="0.25">
      <c r="B1699" s="309"/>
      <c r="C1699" s="120"/>
      <c r="D1699" s="121"/>
      <c r="E1699" s="121"/>
      <c r="F1699" s="92"/>
      <c r="G1699" s="92"/>
      <c r="H1699" s="122"/>
      <c r="I1699" s="68" t="str">
        <f>IFERROR(MID(作者统计[[#This Row],[作者]],FIND("[",作者统计[[#This Row],[作者]],1)+1,FIND("]",作者统计[[#This Row],[作者]],1)-FIND("[",作者统计[[#This Row],[作者]],1)-1),"")</f>
        <v/>
      </c>
      <c r="J169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0" spans="2:10" ht="18" customHeight="1" x14ac:dyDescent="0.25">
      <c r="B1700" s="85"/>
      <c r="C1700" s="120"/>
      <c r="D1700" s="121"/>
      <c r="E1700" s="121"/>
      <c r="F1700" s="92"/>
      <c r="G1700" s="92"/>
      <c r="H1700" s="122"/>
      <c r="I1700" s="68" t="str">
        <f>IFERROR(MID(作者统计[[#This Row],[作者]],FIND("[",作者统计[[#This Row],[作者]],1)+1,FIND("]",作者统计[[#This Row],[作者]],1)-FIND("[",作者统计[[#This Row],[作者]],1)-1),"")</f>
        <v/>
      </c>
      <c r="J1700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1" spans="2:10" ht="18" customHeight="1" x14ac:dyDescent="0.25">
      <c r="B1701" s="85"/>
      <c r="C1701" s="120"/>
      <c r="D1701" s="121"/>
      <c r="E1701" s="121"/>
      <c r="F1701" s="92"/>
      <c r="G1701" s="92"/>
      <c r="H1701" s="122"/>
      <c r="I1701" s="68" t="str">
        <f>IFERROR(MID(作者统计[[#This Row],[作者]],FIND("[",作者统计[[#This Row],[作者]],1)+1,FIND("]",作者统计[[#This Row],[作者]],1)-FIND("[",作者统计[[#This Row],[作者]],1)-1),"")</f>
        <v/>
      </c>
      <c r="J1701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2" spans="2:10" ht="18" customHeight="1" x14ac:dyDescent="0.25">
      <c r="B1702" s="85"/>
      <c r="C1702" s="120"/>
      <c r="D1702" s="121"/>
      <c r="E1702" s="121"/>
      <c r="F1702" s="92"/>
      <c r="G1702" s="92"/>
      <c r="H1702" s="122"/>
      <c r="I1702" s="68" t="str">
        <f>IFERROR(MID(作者统计[[#This Row],[作者]],FIND("[",作者统计[[#This Row],[作者]],1)+1,FIND("]",作者统计[[#This Row],[作者]],1)-FIND("[",作者统计[[#This Row],[作者]],1)-1),"")</f>
        <v/>
      </c>
      <c r="J1702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3" spans="2:10" ht="18" customHeight="1" x14ac:dyDescent="0.25">
      <c r="B1703" s="85"/>
      <c r="C1703" s="120"/>
      <c r="D1703" s="121"/>
      <c r="E1703" s="121"/>
      <c r="F1703" s="92"/>
      <c r="G1703" s="92"/>
      <c r="H1703" s="122"/>
      <c r="I1703" s="68" t="str">
        <f>IFERROR(MID(作者统计[[#This Row],[作者]],FIND("[",作者统计[[#This Row],[作者]],1)+1,FIND("]",作者统计[[#This Row],[作者]],1)-FIND("[",作者统计[[#This Row],[作者]],1)-1),"")</f>
        <v/>
      </c>
      <c r="J170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4" spans="2:10" ht="18" customHeight="1" x14ac:dyDescent="0.25">
      <c r="B1704" s="85"/>
      <c r="C1704" s="120"/>
      <c r="D1704" s="121"/>
      <c r="E1704" s="121"/>
      <c r="F1704" s="92"/>
      <c r="G1704" s="92"/>
      <c r="H1704" s="122"/>
      <c r="I1704" s="68" t="str">
        <f>IFERROR(MID(作者统计[[#This Row],[作者]],FIND("[",作者统计[[#This Row],[作者]],1)+1,FIND("]",作者统计[[#This Row],[作者]],1)-FIND("[",作者统计[[#This Row],[作者]],1)-1),"")</f>
        <v/>
      </c>
      <c r="J170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5" spans="2:10" ht="18" customHeight="1" x14ac:dyDescent="0.25">
      <c r="B1705" s="85"/>
      <c r="C1705" s="120"/>
      <c r="D1705" s="121"/>
      <c r="E1705" s="121"/>
      <c r="F1705" s="92"/>
      <c r="G1705" s="92"/>
      <c r="H1705" s="122"/>
      <c r="I1705" s="68" t="str">
        <f>IFERROR(MID(作者统计[[#This Row],[作者]],FIND("[",作者统计[[#This Row],[作者]],1)+1,FIND("]",作者统计[[#This Row],[作者]],1)-FIND("[",作者统计[[#This Row],[作者]],1)-1),"")</f>
        <v/>
      </c>
      <c r="J170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6" spans="2:10" ht="18" customHeight="1" x14ac:dyDescent="0.25">
      <c r="B1706" s="85"/>
      <c r="C1706" s="120"/>
      <c r="D1706" s="121"/>
      <c r="E1706" s="121"/>
      <c r="F1706" s="92"/>
      <c r="G1706" s="92"/>
      <c r="H1706" s="122"/>
      <c r="I1706" s="68" t="str">
        <f>IFERROR(MID(作者统计[[#This Row],[作者]],FIND("[",作者统计[[#This Row],[作者]],1)+1,FIND("]",作者统计[[#This Row],[作者]],1)-FIND("[",作者统计[[#This Row],[作者]],1)-1),"")</f>
        <v/>
      </c>
      <c r="J1706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7" spans="2:10" ht="18" customHeight="1" x14ac:dyDescent="0.25">
      <c r="B1707" s="85"/>
      <c r="C1707" s="120"/>
      <c r="D1707" s="121"/>
      <c r="E1707" s="121"/>
      <c r="F1707" s="92"/>
      <c r="G1707" s="92"/>
      <c r="H1707" s="122"/>
      <c r="I1707" s="68" t="str">
        <f>IFERROR(MID(作者统计[[#This Row],[作者]],FIND("[",作者统计[[#This Row],[作者]],1)+1,FIND("]",作者统计[[#This Row],[作者]],1)-FIND("[",作者统计[[#This Row],[作者]],1)-1),"")</f>
        <v/>
      </c>
      <c r="J170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08" spans="2:10" ht="18" customHeight="1" x14ac:dyDescent="0.25">
      <c r="B1708" s="256"/>
      <c r="C1708" s="257"/>
      <c r="D1708" s="258"/>
      <c r="E1708" s="258"/>
      <c r="F1708" s="259"/>
      <c r="G1708" s="259"/>
      <c r="H1708" s="260"/>
      <c r="I1708" s="261" t="str">
        <f>IFERROR(MID(作者统计[[#This Row],[作者]],FIND("[",作者统计[[#This Row],[作者]],1)+1,FIND("]",作者统计[[#This Row],[作者]],1)-FIND("[",作者统计[[#This Row],[作者]],1)-1),"")</f>
        <v/>
      </c>
      <c r="J170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09" spans="2:10" ht="18" customHeight="1" x14ac:dyDescent="0.25">
      <c r="B1709" s="85"/>
      <c r="C1709" s="120"/>
      <c r="D1709" s="121"/>
      <c r="E1709" s="121"/>
      <c r="F1709" s="92"/>
      <c r="G1709" s="92"/>
      <c r="H1709" s="123"/>
      <c r="I1709" s="68" t="str">
        <f>IFERROR(MID(作者统计[[#This Row],[作者]],FIND("[",作者统计[[#This Row],[作者]],1)+1,FIND("]",作者统计[[#This Row],[作者]],1)-FIND("[",作者统计[[#This Row],[作者]],1)-1),"")</f>
        <v/>
      </c>
      <c r="J170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0" spans="2:10" ht="18" customHeight="1" x14ac:dyDescent="0.25">
      <c r="B1710" s="85"/>
      <c r="C1710" s="120"/>
      <c r="D1710" s="121"/>
      <c r="E1710" s="121"/>
      <c r="F1710" s="92"/>
      <c r="G1710" s="92"/>
      <c r="H1710" s="122"/>
      <c r="I1710" s="68" t="str">
        <f>IFERROR(MID(作者统计[[#This Row],[作者]],FIND("[",作者统计[[#This Row],[作者]],1)+1,FIND("]",作者统计[[#This Row],[作者]],1)-FIND("[",作者统计[[#This Row],[作者]],1)-1),"")</f>
        <v/>
      </c>
      <c r="J1710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1" spans="2:10" ht="18" customHeight="1" x14ac:dyDescent="0.25">
      <c r="B1711" s="256"/>
      <c r="C1711" s="257"/>
      <c r="D1711" s="258"/>
      <c r="E1711" s="258"/>
      <c r="F1711" s="259"/>
      <c r="G1711" s="259"/>
      <c r="H1711" s="260"/>
      <c r="I1711" s="261" t="str">
        <f>IFERROR(MID(作者统计[[#This Row],[作者]],FIND("[",作者统计[[#This Row],[作者]],1)+1,FIND("]",作者统计[[#This Row],[作者]],1)-FIND("[",作者统计[[#This Row],[作者]],1)-1),"")</f>
        <v/>
      </c>
      <c r="J171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12" spans="2:10" ht="18" customHeight="1" x14ac:dyDescent="0.25">
      <c r="B1712" s="85"/>
      <c r="C1712" s="120"/>
      <c r="D1712" s="121"/>
      <c r="E1712" s="121"/>
      <c r="F1712" s="92"/>
      <c r="G1712" s="92"/>
      <c r="H1712" s="122"/>
      <c r="I1712" s="68" t="str">
        <f>IFERROR(MID(作者统计[[#This Row],[作者]],FIND("[",作者统计[[#This Row],[作者]],1)+1,FIND("]",作者统计[[#This Row],[作者]],1)-FIND("[",作者统计[[#This Row],[作者]],1)-1),"")</f>
        <v/>
      </c>
      <c r="J1712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3" spans="2:10" ht="18" customHeight="1" x14ac:dyDescent="0.25">
      <c r="B1713" s="309"/>
      <c r="C1713" s="120"/>
      <c r="D1713" s="121"/>
      <c r="E1713" s="121"/>
      <c r="F1713" s="92"/>
      <c r="G1713" s="92"/>
      <c r="H1713" s="122"/>
      <c r="I1713" s="68" t="str">
        <f>IFERROR(MID(作者统计[[#This Row],[作者]],FIND("[",作者统计[[#This Row],[作者]],1)+1,FIND("]",作者统计[[#This Row],[作者]],1)-FIND("[",作者统计[[#This Row],[作者]],1)-1),"")</f>
        <v/>
      </c>
      <c r="J171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4" spans="2:10" ht="18" customHeight="1" x14ac:dyDescent="0.25">
      <c r="B1714" s="85"/>
      <c r="C1714" s="120"/>
      <c r="D1714" s="121"/>
      <c r="E1714" s="121"/>
      <c r="F1714" s="92"/>
      <c r="G1714" s="92"/>
      <c r="H1714" s="122"/>
      <c r="I1714" s="68" t="str">
        <f>IFERROR(MID(作者统计[[#This Row],[作者]],FIND("[",作者统计[[#This Row],[作者]],1)+1,FIND("]",作者统计[[#This Row],[作者]],1)-FIND("[",作者统计[[#This Row],[作者]],1)-1),"")</f>
        <v/>
      </c>
      <c r="J171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5" spans="2:10" ht="18" customHeight="1" x14ac:dyDescent="0.25">
      <c r="B1715" s="309"/>
      <c r="C1715" s="120"/>
      <c r="D1715" s="121"/>
      <c r="E1715" s="121"/>
      <c r="F1715" s="92"/>
      <c r="G1715" s="92"/>
      <c r="H1715" s="122"/>
      <c r="I1715" s="68" t="str">
        <f>IFERROR(MID(作者统计[[#This Row],[作者]],FIND("[",作者统计[[#This Row],[作者]],1)+1,FIND("]",作者统计[[#This Row],[作者]],1)-FIND("[",作者统计[[#This Row],[作者]],1)-1),"")</f>
        <v/>
      </c>
      <c r="J171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6" spans="2:10" ht="18" customHeight="1" x14ac:dyDescent="0.25">
      <c r="B1716" s="85"/>
      <c r="C1716" s="120"/>
      <c r="D1716" s="121"/>
      <c r="E1716" s="121"/>
      <c r="F1716" s="92"/>
      <c r="G1716" s="92"/>
      <c r="H1716" s="122"/>
      <c r="I1716" s="68" t="str">
        <f>IFERROR(MID(作者统计[[#This Row],[作者]],FIND("[",作者统计[[#This Row],[作者]],1)+1,FIND("]",作者统计[[#This Row],[作者]],1)-FIND("[",作者统计[[#This Row],[作者]],1)-1),"")</f>
        <v/>
      </c>
      <c r="J1716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7" spans="2:10" ht="18" customHeight="1" x14ac:dyDescent="0.25">
      <c r="B1717" s="309"/>
      <c r="C1717" s="120"/>
      <c r="D1717" s="121"/>
      <c r="E1717" s="121"/>
      <c r="F1717" s="92"/>
      <c r="G1717" s="92"/>
      <c r="H1717" s="122"/>
      <c r="I1717" s="68" t="str">
        <f>IFERROR(MID(作者统计[[#This Row],[作者]],FIND("[",作者统计[[#This Row],[作者]],1)+1,FIND("]",作者统计[[#This Row],[作者]],1)-FIND("[",作者统计[[#This Row],[作者]],1)-1),"")</f>
        <v/>
      </c>
      <c r="J171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8" spans="2:10" ht="18" customHeight="1" x14ac:dyDescent="0.25">
      <c r="B1718" s="85"/>
      <c r="C1718" s="120"/>
      <c r="D1718" s="121"/>
      <c r="E1718" s="121"/>
      <c r="F1718" s="92"/>
      <c r="G1718" s="92"/>
      <c r="H1718" s="122"/>
      <c r="I1718" s="68" t="str">
        <f>IFERROR(MID(作者统计[[#This Row],[作者]],FIND("[",作者统计[[#This Row],[作者]],1)+1,FIND("]",作者统计[[#This Row],[作者]],1)-FIND("[",作者统计[[#This Row],[作者]],1)-1),"")</f>
        <v/>
      </c>
      <c r="J171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19" spans="2:10" ht="18" customHeight="1" x14ac:dyDescent="0.25">
      <c r="B1719" s="85"/>
      <c r="C1719" s="120"/>
      <c r="D1719" s="121"/>
      <c r="E1719" s="121"/>
      <c r="F1719" s="92"/>
      <c r="G1719" s="92"/>
      <c r="H1719" s="122"/>
      <c r="I1719" s="68" t="str">
        <f>IFERROR(MID(作者统计[[#This Row],[作者]],FIND("[",作者统计[[#This Row],[作者]],1)+1,FIND("]",作者统计[[#This Row],[作者]],1)-FIND("[",作者统计[[#This Row],[作者]],1)-1),"")</f>
        <v/>
      </c>
      <c r="J171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20" spans="2:10" ht="18" customHeight="1" x14ac:dyDescent="0.25">
      <c r="B1720" s="256"/>
      <c r="C1720" s="257"/>
      <c r="D1720" s="258"/>
      <c r="E1720" s="258"/>
      <c r="F1720" s="259"/>
      <c r="G1720" s="259"/>
      <c r="H1720" s="260"/>
      <c r="I1720" s="261" t="str">
        <f>IFERROR(MID(作者统计[[#This Row],[作者]],FIND("[",作者统计[[#This Row],[作者]],1)+1,FIND("]",作者统计[[#This Row],[作者]],1)-FIND("[",作者统计[[#This Row],[作者]],1)-1),"")</f>
        <v/>
      </c>
      <c r="J172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21" spans="2:10" ht="18" customHeight="1" x14ac:dyDescent="0.25">
      <c r="B1721" s="262"/>
      <c r="C1721" s="263"/>
      <c r="D1721" s="264"/>
      <c r="E1721" s="264"/>
      <c r="F1721" s="265"/>
      <c r="G1721" s="265"/>
      <c r="H1721" s="266"/>
      <c r="I1721" s="267" t="str">
        <f>IFERROR(MID(作者统计[[#This Row],[作者]],FIND("[",作者统计[[#This Row],[作者]],1)+1,FIND("]",作者统计[[#This Row],[作者]],1)-FIND("[",作者统计[[#This Row],[作者]],1)-1),"")</f>
        <v/>
      </c>
      <c r="J1721" s="267" t="str">
        <f>IFERROR(MID(作者统计[[#This Row],[作者]],FIND("(",作者统计[[#This Row],[作者]],1)+1,FIND(")",作者统计[[#This Row],[作者]],1)-FIND("(",作者统计[[#This Row],[作者]],1)-1),"")</f>
        <v/>
      </c>
    </row>
    <row r="1722" spans="2:10" ht="18" customHeight="1" x14ac:dyDescent="0.25">
      <c r="B1722" s="309"/>
      <c r="C1722" s="120"/>
      <c r="D1722" s="121"/>
      <c r="E1722" s="121"/>
      <c r="F1722" s="92"/>
      <c r="G1722" s="92"/>
      <c r="H1722" s="122"/>
      <c r="I1722" s="68" t="str">
        <f>IFERROR(MID(作者统计[[#This Row],[作者]],FIND("[",作者统计[[#This Row],[作者]],1)+1,FIND("]",作者统计[[#This Row],[作者]],1)-FIND("[",作者统计[[#This Row],[作者]],1)-1),"")</f>
        <v/>
      </c>
      <c r="J1722" s="68" t="str">
        <f>IFERROR(MID(作者统计[[#This Row],[作者]],FIND("(",作者统计[[#This Row],[作者]],1)+1,FIND(")",作者统计[[#This Row],[作者]],1)-FIND("(",作者统计[[#This Row],[作者]],1)-1),"")</f>
        <v/>
      </c>
    </row>
    <row r="1723" spans="2:10" ht="18" customHeight="1" x14ac:dyDescent="0.25">
      <c r="B1723" s="309"/>
      <c r="C1723" s="120"/>
      <c r="D1723" s="121"/>
      <c r="E1723" s="121"/>
      <c r="F1723" s="92"/>
      <c r="G1723" s="92"/>
      <c r="H1723" s="122"/>
      <c r="I1723" s="68" t="str">
        <f>IFERROR(MID(作者统计[[#This Row],[作者]],FIND("[",作者统计[[#This Row],[作者]],1)+1,FIND("]",作者统计[[#This Row],[作者]],1)-FIND("[",作者统计[[#This Row],[作者]],1)-1),"")</f>
        <v/>
      </c>
      <c r="J172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24" spans="2:10" ht="18" customHeight="1" x14ac:dyDescent="0.25">
      <c r="B1724" s="309"/>
      <c r="C1724" s="120"/>
      <c r="D1724" s="121"/>
      <c r="E1724" s="121"/>
      <c r="F1724" s="92"/>
      <c r="G1724" s="92"/>
      <c r="H1724" s="122"/>
      <c r="I1724" s="68" t="str">
        <f>IFERROR(MID(作者统计[[#This Row],[作者]],FIND("[",作者统计[[#This Row],[作者]],1)+1,FIND("]",作者统计[[#This Row],[作者]],1)-FIND("[",作者统计[[#This Row],[作者]],1)-1),"")</f>
        <v/>
      </c>
      <c r="J172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25" spans="2:10" ht="18" customHeight="1" x14ac:dyDescent="0.25">
      <c r="B1725" s="309"/>
      <c r="C1725" s="120"/>
      <c r="D1725" s="121"/>
      <c r="E1725" s="121"/>
      <c r="F1725" s="92"/>
      <c r="G1725" s="92"/>
      <c r="H1725" s="122"/>
      <c r="I1725" s="68" t="str">
        <f>IFERROR(MID(作者统计[[#This Row],[作者]],FIND("[",作者统计[[#This Row],[作者]],1)+1,FIND("]",作者统计[[#This Row],[作者]],1)-FIND("[",作者统计[[#This Row],[作者]],1)-1),"")</f>
        <v/>
      </c>
      <c r="J172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26" spans="2:10" ht="18" customHeight="1" x14ac:dyDescent="0.25">
      <c r="B1726" s="309"/>
      <c r="C1726" s="120"/>
      <c r="D1726" s="121"/>
      <c r="E1726" s="121"/>
      <c r="F1726" s="92"/>
      <c r="G1726" s="92"/>
      <c r="H1726" s="122"/>
      <c r="I1726" s="68" t="str">
        <f>IFERROR(MID(作者统计[[#This Row],[作者]],FIND("[",作者统计[[#This Row],[作者]],1)+1,FIND("]",作者统计[[#This Row],[作者]],1)-FIND("[",作者统计[[#This Row],[作者]],1)-1),"")</f>
        <v/>
      </c>
      <c r="J1726" s="68" t="str">
        <f>IFERROR(MID(作者统计[[#This Row],[作者]],FIND("(",作者统计[[#This Row],[作者]],1)+1,FIND(")",作者统计[[#This Row],[作者]],1)-FIND("(",作者统计[[#This Row],[作者]],1)-1),"")</f>
        <v/>
      </c>
    </row>
    <row r="1727" spans="2:10" ht="18" customHeight="1" x14ac:dyDescent="0.25">
      <c r="B1727" s="309"/>
      <c r="C1727" s="120"/>
      <c r="D1727" s="121"/>
      <c r="E1727" s="121"/>
      <c r="F1727" s="92"/>
      <c r="G1727" s="92"/>
      <c r="H1727" s="122"/>
      <c r="I1727" s="68" t="str">
        <f>IFERROR(MID(作者统计[[#This Row],[作者]],FIND("[",作者统计[[#This Row],[作者]],1)+1,FIND("]",作者统计[[#This Row],[作者]],1)-FIND("[",作者统计[[#This Row],[作者]],1)-1),"")</f>
        <v/>
      </c>
      <c r="J172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28" spans="2:10" ht="18" customHeight="1" x14ac:dyDescent="0.25">
      <c r="B1728" s="309"/>
      <c r="C1728" s="120"/>
      <c r="D1728" s="121"/>
      <c r="E1728" s="121"/>
      <c r="F1728" s="92"/>
      <c r="G1728" s="92"/>
      <c r="H1728" s="122"/>
      <c r="I1728" s="68" t="str">
        <f>IFERROR(MID(作者统计[[#This Row],[作者]],FIND("[",作者统计[[#This Row],[作者]],1)+1,FIND("]",作者统计[[#This Row],[作者]],1)-FIND("[",作者统计[[#This Row],[作者]],1)-1),"")</f>
        <v/>
      </c>
      <c r="J172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29" spans="2:10" ht="18" customHeight="1" x14ac:dyDescent="0.25">
      <c r="B1729" s="309"/>
      <c r="C1729" s="120"/>
      <c r="D1729" s="121"/>
      <c r="E1729" s="121"/>
      <c r="F1729" s="92"/>
      <c r="G1729" s="92"/>
      <c r="H1729" s="122"/>
      <c r="I1729" s="68" t="str">
        <f>IFERROR(MID(作者统计[[#This Row],[作者]],FIND("[",作者统计[[#This Row],[作者]],1)+1,FIND("]",作者统计[[#This Row],[作者]],1)-FIND("[",作者统计[[#This Row],[作者]],1)-1),"")</f>
        <v/>
      </c>
      <c r="J172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0" spans="2:10" ht="18" customHeight="1" x14ac:dyDescent="0.25">
      <c r="B1730" s="309"/>
      <c r="C1730" s="120"/>
      <c r="D1730" s="121"/>
      <c r="E1730" s="121"/>
      <c r="F1730" s="92"/>
      <c r="G1730" s="92"/>
      <c r="H1730" s="122"/>
      <c r="I1730" s="68" t="str">
        <f>IFERROR(MID(作者统计[[#This Row],[作者]],FIND("[",作者统计[[#This Row],[作者]],1)+1,FIND("]",作者统计[[#This Row],[作者]],1)-FIND("[",作者统计[[#This Row],[作者]],1)-1),"")</f>
        <v/>
      </c>
      <c r="J1730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1" spans="2:10" ht="18" customHeight="1" x14ac:dyDescent="0.25">
      <c r="B1731" s="309"/>
      <c r="C1731" s="120"/>
      <c r="D1731" s="121"/>
      <c r="E1731" s="121"/>
      <c r="F1731" s="92"/>
      <c r="G1731" s="92"/>
      <c r="H1731" s="122"/>
      <c r="I1731" s="68" t="str">
        <f>IFERROR(MID(作者统计[[#This Row],[作者]],FIND("[",作者统计[[#This Row],[作者]],1)+1,FIND("]",作者统计[[#This Row],[作者]],1)-FIND("[",作者统计[[#This Row],[作者]],1)-1),"")</f>
        <v/>
      </c>
      <c r="J1731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2" spans="2:10" ht="18" customHeight="1" x14ac:dyDescent="0.25">
      <c r="B1732" s="309"/>
      <c r="C1732" s="120"/>
      <c r="D1732" s="121"/>
      <c r="E1732" s="121"/>
      <c r="F1732" s="92"/>
      <c r="G1732" s="92"/>
      <c r="H1732" s="122"/>
      <c r="I1732" s="68" t="str">
        <f>IFERROR(MID(作者统计[[#This Row],[作者]],FIND("[",作者统计[[#This Row],[作者]],1)+1,FIND("]",作者统计[[#This Row],[作者]],1)-FIND("[",作者统计[[#This Row],[作者]],1)-1),"")</f>
        <v/>
      </c>
      <c r="J1732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3" spans="2:10" ht="18" customHeight="1" x14ac:dyDescent="0.25">
      <c r="B1733" s="309"/>
      <c r="C1733" s="120"/>
      <c r="D1733" s="121"/>
      <c r="E1733" s="121"/>
      <c r="F1733" s="92"/>
      <c r="G1733" s="92"/>
      <c r="H1733" s="122"/>
      <c r="I1733" s="68" t="str">
        <f>IFERROR(MID(作者统计[[#This Row],[作者]],FIND("[",作者统计[[#This Row],[作者]],1)+1,FIND("]",作者统计[[#This Row],[作者]],1)-FIND("[",作者统计[[#This Row],[作者]],1)-1),"")</f>
        <v/>
      </c>
      <c r="J173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4" spans="2:10" ht="18" customHeight="1" x14ac:dyDescent="0.25">
      <c r="B1734" s="309"/>
      <c r="C1734" s="120"/>
      <c r="D1734" s="121"/>
      <c r="E1734" s="121"/>
      <c r="F1734" s="92"/>
      <c r="G1734" s="92"/>
      <c r="H1734" s="122"/>
      <c r="I1734" s="68" t="str">
        <f>IFERROR(MID(作者统计[[#This Row],[作者]],FIND("[",作者统计[[#This Row],[作者]],1)+1,FIND("]",作者统计[[#This Row],[作者]],1)-FIND("[",作者统计[[#This Row],[作者]],1)-1),"")</f>
        <v/>
      </c>
      <c r="J173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5" spans="2:10" ht="18" customHeight="1" x14ac:dyDescent="0.25">
      <c r="B1735" s="309"/>
      <c r="C1735" s="120"/>
      <c r="D1735" s="121"/>
      <c r="E1735" s="121"/>
      <c r="F1735" s="92"/>
      <c r="G1735" s="92"/>
      <c r="H1735" s="122"/>
      <c r="I1735" s="68" t="str">
        <f>IFERROR(MID(作者统计[[#This Row],[作者]],FIND("[",作者统计[[#This Row],[作者]],1)+1,FIND("]",作者统计[[#This Row],[作者]],1)-FIND("[",作者统计[[#This Row],[作者]],1)-1),"")</f>
        <v/>
      </c>
      <c r="J173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6" spans="2:10" ht="18" customHeight="1" x14ac:dyDescent="0.25">
      <c r="B1736" s="309"/>
      <c r="C1736" s="120"/>
      <c r="D1736" s="121"/>
      <c r="E1736" s="121"/>
      <c r="F1736" s="92"/>
      <c r="G1736" s="92"/>
      <c r="H1736" s="122"/>
      <c r="I1736" s="68" t="str">
        <f>IFERROR(MID(作者统计[[#This Row],[作者]],FIND("[",作者统计[[#This Row],[作者]],1)+1,FIND("]",作者统计[[#This Row],[作者]],1)-FIND("[",作者统计[[#This Row],[作者]],1)-1),"")</f>
        <v/>
      </c>
      <c r="J1736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7" spans="2:10" ht="18" customHeight="1" x14ac:dyDescent="0.25">
      <c r="B1737" s="309"/>
      <c r="C1737" s="120"/>
      <c r="D1737" s="121"/>
      <c r="E1737" s="121"/>
      <c r="F1737" s="92"/>
      <c r="G1737" s="92"/>
      <c r="H1737" s="122"/>
      <c r="I1737" s="68" t="str">
        <f>IFERROR(MID(作者统计[[#This Row],[作者]],FIND("[",作者统计[[#This Row],[作者]],1)+1,FIND("]",作者统计[[#This Row],[作者]],1)-FIND("[",作者统计[[#This Row],[作者]],1)-1),"")</f>
        <v/>
      </c>
      <c r="J173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8" spans="2:10" ht="18" customHeight="1" x14ac:dyDescent="0.25">
      <c r="B1738" s="309"/>
      <c r="C1738" s="120"/>
      <c r="D1738" s="121"/>
      <c r="E1738" s="121"/>
      <c r="F1738" s="92"/>
      <c r="G1738" s="92"/>
      <c r="H1738" s="122"/>
      <c r="I1738" s="68" t="str">
        <f>IFERROR(MID(作者统计[[#This Row],[作者]],FIND("[",作者统计[[#This Row],[作者]],1)+1,FIND("]",作者统计[[#This Row],[作者]],1)-FIND("[",作者统计[[#This Row],[作者]],1)-1),"")</f>
        <v/>
      </c>
      <c r="J173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39" spans="2:10" ht="18" customHeight="1" x14ac:dyDescent="0.25">
      <c r="B1739" s="309"/>
      <c r="C1739" s="120"/>
      <c r="D1739" s="121"/>
      <c r="E1739" s="121"/>
      <c r="F1739" s="92"/>
      <c r="G1739" s="92"/>
      <c r="H1739" s="122"/>
      <c r="I1739" s="68" t="str">
        <f>IFERROR(MID(作者统计[[#This Row],[作者]],FIND("[",作者统计[[#This Row],[作者]],1)+1,FIND("]",作者统计[[#This Row],[作者]],1)-FIND("[",作者统计[[#This Row],[作者]],1)-1),"")</f>
        <v/>
      </c>
      <c r="J173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40" spans="2:10" ht="18" customHeight="1" x14ac:dyDescent="0.25">
      <c r="B1740" s="256"/>
      <c r="C1740" s="257"/>
      <c r="D1740" s="258"/>
      <c r="E1740" s="258"/>
      <c r="F1740" s="259"/>
      <c r="G1740" s="259"/>
      <c r="H1740" s="260"/>
      <c r="I1740" s="261" t="str">
        <f>IFERROR(MID(作者统计[[#This Row],[作者]],FIND("[",作者统计[[#This Row],[作者]],1)+1,FIND("]",作者统计[[#This Row],[作者]],1)-FIND("[",作者统计[[#This Row],[作者]],1)-1),"")</f>
        <v/>
      </c>
      <c r="J174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41" spans="2:10" ht="18" customHeight="1" x14ac:dyDescent="0.25">
      <c r="B1741" s="309"/>
      <c r="C1741" s="120"/>
      <c r="D1741" s="121"/>
      <c r="E1741" s="121"/>
      <c r="F1741" s="92"/>
      <c r="G1741" s="92"/>
      <c r="H1741" s="122"/>
      <c r="I1741" s="68" t="str">
        <f>IFERROR(MID(作者统计[[#This Row],[作者]],FIND("[",作者统计[[#This Row],[作者]],1)+1,FIND("]",作者统计[[#This Row],[作者]],1)-FIND("[",作者统计[[#This Row],[作者]],1)-1),"")</f>
        <v/>
      </c>
      <c r="J1741" s="68" t="str">
        <f>IFERROR(MID(作者统计[[#This Row],[作者]],FIND("(",作者统计[[#This Row],[作者]],1)+1,FIND(")",作者统计[[#This Row],[作者]],1)-FIND("(",作者统计[[#This Row],[作者]],1)-1),"")</f>
        <v/>
      </c>
    </row>
    <row r="1742" spans="2:10" ht="18" customHeight="1" x14ac:dyDescent="0.25">
      <c r="B1742" s="309"/>
      <c r="C1742" s="120"/>
      <c r="D1742" s="121"/>
      <c r="E1742" s="121"/>
      <c r="F1742" s="92"/>
      <c r="G1742" s="92"/>
      <c r="H1742" s="122"/>
      <c r="I1742" s="68" t="str">
        <f>IFERROR(MID(作者统计[[#This Row],[作者]],FIND("[",作者统计[[#This Row],[作者]],1)+1,FIND("]",作者统计[[#This Row],[作者]],1)-FIND("[",作者统计[[#This Row],[作者]],1)-1),"")</f>
        <v/>
      </c>
      <c r="J1742" s="68" t="str">
        <f>IFERROR(MID(作者统计[[#This Row],[作者]],FIND("(",作者统计[[#This Row],[作者]],1)+1,FIND(")",作者统计[[#This Row],[作者]],1)-FIND("(",作者统计[[#This Row],[作者]],1)-1),"")</f>
        <v/>
      </c>
    </row>
    <row r="1743" spans="2:10" ht="18" customHeight="1" x14ac:dyDescent="0.25">
      <c r="B1743" s="309"/>
      <c r="C1743" s="120"/>
      <c r="D1743" s="121"/>
      <c r="E1743" s="121"/>
      <c r="F1743" s="92"/>
      <c r="G1743" s="92"/>
      <c r="H1743" s="122"/>
      <c r="I1743" s="68" t="str">
        <f>IFERROR(MID(作者统计[[#This Row],[作者]],FIND("[",作者统计[[#This Row],[作者]],1)+1,FIND("]",作者统计[[#This Row],[作者]],1)-FIND("[",作者统计[[#This Row],[作者]],1)-1),"")</f>
        <v/>
      </c>
      <c r="J174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44" spans="2:10" ht="18" customHeight="1" x14ac:dyDescent="0.25">
      <c r="B1744" s="256"/>
      <c r="C1744" s="257"/>
      <c r="D1744" s="258"/>
      <c r="E1744" s="258"/>
      <c r="F1744" s="259"/>
      <c r="G1744" s="259"/>
      <c r="H1744" s="260"/>
      <c r="I1744" s="261" t="str">
        <f>IFERROR(MID(作者统计[[#This Row],[作者]],FIND("[",作者统计[[#This Row],[作者]],1)+1,FIND("]",作者统计[[#This Row],[作者]],1)-FIND("[",作者统计[[#This Row],[作者]],1)-1),"")</f>
        <v/>
      </c>
      <c r="J174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45" spans="2:10" ht="18" customHeight="1" x14ac:dyDescent="0.25">
      <c r="B1745" s="309"/>
      <c r="C1745" s="120"/>
      <c r="D1745" s="121"/>
      <c r="E1745" s="121"/>
      <c r="F1745" s="92"/>
      <c r="G1745" s="92"/>
      <c r="H1745" s="122"/>
      <c r="I1745" s="68" t="str">
        <f>IFERROR(MID(作者统计[[#This Row],[作者]],FIND("[",作者统计[[#This Row],[作者]],1)+1,FIND("]",作者统计[[#This Row],[作者]],1)-FIND("[",作者统计[[#This Row],[作者]],1)-1),"")</f>
        <v/>
      </c>
      <c r="J174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46" spans="2:10" ht="18" customHeight="1" x14ac:dyDescent="0.25">
      <c r="B1746" s="309"/>
      <c r="C1746" s="120"/>
      <c r="D1746" s="121"/>
      <c r="E1746" s="121"/>
      <c r="F1746" s="92"/>
      <c r="G1746" s="92"/>
      <c r="H1746" s="122"/>
      <c r="I1746" s="68" t="str">
        <f>IFERROR(MID(作者统计[[#This Row],[作者]],FIND("[",作者统计[[#This Row],[作者]],1)+1,FIND("]",作者统计[[#This Row],[作者]],1)-FIND("[",作者统计[[#This Row],[作者]],1)-1),"")</f>
        <v/>
      </c>
      <c r="J1746" s="68" t="str">
        <f>IFERROR(MID(作者统计[[#This Row],[作者]],FIND("(",作者统计[[#This Row],[作者]],1)+1,FIND(")",作者统计[[#This Row],[作者]],1)-FIND("(",作者统计[[#This Row],[作者]],1)-1),"")</f>
        <v/>
      </c>
    </row>
    <row r="1747" spans="2:10" ht="18" customHeight="1" x14ac:dyDescent="0.25">
      <c r="B1747" s="309"/>
      <c r="C1747" s="120"/>
      <c r="D1747" s="121"/>
      <c r="E1747" s="121"/>
      <c r="F1747" s="92"/>
      <c r="G1747" s="92"/>
      <c r="H1747" s="122"/>
      <c r="I1747" s="68" t="str">
        <f>IFERROR(MID(作者统计[[#This Row],[作者]],FIND("[",作者统计[[#This Row],[作者]],1)+1,FIND("]",作者统计[[#This Row],[作者]],1)-FIND("[",作者统计[[#This Row],[作者]],1)-1),"")</f>
        <v/>
      </c>
      <c r="J174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48" spans="2:10" ht="18" customHeight="1" x14ac:dyDescent="0.25">
      <c r="B1748" s="309"/>
      <c r="C1748" s="120"/>
      <c r="D1748" s="121"/>
      <c r="E1748" s="121"/>
      <c r="F1748" s="92"/>
      <c r="G1748" s="92"/>
      <c r="H1748" s="122"/>
      <c r="I1748" s="68" t="str">
        <f>IFERROR(MID(作者统计[[#This Row],[作者]],FIND("[",作者统计[[#This Row],[作者]],1)+1,FIND("]",作者统计[[#This Row],[作者]],1)-FIND("[",作者统计[[#This Row],[作者]],1)-1),"")</f>
        <v/>
      </c>
      <c r="J174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49" spans="2:10" ht="18" customHeight="1" x14ac:dyDescent="0.25">
      <c r="B1749" s="256"/>
      <c r="C1749" s="257"/>
      <c r="D1749" s="258"/>
      <c r="E1749" s="258"/>
      <c r="F1749" s="259"/>
      <c r="G1749" s="259"/>
      <c r="H1749" s="260"/>
      <c r="I1749" s="261" t="str">
        <f>IFERROR(MID(作者统计[[#This Row],[作者]],FIND("[",作者统计[[#This Row],[作者]],1)+1,FIND("]",作者统计[[#This Row],[作者]],1)-FIND("[",作者统计[[#This Row],[作者]],1)-1),"")</f>
        <v/>
      </c>
      <c r="J174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50" spans="2:10" ht="18" customHeight="1" x14ac:dyDescent="0.25">
      <c r="B1750" s="309"/>
      <c r="C1750" s="120"/>
      <c r="D1750" s="121"/>
      <c r="E1750" s="121"/>
      <c r="F1750" s="92"/>
      <c r="G1750" s="92"/>
      <c r="H1750" s="122"/>
      <c r="I1750" s="68" t="str">
        <f>IFERROR(MID(作者统计[[#This Row],[作者]],FIND("[",作者统计[[#This Row],[作者]],1)+1,FIND("]",作者统计[[#This Row],[作者]],1)-FIND("[",作者统计[[#This Row],[作者]],1)-1),"")</f>
        <v/>
      </c>
      <c r="J1750" s="68" t="str">
        <f>IFERROR(MID(作者统计[[#This Row],[作者]],FIND("(",作者统计[[#This Row],[作者]],1)+1,FIND(")",作者统计[[#This Row],[作者]],1)-FIND("(",作者统计[[#This Row],[作者]],1)-1),"")</f>
        <v/>
      </c>
    </row>
    <row r="1751" spans="2:10" ht="18" customHeight="1" x14ac:dyDescent="0.25">
      <c r="B1751" s="309"/>
      <c r="C1751" s="120"/>
      <c r="D1751" s="121"/>
      <c r="E1751" s="121"/>
      <c r="F1751" s="92"/>
      <c r="G1751" s="92"/>
      <c r="H1751" s="122"/>
      <c r="I1751" s="68" t="str">
        <f>IFERROR(MID(作者统计[[#This Row],[作者]],FIND("[",作者统计[[#This Row],[作者]],1)+1,FIND("]",作者统计[[#This Row],[作者]],1)-FIND("[",作者统计[[#This Row],[作者]],1)-1),"")</f>
        <v/>
      </c>
      <c r="J1751" s="68" t="str">
        <f>IFERROR(MID(作者统计[[#This Row],[作者]],FIND("(",作者统计[[#This Row],[作者]],1)+1,FIND(")",作者统计[[#This Row],[作者]],1)-FIND("(",作者统计[[#This Row],[作者]],1)-1),"")</f>
        <v/>
      </c>
    </row>
    <row r="1752" spans="2:10" ht="18" customHeight="1" x14ac:dyDescent="0.25">
      <c r="B1752" s="309"/>
      <c r="C1752" s="120"/>
      <c r="D1752" s="121"/>
      <c r="E1752" s="121"/>
      <c r="F1752" s="92"/>
      <c r="G1752" s="92"/>
      <c r="H1752" s="122"/>
      <c r="I1752" s="68" t="str">
        <f>IFERROR(MID(作者统计[[#This Row],[作者]],FIND("[",作者统计[[#This Row],[作者]],1)+1,FIND("]",作者统计[[#This Row],[作者]],1)-FIND("[",作者统计[[#This Row],[作者]],1)-1),"")</f>
        <v/>
      </c>
      <c r="J1752" s="68" t="str">
        <f>IFERROR(MID(作者统计[[#This Row],[作者]],FIND("(",作者统计[[#This Row],[作者]],1)+1,FIND(")",作者统计[[#This Row],[作者]],1)-FIND("(",作者统计[[#This Row],[作者]],1)-1),"")</f>
        <v/>
      </c>
    </row>
    <row r="1753" spans="2:10" ht="18" customHeight="1" x14ac:dyDescent="0.25">
      <c r="B1753" s="309"/>
      <c r="C1753" s="120"/>
      <c r="D1753" s="121"/>
      <c r="E1753" s="121"/>
      <c r="F1753" s="92"/>
      <c r="G1753" s="92"/>
      <c r="H1753" s="122"/>
      <c r="I1753" s="68" t="str">
        <f>IFERROR(MID(作者统计[[#This Row],[作者]],FIND("[",作者统计[[#This Row],[作者]],1)+1,FIND("]",作者统计[[#This Row],[作者]],1)-FIND("[",作者统计[[#This Row],[作者]],1)-1),"")</f>
        <v/>
      </c>
      <c r="J175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54" spans="2:10" ht="18" customHeight="1" x14ac:dyDescent="0.25">
      <c r="B1754" s="309"/>
      <c r="C1754" s="120"/>
      <c r="D1754" s="121"/>
      <c r="E1754" s="121"/>
      <c r="F1754" s="92"/>
      <c r="G1754" s="92"/>
      <c r="H1754" s="122"/>
      <c r="I1754" s="68" t="str">
        <f>IFERROR(MID(作者统计[[#This Row],[作者]],FIND("[",作者统计[[#This Row],[作者]],1)+1,FIND("]",作者统计[[#This Row],[作者]],1)-FIND("[",作者统计[[#This Row],[作者]],1)-1),"")</f>
        <v/>
      </c>
      <c r="J175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55" spans="2:10" ht="18" customHeight="1" x14ac:dyDescent="0.25">
      <c r="B1755" s="309"/>
      <c r="C1755" s="120"/>
      <c r="D1755" s="121"/>
      <c r="E1755" s="121"/>
      <c r="F1755" s="92"/>
      <c r="G1755" s="92"/>
      <c r="H1755" s="122"/>
      <c r="I1755" s="68" t="str">
        <f>IFERROR(MID(作者统计[[#This Row],[作者]],FIND("[",作者统计[[#This Row],[作者]],1)+1,FIND("]",作者统计[[#This Row],[作者]],1)-FIND("[",作者统计[[#This Row],[作者]],1)-1),"")</f>
        <v/>
      </c>
      <c r="J175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56" spans="2:10" ht="18" customHeight="1" x14ac:dyDescent="0.25">
      <c r="B1756" s="309"/>
      <c r="C1756" s="120"/>
      <c r="D1756" s="121"/>
      <c r="E1756" s="121"/>
      <c r="F1756" s="92"/>
      <c r="G1756" s="92"/>
      <c r="H1756" s="122"/>
      <c r="I1756" s="68" t="str">
        <f>IFERROR(MID(作者统计[[#This Row],[作者]],FIND("[",作者统计[[#This Row],[作者]],1)+1,FIND("]",作者统计[[#This Row],[作者]],1)-FIND("[",作者统计[[#This Row],[作者]],1)-1),"")</f>
        <v/>
      </c>
      <c r="J1756" s="68" t="str">
        <f>IFERROR(MID(作者统计[[#This Row],[作者]],FIND("(",作者统计[[#This Row],[作者]],1)+1,FIND(")",作者统计[[#This Row],[作者]],1)-FIND("(",作者统计[[#This Row],[作者]],1)-1),"")</f>
        <v/>
      </c>
    </row>
    <row r="1757" spans="2:10" ht="18" customHeight="1" x14ac:dyDescent="0.25">
      <c r="B1757" s="256"/>
      <c r="C1757" s="257"/>
      <c r="D1757" s="258"/>
      <c r="E1757" s="258"/>
      <c r="F1757" s="259"/>
      <c r="G1757" s="259"/>
      <c r="H1757" s="260"/>
      <c r="I1757" s="261" t="str">
        <f>IFERROR(MID(作者统计[[#This Row],[作者]],FIND("[",作者统计[[#This Row],[作者]],1)+1,FIND("]",作者统计[[#This Row],[作者]],1)-FIND("[",作者统计[[#This Row],[作者]],1)-1),"")</f>
        <v/>
      </c>
      <c r="J175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58" spans="2:10" ht="18" customHeight="1" x14ac:dyDescent="0.25">
      <c r="B1758" s="309"/>
      <c r="C1758" s="120"/>
      <c r="D1758" s="121"/>
      <c r="E1758" s="121"/>
      <c r="F1758" s="92"/>
      <c r="G1758" s="92"/>
      <c r="H1758" s="122"/>
      <c r="I1758" s="68" t="str">
        <f>IFERROR(MID(作者统计[[#This Row],[作者]],FIND("[",作者统计[[#This Row],[作者]],1)+1,FIND("]",作者统计[[#This Row],[作者]],1)-FIND("[",作者统计[[#This Row],[作者]],1)-1),"")</f>
        <v/>
      </c>
      <c r="J175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59" spans="2:10" ht="18" customHeight="1" x14ac:dyDescent="0.25">
      <c r="B1759" s="309"/>
      <c r="C1759" s="120"/>
      <c r="D1759" s="121"/>
      <c r="E1759" s="121"/>
      <c r="F1759" s="92"/>
      <c r="G1759" s="92"/>
      <c r="H1759" s="122"/>
      <c r="I1759" s="68" t="str">
        <f>IFERROR(MID(作者统计[[#This Row],[作者]],FIND("[",作者统计[[#This Row],[作者]],1)+1,FIND("]",作者统计[[#This Row],[作者]],1)-FIND("[",作者统计[[#This Row],[作者]],1)-1),"")</f>
        <v/>
      </c>
      <c r="J175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60" spans="2:10" ht="18" customHeight="1" x14ac:dyDescent="0.25">
      <c r="B1760" s="309"/>
      <c r="C1760" s="120"/>
      <c r="D1760" s="121"/>
      <c r="E1760" s="121"/>
      <c r="F1760" s="92"/>
      <c r="G1760" s="92"/>
      <c r="H1760" s="122"/>
      <c r="I1760" s="68" t="str">
        <f>IFERROR(MID(作者统计[[#This Row],[作者]],FIND("[",作者统计[[#This Row],[作者]],1)+1,FIND("]",作者统计[[#This Row],[作者]],1)-FIND("[",作者统计[[#This Row],[作者]],1)-1),"")</f>
        <v/>
      </c>
      <c r="J1760" s="68" t="str">
        <f>IFERROR(MID(作者统计[[#This Row],[作者]],FIND("(",作者统计[[#This Row],[作者]],1)+1,FIND(")",作者统计[[#This Row],[作者]],1)-FIND("(",作者统计[[#This Row],[作者]],1)-1),"")</f>
        <v/>
      </c>
    </row>
    <row r="1761" spans="2:10" ht="18" customHeight="1" x14ac:dyDescent="0.25">
      <c r="B1761" s="309"/>
      <c r="C1761" s="120"/>
      <c r="D1761" s="121"/>
      <c r="E1761" s="121"/>
      <c r="F1761" s="92"/>
      <c r="G1761" s="92"/>
      <c r="H1761" s="122"/>
      <c r="I1761" s="68" t="str">
        <f>IFERROR(MID(作者统计[[#This Row],[作者]],FIND("[",作者统计[[#This Row],[作者]],1)+1,FIND("]",作者统计[[#This Row],[作者]],1)-FIND("[",作者统计[[#This Row],[作者]],1)-1),"")</f>
        <v/>
      </c>
      <c r="J1761" s="68" t="str">
        <f>IFERROR(MID(作者统计[[#This Row],[作者]],FIND("(",作者统计[[#This Row],[作者]],1)+1,FIND(")",作者统计[[#This Row],[作者]],1)-FIND("(",作者统计[[#This Row],[作者]],1)-1),"")</f>
        <v/>
      </c>
    </row>
    <row r="1762" spans="2:10" ht="18" customHeight="1" x14ac:dyDescent="0.25">
      <c r="B1762" s="256"/>
      <c r="C1762" s="257"/>
      <c r="D1762" s="258"/>
      <c r="E1762" s="258"/>
      <c r="F1762" s="259"/>
      <c r="G1762" s="259"/>
      <c r="H1762" s="260"/>
      <c r="I1762" s="261" t="str">
        <f>IFERROR(MID(作者统计[[#This Row],[作者]],FIND("[",作者统计[[#This Row],[作者]],1)+1,FIND("]",作者统计[[#This Row],[作者]],1)-FIND("[",作者统计[[#This Row],[作者]],1)-1),"")</f>
        <v/>
      </c>
      <c r="J176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63" spans="2:10" ht="18" customHeight="1" x14ac:dyDescent="0.25">
      <c r="B1763" s="309"/>
      <c r="C1763" s="120"/>
      <c r="D1763" s="121"/>
      <c r="E1763" s="121"/>
      <c r="F1763" s="92"/>
      <c r="G1763" s="92"/>
      <c r="H1763" s="122"/>
      <c r="I1763" s="68" t="str">
        <f>IFERROR(MID(作者统计[[#This Row],[作者]],FIND("[",作者统计[[#This Row],[作者]],1)+1,FIND("]",作者统计[[#This Row],[作者]],1)-FIND("[",作者统计[[#This Row],[作者]],1)-1),"")</f>
        <v/>
      </c>
      <c r="J176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64" spans="2:10" ht="18" customHeight="1" x14ac:dyDescent="0.25">
      <c r="B1764" s="309"/>
      <c r="C1764" s="120"/>
      <c r="D1764" s="121"/>
      <c r="E1764" s="121"/>
      <c r="F1764" s="92"/>
      <c r="G1764" s="92"/>
      <c r="H1764" s="122"/>
      <c r="I1764" s="68" t="str">
        <f>IFERROR(MID(作者统计[[#This Row],[作者]],FIND("[",作者统计[[#This Row],[作者]],1)+1,FIND("]",作者统计[[#This Row],[作者]],1)-FIND("[",作者统计[[#This Row],[作者]],1)-1),"")</f>
        <v/>
      </c>
      <c r="J176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65" spans="2:10" ht="18" customHeight="1" x14ac:dyDescent="0.25">
      <c r="B1765" s="309"/>
      <c r="C1765" s="120"/>
      <c r="D1765" s="121"/>
      <c r="E1765" s="121"/>
      <c r="F1765" s="92"/>
      <c r="G1765" s="92"/>
      <c r="H1765" s="122"/>
      <c r="I1765" s="68" t="str">
        <f>IFERROR(MID(作者统计[[#This Row],[作者]],FIND("[",作者统计[[#This Row],[作者]],1)+1,FIND("]",作者统计[[#This Row],[作者]],1)-FIND("[",作者统计[[#This Row],[作者]],1)-1),"")</f>
        <v/>
      </c>
      <c r="J176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66" spans="2:10" ht="18" customHeight="1" x14ac:dyDescent="0.25">
      <c r="B1766" s="262"/>
      <c r="C1766" s="263"/>
      <c r="D1766" s="264"/>
      <c r="E1766" s="264"/>
      <c r="F1766" s="265"/>
      <c r="G1766" s="265"/>
      <c r="H1766" s="266"/>
      <c r="I1766" s="267" t="str">
        <f>IFERROR(MID(作者统计[[#This Row],[作者]],FIND("[",作者统计[[#This Row],[作者]],1)+1,FIND("]",作者统计[[#This Row],[作者]],1)-FIND("[",作者统计[[#This Row],[作者]],1)-1),"")</f>
        <v/>
      </c>
      <c r="J1766" s="267" t="str">
        <f>IFERROR(MID(作者统计[[#This Row],[作者]],FIND("(",作者统计[[#This Row],[作者]],1)+1,FIND(")",作者统计[[#This Row],[作者]],1)-FIND("(",作者统计[[#This Row],[作者]],1)-1),"")</f>
        <v/>
      </c>
    </row>
    <row r="1767" spans="2:10" ht="18" customHeight="1" x14ac:dyDescent="0.25">
      <c r="B1767" s="309"/>
      <c r="C1767" s="120"/>
      <c r="D1767" s="121"/>
      <c r="E1767" s="121"/>
      <c r="F1767" s="92"/>
      <c r="G1767" s="92"/>
      <c r="H1767" s="122"/>
      <c r="I1767" s="68" t="str">
        <f>IFERROR(MID(作者统计[[#This Row],[作者]],FIND("[",作者统计[[#This Row],[作者]],1)+1,FIND("]",作者统计[[#This Row],[作者]],1)-FIND("[",作者统计[[#This Row],[作者]],1)-1),"")</f>
        <v/>
      </c>
      <c r="J176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68" spans="2:10" ht="18" customHeight="1" x14ac:dyDescent="0.25">
      <c r="B1768" s="309"/>
      <c r="C1768" s="120"/>
      <c r="D1768" s="121"/>
      <c r="E1768" s="121"/>
      <c r="F1768" s="92"/>
      <c r="G1768" s="92"/>
      <c r="H1768" s="122"/>
      <c r="I1768" s="68" t="str">
        <f>IFERROR(MID(作者统计[[#This Row],[作者]],FIND("[",作者统计[[#This Row],[作者]],1)+1,FIND("]",作者统计[[#This Row],[作者]],1)-FIND("[",作者统计[[#This Row],[作者]],1)-1),"")</f>
        <v/>
      </c>
      <c r="J176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69" spans="2:10" ht="18" customHeight="1" x14ac:dyDescent="0.25">
      <c r="B1769" s="309"/>
      <c r="C1769" s="120"/>
      <c r="D1769" s="121"/>
      <c r="E1769" s="121"/>
      <c r="F1769" s="92"/>
      <c r="G1769" s="92"/>
      <c r="H1769" s="122"/>
      <c r="I1769" s="68" t="str">
        <f>IFERROR(MID(作者统计[[#This Row],[作者]],FIND("[",作者统计[[#This Row],[作者]],1)+1,FIND("]",作者统计[[#This Row],[作者]],1)-FIND("[",作者统计[[#This Row],[作者]],1)-1),"")</f>
        <v/>
      </c>
      <c r="J176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70" spans="2:10" ht="18" customHeight="1" x14ac:dyDescent="0.25">
      <c r="B1770" s="309"/>
      <c r="C1770" s="120"/>
      <c r="D1770" s="121"/>
      <c r="E1770" s="121"/>
      <c r="F1770" s="92"/>
      <c r="G1770" s="92"/>
      <c r="H1770" s="122"/>
      <c r="I1770" s="68" t="str">
        <f>IFERROR(MID(作者统计[[#This Row],[作者]],FIND("[",作者统计[[#This Row],[作者]],1)+1,FIND("]",作者统计[[#This Row],[作者]],1)-FIND("[",作者统计[[#This Row],[作者]],1)-1),"")</f>
        <v/>
      </c>
      <c r="J1770" s="68" t="str">
        <f>IFERROR(MID(作者统计[[#This Row],[作者]],FIND("(",作者统计[[#This Row],[作者]],1)+1,FIND(")",作者统计[[#This Row],[作者]],1)-FIND("(",作者统计[[#This Row],[作者]],1)-1),"")</f>
        <v/>
      </c>
    </row>
    <row r="1771" spans="2:10" ht="18" customHeight="1" x14ac:dyDescent="0.25">
      <c r="B1771" s="309"/>
      <c r="C1771" s="120"/>
      <c r="D1771" s="121"/>
      <c r="E1771" s="121"/>
      <c r="F1771" s="92"/>
      <c r="G1771" s="92"/>
      <c r="H1771" s="122"/>
      <c r="I1771" s="68" t="str">
        <f>IFERROR(MID(作者统计[[#This Row],[作者]],FIND("[",作者统计[[#This Row],[作者]],1)+1,FIND("]",作者统计[[#This Row],[作者]],1)-FIND("[",作者统计[[#This Row],[作者]],1)-1),"")</f>
        <v/>
      </c>
      <c r="J1771" s="68" t="str">
        <f>IFERROR(MID(作者统计[[#This Row],[作者]],FIND("(",作者统计[[#This Row],[作者]],1)+1,FIND(")",作者统计[[#This Row],[作者]],1)-FIND("(",作者统计[[#This Row],[作者]],1)-1),"")</f>
        <v/>
      </c>
    </row>
    <row r="1772" spans="2:10" ht="18" customHeight="1" x14ac:dyDescent="0.25">
      <c r="B1772" s="256"/>
      <c r="C1772" s="257"/>
      <c r="D1772" s="258"/>
      <c r="E1772" s="258"/>
      <c r="F1772" s="259"/>
      <c r="G1772" s="259"/>
      <c r="H1772" s="260"/>
      <c r="I1772" s="261" t="str">
        <f>IFERROR(MID(作者统计[[#This Row],[作者]],FIND("[",作者统计[[#This Row],[作者]],1)+1,FIND("]",作者统计[[#This Row],[作者]],1)-FIND("[",作者统计[[#This Row],[作者]],1)-1),"")</f>
        <v/>
      </c>
      <c r="J177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73" spans="2:10" ht="18" customHeight="1" x14ac:dyDescent="0.25">
      <c r="B1773" s="256"/>
      <c r="C1773" s="257"/>
      <c r="D1773" s="258"/>
      <c r="E1773" s="258"/>
      <c r="F1773" s="259"/>
      <c r="G1773" s="259"/>
      <c r="H1773" s="260"/>
      <c r="I1773" s="261" t="str">
        <f>IFERROR(MID(作者统计[[#This Row],[作者]],FIND("[",作者统计[[#This Row],[作者]],1)+1,FIND("]",作者统计[[#This Row],[作者]],1)-FIND("[",作者统计[[#This Row],[作者]],1)-1),"")</f>
        <v/>
      </c>
      <c r="J177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774" spans="2:10" ht="18" customHeight="1" x14ac:dyDescent="0.25">
      <c r="B1774" s="309"/>
      <c r="C1774" s="120"/>
      <c r="D1774" s="121"/>
      <c r="E1774" s="121"/>
      <c r="F1774" s="92"/>
      <c r="G1774" s="92"/>
      <c r="H1774" s="122"/>
      <c r="I1774" s="68" t="str">
        <f>IFERROR(MID(作者统计[[#This Row],[作者]],FIND("[",作者统计[[#This Row],[作者]],1)+1,FIND("]",作者统计[[#This Row],[作者]],1)-FIND("[",作者统计[[#This Row],[作者]],1)-1),"")</f>
        <v/>
      </c>
      <c r="J177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75" spans="2:10" ht="18" customHeight="1" x14ac:dyDescent="0.25">
      <c r="B1775" s="309"/>
      <c r="C1775" s="120"/>
      <c r="D1775" s="121"/>
      <c r="E1775" s="121"/>
      <c r="F1775" s="92"/>
      <c r="G1775" s="92"/>
      <c r="H1775" s="122"/>
      <c r="I1775" s="68" t="str">
        <f>IFERROR(MID(作者统计[[#This Row],[作者]],FIND("[",作者统计[[#This Row],[作者]],1)+1,FIND("]",作者统计[[#This Row],[作者]],1)-FIND("[",作者统计[[#This Row],[作者]],1)-1),"")</f>
        <v/>
      </c>
      <c r="J177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76" spans="2:10" ht="18" customHeight="1" x14ac:dyDescent="0.25">
      <c r="B1776" s="309"/>
      <c r="C1776" s="120"/>
      <c r="D1776" s="121"/>
      <c r="E1776" s="121"/>
      <c r="F1776" s="92"/>
      <c r="G1776" s="92"/>
      <c r="H1776" s="122"/>
      <c r="I1776" s="68" t="str">
        <f>IFERROR(MID(作者统计[[#This Row],[作者]],FIND("[",作者统计[[#This Row],[作者]],1)+1,FIND("]",作者统计[[#This Row],[作者]],1)-FIND("[",作者统计[[#This Row],[作者]],1)-1),"")</f>
        <v/>
      </c>
      <c r="J1776" s="68" t="str">
        <f>IFERROR(MID(作者统计[[#This Row],[作者]],FIND("(",作者统计[[#This Row],[作者]],1)+1,FIND(")",作者统计[[#This Row],[作者]],1)-FIND("(",作者统计[[#This Row],[作者]],1)-1),"")</f>
        <v/>
      </c>
    </row>
    <row r="1777" spans="2:10" ht="18" customHeight="1" x14ac:dyDescent="0.25">
      <c r="B1777" s="309"/>
      <c r="C1777" s="120"/>
      <c r="D1777" s="121"/>
      <c r="E1777" s="121"/>
      <c r="F1777" s="92"/>
      <c r="G1777" s="92"/>
      <c r="H1777" s="122"/>
      <c r="I1777" s="68" t="str">
        <f>IFERROR(MID(作者统计[[#This Row],[作者]],FIND("[",作者统计[[#This Row],[作者]],1)+1,FIND("]",作者统计[[#This Row],[作者]],1)-FIND("[",作者统计[[#This Row],[作者]],1)-1),"")</f>
        <v/>
      </c>
      <c r="J177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78" spans="2:10" ht="18" customHeight="1" x14ac:dyDescent="0.25">
      <c r="B1778" s="309"/>
      <c r="C1778" s="120"/>
      <c r="D1778" s="121"/>
      <c r="E1778" s="121"/>
      <c r="F1778" s="92"/>
      <c r="G1778" s="92"/>
      <c r="H1778" s="122"/>
      <c r="I1778" s="68" t="str">
        <f>IFERROR(MID(作者统计[[#This Row],[作者]],FIND("[",作者统计[[#This Row],[作者]],1)+1,FIND("]",作者统计[[#This Row],[作者]],1)-FIND("[",作者统计[[#This Row],[作者]],1)-1),"")</f>
        <v/>
      </c>
      <c r="J177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79" spans="2:10" ht="18" customHeight="1" x14ac:dyDescent="0.25">
      <c r="B1779" s="309"/>
      <c r="C1779" s="120"/>
      <c r="D1779" s="121"/>
      <c r="E1779" s="121"/>
      <c r="F1779" s="92"/>
      <c r="G1779" s="92"/>
      <c r="H1779" s="122"/>
      <c r="I1779" s="68" t="str">
        <f>IFERROR(MID(作者统计[[#This Row],[作者]],FIND("[",作者统计[[#This Row],[作者]],1)+1,FIND("]",作者统计[[#This Row],[作者]],1)-FIND("[",作者统计[[#This Row],[作者]],1)-1),"")</f>
        <v/>
      </c>
      <c r="J177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0" spans="2:10" ht="18" customHeight="1" x14ac:dyDescent="0.25">
      <c r="B1780" s="309"/>
      <c r="C1780" s="120"/>
      <c r="D1780" s="121"/>
      <c r="E1780" s="121"/>
      <c r="F1780" s="92"/>
      <c r="G1780" s="92"/>
      <c r="H1780" s="122"/>
      <c r="I1780" s="68" t="str">
        <f>IFERROR(MID(作者统计[[#This Row],[作者]],FIND("[",作者统计[[#This Row],[作者]],1)+1,FIND("]",作者统计[[#This Row],[作者]],1)-FIND("[",作者统计[[#This Row],[作者]],1)-1),"")</f>
        <v/>
      </c>
      <c r="J1780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1" spans="2:10" ht="18" customHeight="1" x14ac:dyDescent="0.25">
      <c r="B1781" s="309"/>
      <c r="C1781" s="120"/>
      <c r="D1781" s="121"/>
      <c r="E1781" s="121"/>
      <c r="F1781" s="92"/>
      <c r="G1781" s="92"/>
      <c r="H1781" s="122"/>
      <c r="I1781" s="68" t="str">
        <f>IFERROR(MID(作者统计[[#This Row],[作者]],FIND("[",作者统计[[#This Row],[作者]],1)+1,FIND("]",作者统计[[#This Row],[作者]],1)-FIND("[",作者统计[[#This Row],[作者]],1)-1),"")</f>
        <v/>
      </c>
      <c r="J1781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2" spans="2:10" ht="18" customHeight="1" x14ac:dyDescent="0.25">
      <c r="B1782" s="309"/>
      <c r="C1782" s="120"/>
      <c r="D1782" s="121"/>
      <c r="E1782" s="121"/>
      <c r="F1782" s="92"/>
      <c r="G1782" s="92"/>
      <c r="H1782" s="122"/>
      <c r="I1782" s="68" t="str">
        <f>IFERROR(MID(作者统计[[#This Row],[作者]],FIND("[",作者统计[[#This Row],[作者]],1)+1,FIND("]",作者统计[[#This Row],[作者]],1)-FIND("[",作者统计[[#This Row],[作者]],1)-1),"")</f>
        <v/>
      </c>
      <c r="J1782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3" spans="2:10" ht="18" customHeight="1" x14ac:dyDescent="0.25">
      <c r="B1783" s="309"/>
      <c r="C1783" s="120"/>
      <c r="D1783" s="121"/>
      <c r="E1783" s="121"/>
      <c r="F1783" s="92"/>
      <c r="G1783" s="92"/>
      <c r="H1783" s="122"/>
      <c r="I1783" s="68" t="str">
        <f>IFERROR(MID(作者统计[[#This Row],[作者]],FIND("[",作者统计[[#This Row],[作者]],1)+1,FIND("]",作者统计[[#This Row],[作者]],1)-FIND("[",作者统计[[#This Row],[作者]],1)-1),"")</f>
        <v/>
      </c>
      <c r="J178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4" spans="2:10" ht="18" customHeight="1" x14ac:dyDescent="0.25">
      <c r="B1784" s="309"/>
      <c r="C1784" s="120"/>
      <c r="D1784" s="121"/>
      <c r="E1784" s="121"/>
      <c r="F1784" s="92"/>
      <c r="G1784" s="92"/>
      <c r="H1784" s="122"/>
      <c r="I1784" s="68" t="str">
        <f>IFERROR(MID(作者统计[[#This Row],[作者]],FIND("[",作者统计[[#This Row],[作者]],1)+1,FIND("]",作者统计[[#This Row],[作者]],1)-FIND("[",作者统计[[#This Row],[作者]],1)-1),"")</f>
        <v/>
      </c>
      <c r="J178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5" spans="2:10" ht="18" customHeight="1" x14ac:dyDescent="0.25">
      <c r="B1785" s="309"/>
      <c r="C1785" s="120"/>
      <c r="D1785" s="121"/>
      <c r="E1785" s="121"/>
      <c r="F1785" s="92"/>
      <c r="G1785" s="92"/>
      <c r="H1785" s="122"/>
      <c r="I1785" s="68" t="str">
        <f>IFERROR(MID(作者统计[[#This Row],[作者]],FIND("[",作者统计[[#This Row],[作者]],1)+1,FIND("]",作者统计[[#This Row],[作者]],1)-FIND("[",作者统计[[#This Row],[作者]],1)-1),"")</f>
        <v/>
      </c>
      <c r="J178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6" spans="2:10" ht="18" customHeight="1" x14ac:dyDescent="0.25">
      <c r="B1786" s="309"/>
      <c r="C1786" s="120"/>
      <c r="D1786" s="121"/>
      <c r="E1786" s="121"/>
      <c r="F1786" s="92"/>
      <c r="G1786" s="92"/>
      <c r="H1786" s="122"/>
      <c r="I1786" s="68" t="str">
        <f>IFERROR(MID(作者统计[[#This Row],[作者]],FIND("[",作者统计[[#This Row],[作者]],1)+1,FIND("]",作者统计[[#This Row],[作者]],1)-FIND("[",作者统计[[#This Row],[作者]],1)-1),"")</f>
        <v/>
      </c>
      <c r="J1786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7" spans="2:10" ht="18" customHeight="1" x14ac:dyDescent="0.25">
      <c r="B1787" s="309"/>
      <c r="C1787" s="120"/>
      <c r="D1787" s="121"/>
      <c r="E1787" s="121"/>
      <c r="F1787" s="92"/>
      <c r="G1787" s="92"/>
      <c r="H1787" s="122"/>
      <c r="I1787" s="68" t="str">
        <f>IFERROR(MID(作者统计[[#This Row],[作者]],FIND("[",作者统计[[#This Row],[作者]],1)+1,FIND("]",作者统计[[#This Row],[作者]],1)-FIND("[",作者统计[[#This Row],[作者]],1)-1),"")</f>
        <v/>
      </c>
      <c r="J178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8" spans="2:10" ht="18" customHeight="1" x14ac:dyDescent="0.25">
      <c r="B1788" s="309"/>
      <c r="C1788" s="120"/>
      <c r="D1788" s="121"/>
      <c r="E1788" s="121"/>
      <c r="F1788" s="92"/>
      <c r="G1788" s="92"/>
      <c r="H1788" s="122"/>
      <c r="I1788" s="68" t="str">
        <f>IFERROR(MID(作者统计[[#This Row],[作者]],FIND("[",作者统计[[#This Row],[作者]],1)+1,FIND("]",作者统计[[#This Row],[作者]],1)-FIND("[",作者统计[[#This Row],[作者]],1)-1),"")</f>
        <v/>
      </c>
      <c r="J178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89" spans="2:10" ht="18" customHeight="1" x14ac:dyDescent="0.25">
      <c r="B1789" s="309"/>
      <c r="C1789" s="120"/>
      <c r="D1789" s="121"/>
      <c r="E1789" s="121"/>
      <c r="F1789" s="92"/>
      <c r="G1789" s="92"/>
      <c r="H1789" s="122"/>
      <c r="I1789" s="68" t="str">
        <f>IFERROR(MID(作者统计[[#This Row],[作者]],FIND("[",作者统计[[#This Row],[作者]],1)+1,FIND("]",作者统计[[#This Row],[作者]],1)-FIND("[",作者统计[[#This Row],[作者]],1)-1),"")</f>
        <v/>
      </c>
      <c r="J1789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0" spans="2:10" ht="18" customHeight="1" x14ac:dyDescent="0.25">
      <c r="B1790" s="309"/>
      <c r="C1790" s="120"/>
      <c r="D1790" s="121"/>
      <c r="E1790" s="121"/>
      <c r="F1790" s="92"/>
      <c r="G1790" s="92"/>
      <c r="H1790" s="122"/>
      <c r="I1790" s="68" t="str">
        <f>IFERROR(MID(作者统计[[#This Row],[作者]],FIND("[",作者统计[[#This Row],[作者]],1)+1,FIND("]",作者统计[[#This Row],[作者]],1)-FIND("[",作者统计[[#This Row],[作者]],1)-1),"")</f>
        <v/>
      </c>
      <c r="J1790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1" spans="2:10" ht="18" customHeight="1" x14ac:dyDescent="0.25">
      <c r="B1791" s="309"/>
      <c r="C1791" s="120"/>
      <c r="D1791" s="121"/>
      <c r="E1791" s="121"/>
      <c r="F1791" s="92"/>
      <c r="G1791" s="92"/>
      <c r="H1791" s="122"/>
      <c r="I1791" s="68" t="str">
        <f>IFERROR(MID(作者统计[[#This Row],[作者]],FIND("[",作者统计[[#This Row],[作者]],1)+1,FIND("]",作者统计[[#This Row],[作者]],1)-FIND("[",作者统计[[#This Row],[作者]],1)-1),"")</f>
        <v/>
      </c>
      <c r="J1791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2" spans="2:10" ht="18" customHeight="1" x14ac:dyDescent="0.25">
      <c r="B1792" s="309"/>
      <c r="C1792" s="120"/>
      <c r="D1792" s="121"/>
      <c r="E1792" s="121"/>
      <c r="F1792" s="92"/>
      <c r="G1792" s="92"/>
      <c r="H1792" s="122"/>
      <c r="I1792" s="68" t="str">
        <f>IFERROR(MID(作者统计[[#This Row],[作者]],FIND("[",作者统计[[#This Row],[作者]],1)+1,FIND("]",作者统计[[#This Row],[作者]],1)-FIND("[",作者统计[[#This Row],[作者]],1)-1),"")</f>
        <v/>
      </c>
      <c r="J1792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3" spans="2:10" ht="18" customHeight="1" x14ac:dyDescent="0.25">
      <c r="B1793" s="309"/>
      <c r="C1793" s="120"/>
      <c r="D1793" s="121"/>
      <c r="E1793" s="121"/>
      <c r="F1793" s="92"/>
      <c r="G1793" s="92"/>
      <c r="H1793" s="122"/>
      <c r="I1793" s="68" t="str">
        <f>IFERROR(MID(作者统计[[#This Row],[作者]],FIND("[",作者统计[[#This Row],[作者]],1)+1,FIND("]",作者统计[[#This Row],[作者]],1)-FIND("[",作者统计[[#This Row],[作者]],1)-1),"")</f>
        <v/>
      </c>
      <c r="J1793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4" spans="2:10" ht="18" customHeight="1" x14ac:dyDescent="0.25">
      <c r="B1794" s="309"/>
      <c r="C1794" s="120"/>
      <c r="D1794" s="121"/>
      <c r="E1794" s="121"/>
      <c r="F1794" s="92"/>
      <c r="G1794" s="92"/>
      <c r="H1794" s="122"/>
      <c r="I1794" s="68" t="str">
        <f>IFERROR(MID(作者统计[[#This Row],[作者]],FIND("[",作者统计[[#This Row],[作者]],1)+1,FIND("]",作者统计[[#This Row],[作者]],1)-FIND("[",作者统计[[#This Row],[作者]],1)-1),"")</f>
        <v/>
      </c>
      <c r="J1794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5" spans="2:10" ht="18" customHeight="1" x14ac:dyDescent="0.25">
      <c r="B1795" s="309"/>
      <c r="C1795" s="120"/>
      <c r="D1795" s="121"/>
      <c r="E1795" s="121"/>
      <c r="F1795" s="92"/>
      <c r="G1795" s="92"/>
      <c r="H1795" s="122"/>
      <c r="I1795" s="68" t="str">
        <f>IFERROR(MID(作者统计[[#This Row],[作者]],FIND("[",作者统计[[#This Row],[作者]],1)+1,FIND("]",作者统计[[#This Row],[作者]],1)-FIND("[",作者统计[[#This Row],[作者]],1)-1),"")</f>
        <v/>
      </c>
      <c r="J1795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6" spans="2:10" ht="18" customHeight="1" x14ac:dyDescent="0.25">
      <c r="B1796" s="311"/>
      <c r="C1796" s="180"/>
      <c r="D1796" s="181"/>
      <c r="E1796" s="181"/>
      <c r="F1796" s="182"/>
      <c r="G1796" s="182"/>
      <c r="H1796" s="183"/>
      <c r="I1796" s="77" t="str">
        <f>IFERROR(MID(作者统计[[#This Row],[作者]],FIND("[",作者统计[[#This Row],[作者]],1)+1,FIND("]",作者统计[[#This Row],[作者]],1)-FIND("[",作者统计[[#This Row],[作者]],1)-1),"")</f>
        <v/>
      </c>
      <c r="J1796" s="77" t="str">
        <f>IFERROR(MID(作者统计[[#This Row],[作者]],FIND("(",作者统计[[#This Row],[作者]],1)+1,FIND(")",作者统计[[#This Row],[作者]],1)-FIND("(",作者统计[[#This Row],[作者]],1)-1),"")</f>
        <v/>
      </c>
    </row>
    <row r="1797" spans="2:10" ht="18" customHeight="1" x14ac:dyDescent="0.25">
      <c r="B1797" s="309"/>
      <c r="C1797" s="120"/>
      <c r="D1797" s="121"/>
      <c r="E1797" s="121"/>
      <c r="F1797" s="92"/>
      <c r="G1797" s="92"/>
      <c r="H1797" s="122"/>
      <c r="I1797" s="68" t="str">
        <f>IFERROR(MID(作者统计[[#This Row],[作者]],FIND("[",作者统计[[#This Row],[作者]],1)+1,FIND("]",作者统计[[#This Row],[作者]],1)-FIND("[",作者统计[[#This Row],[作者]],1)-1),"")</f>
        <v/>
      </c>
      <c r="J1797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8" spans="2:10" ht="18" customHeight="1" x14ac:dyDescent="0.25">
      <c r="B1798" s="309"/>
      <c r="C1798" s="120"/>
      <c r="D1798" s="121"/>
      <c r="E1798" s="121"/>
      <c r="F1798" s="92"/>
      <c r="G1798" s="92"/>
      <c r="H1798" s="122"/>
      <c r="I1798" s="68" t="str">
        <f>IFERROR(MID(作者统计[[#This Row],[作者]],FIND("[",作者统计[[#This Row],[作者]],1)+1,FIND("]",作者统计[[#This Row],[作者]],1)-FIND("[",作者统计[[#This Row],[作者]],1)-1),"")</f>
        <v/>
      </c>
      <c r="J1798" s="68" t="str">
        <f>IFERROR(MID(作者统计[[#This Row],[作者]],FIND("(",作者统计[[#This Row],[作者]],1)+1,FIND(")",作者统计[[#This Row],[作者]],1)-FIND("(",作者统计[[#This Row],[作者]],1)-1),"")</f>
        <v/>
      </c>
    </row>
    <row r="1799" spans="2:10" ht="18" customHeight="1" x14ac:dyDescent="0.25">
      <c r="B1799" s="309"/>
      <c r="C1799" s="120"/>
      <c r="D1799" s="121"/>
      <c r="E1799" s="121"/>
      <c r="F1799" s="92"/>
      <c r="G1799" s="92"/>
      <c r="H1799" s="122"/>
      <c r="I1799" s="68" t="str">
        <f>IFERROR(MID(作者统计[[#This Row],[作者]],FIND("[",作者统计[[#This Row],[作者]],1)+1,FIND("]",作者统计[[#This Row],[作者]],1)-FIND("[",作者统计[[#This Row],[作者]],1)-1),"")</f>
        <v/>
      </c>
      <c r="J1799" s="68" t="str">
        <f>IFERROR(MID(作者统计[[#This Row],[作者]],FIND("(",作者统计[[#This Row],[作者]],1)+1,FIND(")",作者统计[[#This Row],[作者]],1)-FIND("(",作者统计[[#This Row],[作者]],1)-1),"")</f>
        <v/>
      </c>
    </row>
    <row r="1800" spans="2:10" ht="18" customHeight="1" x14ac:dyDescent="0.25">
      <c r="B1800" s="309"/>
      <c r="C1800" s="120"/>
      <c r="D1800" s="121"/>
      <c r="E1800" s="121"/>
      <c r="F1800" s="92"/>
      <c r="G1800" s="92"/>
      <c r="H1800" s="122"/>
      <c r="I1800" s="68" t="str">
        <f>IFERROR(MID(作者统计[[#This Row],[作者]],FIND("[",作者统计[[#This Row],[作者]],1)+1,FIND("]",作者统计[[#This Row],[作者]],1)-FIND("[",作者统计[[#This Row],[作者]],1)-1),"")</f>
        <v/>
      </c>
      <c r="J1800" s="68" t="str">
        <f>IFERROR(MID(作者统计[[#This Row],[作者]],FIND("(",作者统计[[#This Row],[作者]],1)+1,FIND(")",作者统计[[#This Row],[作者]],1)-FIND("(",作者统计[[#This Row],[作者]],1)-1),"")</f>
        <v/>
      </c>
    </row>
    <row r="1801" spans="2:10" ht="18" customHeight="1" x14ac:dyDescent="0.25">
      <c r="B1801" s="309"/>
      <c r="C1801" s="120"/>
      <c r="D1801" s="121"/>
      <c r="E1801" s="121"/>
      <c r="F1801" s="92"/>
      <c r="G1801" s="92"/>
      <c r="H1801" s="122"/>
      <c r="I1801" s="68" t="str">
        <f>IFERROR(MID(作者统计[[#This Row],[作者]],FIND("[",作者统计[[#This Row],[作者]],1)+1,FIND("]",作者统计[[#This Row],[作者]],1)-FIND("[",作者统计[[#This Row],[作者]],1)-1),"")</f>
        <v/>
      </c>
      <c r="J1801" s="68" t="str">
        <f>IFERROR(MID(作者统计[[#This Row],[作者]],FIND("(",作者统计[[#This Row],[作者]],1)+1,FIND(")",作者统计[[#This Row],[作者]],1)-FIND("(",作者统计[[#This Row],[作者]],1)-1),"")</f>
        <v/>
      </c>
    </row>
    <row r="1802" spans="2:10" ht="18" customHeight="1" x14ac:dyDescent="0.25">
      <c r="B1802" s="309"/>
      <c r="C1802" s="120"/>
      <c r="D1802" s="121"/>
      <c r="E1802" s="121"/>
      <c r="F1802" s="92"/>
      <c r="G1802" s="92"/>
      <c r="H1802" s="122"/>
      <c r="I1802" s="68" t="str">
        <f>IFERROR(MID(作者统计[[#This Row],[作者]],FIND("[",作者统计[[#This Row],[作者]],1)+1,FIND("]",作者统计[[#This Row],[作者]],1)-FIND("[",作者统计[[#This Row],[作者]],1)-1),"")</f>
        <v/>
      </c>
      <c r="J1802" s="68" t="str">
        <f>IFERROR(MID(作者统计[[#This Row],[作者]],FIND("(",作者统计[[#This Row],[作者]],1)+1,FIND(")",作者统计[[#This Row],[作者]],1)-FIND("(",作者统计[[#This Row],[作者]],1)-1),"")</f>
        <v/>
      </c>
    </row>
    <row r="1803" spans="2:10" ht="18" customHeight="1" x14ac:dyDescent="0.25">
      <c r="B1803" s="309"/>
      <c r="C1803" s="120"/>
      <c r="D1803" s="121"/>
      <c r="E1803" s="121"/>
      <c r="F1803" s="92"/>
      <c r="G1803" s="92"/>
      <c r="H1803" s="122"/>
      <c r="I1803" s="68" t="str">
        <f>IFERROR(MID(作者统计[[#This Row],[作者]],FIND("[",作者统计[[#This Row],[作者]],1)+1,FIND("]",作者统计[[#This Row],[作者]],1)-FIND("[",作者统计[[#This Row],[作者]],1)-1),"")</f>
        <v/>
      </c>
      <c r="J1803" s="68" t="str">
        <f>IFERROR(MID(作者统计[[#This Row],[作者]],FIND("(",作者统计[[#This Row],[作者]],1)+1,FIND(")",作者统计[[#This Row],[作者]],1)-FIND("(",作者统计[[#This Row],[作者]],1)-1),"")</f>
        <v/>
      </c>
    </row>
    <row r="1804" spans="2:10" ht="18" customHeight="1" x14ac:dyDescent="0.25">
      <c r="B1804" s="309"/>
      <c r="C1804" s="120"/>
      <c r="D1804" s="121"/>
      <c r="E1804" s="121"/>
      <c r="F1804" s="92"/>
      <c r="G1804" s="92"/>
      <c r="H1804" s="122"/>
      <c r="I1804" s="68" t="str">
        <f>IFERROR(MID(作者统计[[#This Row],[作者]],FIND("[",作者统计[[#This Row],[作者]],1)+1,FIND("]",作者统计[[#This Row],[作者]],1)-FIND("[",作者统计[[#This Row],[作者]],1)-1),"")</f>
        <v/>
      </c>
      <c r="J1804" s="68" t="str">
        <f>IFERROR(MID(作者统计[[#This Row],[作者]],FIND("(",作者统计[[#This Row],[作者]],1)+1,FIND(")",作者统计[[#This Row],[作者]],1)-FIND("(",作者统计[[#This Row],[作者]],1)-1),"")</f>
        <v/>
      </c>
    </row>
    <row r="1805" spans="2:10" ht="18" customHeight="1" x14ac:dyDescent="0.25">
      <c r="B1805" s="309"/>
      <c r="C1805" s="120"/>
      <c r="D1805" s="121"/>
      <c r="E1805" s="121"/>
      <c r="F1805" s="92"/>
      <c r="G1805" s="92"/>
      <c r="H1805" s="122"/>
      <c r="I1805" s="68" t="str">
        <f>IFERROR(MID(作者统计[[#This Row],[作者]],FIND("[",作者统计[[#This Row],[作者]],1)+1,FIND("]",作者统计[[#This Row],[作者]],1)-FIND("[",作者统计[[#This Row],[作者]],1)-1),"")</f>
        <v/>
      </c>
      <c r="J1805" s="68" t="str">
        <f>IFERROR(MID(作者统计[[#This Row],[作者]],FIND("(",作者统计[[#This Row],[作者]],1)+1,FIND(")",作者统计[[#This Row],[作者]],1)-FIND("(",作者统计[[#This Row],[作者]],1)-1),"")</f>
        <v/>
      </c>
    </row>
    <row r="1806" spans="2:10" ht="18" customHeight="1" x14ac:dyDescent="0.25">
      <c r="B1806" s="256"/>
      <c r="C1806" s="257"/>
      <c r="D1806" s="258"/>
      <c r="E1806" s="258"/>
      <c r="F1806" s="259"/>
      <c r="G1806" s="259"/>
      <c r="H1806" s="260"/>
      <c r="I1806" s="261" t="str">
        <f>IFERROR(MID(作者统计[[#This Row],[作者]],FIND("[",作者统计[[#This Row],[作者]],1)+1,FIND("]",作者统计[[#This Row],[作者]],1)-FIND("[",作者统计[[#This Row],[作者]],1)-1),"")</f>
        <v/>
      </c>
      <c r="J180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07" spans="2:10" ht="18" customHeight="1" x14ac:dyDescent="0.25">
      <c r="B1807" s="256"/>
      <c r="C1807" s="257"/>
      <c r="D1807" s="258"/>
      <c r="E1807" s="258"/>
      <c r="F1807" s="259"/>
      <c r="G1807" s="259"/>
      <c r="H1807" s="260"/>
      <c r="I1807" s="261" t="str">
        <f>IFERROR(MID(作者统计[[#This Row],[作者]],FIND("[",作者统计[[#This Row],[作者]],1)+1,FIND("]",作者统计[[#This Row],[作者]],1)-FIND("[",作者统计[[#This Row],[作者]],1)-1),"")</f>
        <v/>
      </c>
      <c r="J180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08" spans="2:10" ht="18" customHeight="1" x14ac:dyDescent="0.25">
      <c r="B1808" s="256"/>
      <c r="C1808" s="257"/>
      <c r="D1808" s="258"/>
      <c r="E1808" s="258"/>
      <c r="F1808" s="259"/>
      <c r="G1808" s="259"/>
      <c r="H1808" s="260"/>
      <c r="I1808" s="261" t="str">
        <f>IFERROR(MID(作者统计[[#This Row],[作者]],FIND("[",作者统计[[#This Row],[作者]],1)+1,FIND("]",作者统计[[#This Row],[作者]],1)-FIND("[",作者统计[[#This Row],[作者]],1)-1),"")</f>
        <v/>
      </c>
      <c r="J180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09" spans="2:10" ht="18" customHeight="1" x14ac:dyDescent="0.25">
      <c r="B1809" s="256"/>
      <c r="C1809" s="257"/>
      <c r="D1809" s="258"/>
      <c r="E1809" s="258"/>
      <c r="F1809" s="259"/>
      <c r="G1809" s="259"/>
      <c r="H1809" s="260"/>
      <c r="I1809" s="261" t="str">
        <f>IFERROR(MID(作者统计[[#This Row],[作者]],FIND("[",作者统计[[#This Row],[作者]],1)+1,FIND("]",作者统计[[#This Row],[作者]],1)-FIND("[",作者统计[[#This Row],[作者]],1)-1),"")</f>
        <v/>
      </c>
      <c r="J180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0" spans="2:10" ht="18" customHeight="1" x14ac:dyDescent="0.25">
      <c r="B1810" s="256"/>
      <c r="C1810" s="257"/>
      <c r="D1810" s="258"/>
      <c r="E1810" s="258"/>
      <c r="F1810" s="259"/>
      <c r="G1810" s="259"/>
      <c r="H1810" s="260"/>
      <c r="I1810" s="261" t="str">
        <f>IFERROR(MID(作者统计[[#This Row],[作者]],FIND("[",作者统计[[#This Row],[作者]],1)+1,FIND("]",作者统计[[#This Row],[作者]],1)-FIND("[",作者统计[[#This Row],[作者]],1)-1),"")</f>
        <v/>
      </c>
      <c r="J181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1" spans="2:10" ht="18" customHeight="1" x14ac:dyDescent="0.25">
      <c r="B1811" s="256"/>
      <c r="C1811" s="257"/>
      <c r="D1811" s="258"/>
      <c r="E1811" s="258"/>
      <c r="F1811" s="259"/>
      <c r="G1811" s="259"/>
      <c r="H1811" s="260"/>
      <c r="I1811" s="261" t="str">
        <f>IFERROR(MID(作者统计[[#This Row],[作者]],FIND("[",作者统计[[#This Row],[作者]],1)+1,FIND("]",作者统计[[#This Row],[作者]],1)-FIND("[",作者统计[[#This Row],[作者]],1)-1),"")</f>
        <v/>
      </c>
      <c r="J181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2" spans="2:10" ht="18" customHeight="1" x14ac:dyDescent="0.25">
      <c r="B1812" s="256"/>
      <c r="C1812" s="257"/>
      <c r="D1812" s="258"/>
      <c r="E1812" s="258"/>
      <c r="F1812" s="259"/>
      <c r="G1812" s="259"/>
      <c r="H1812" s="260"/>
      <c r="I1812" s="261" t="str">
        <f>IFERROR(MID(作者统计[[#This Row],[作者]],FIND("[",作者统计[[#This Row],[作者]],1)+1,FIND("]",作者统计[[#This Row],[作者]],1)-FIND("[",作者统计[[#This Row],[作者]],1)-1),"")</f>
        <v/>
      </c>
      <c r="J181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3" spans="2:10" ht="18" customHeight="1" x14ac:dyDescent="0.25">
      <c r="B1813" s="256"/>
      <c r="C1813" s="257"/>
      <c r="D1813" s="258"/>
      <c r="E1813" s="258"/>
      <c r="F1813" s="259"/>
      <c r="G1813" s="259"/>
      <c r="H1813" s="260"/>
      <c r="I1813" s="261" t="str">
        <f>IFERROR(MID(作者统计[[#This Row],[作者]],FIND("[",作者统计[[#This Row],[作者]],1)+1,FIND("]",作者统计[[#This Row],[作者]],1)-FIND("[",作者统计[[#This Row],[作者]],1)-1),"")</f>
        <v/>
      </c>
      <c r="J181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4" spans="2:10" ht="18" customHeight="1" x14ac:dyDescent="0.25">
      <c r="B1814" s="256"/>
      <c r="C1814" s="257"/>
      <c r="D1814" s="258"/>
      <c r="E1814" s="258"/>
      <c r="F1814" s="259"/>
      <c r="G1814" s="259"/>
      <c r="H1814" s="260"/>
      <c r="I1814" s="261" t="str">
        <f>IFERROR(MID(作者统计[[#This Row],[作者]],FIND("[",作者统计[[#This Row],[作者]],1)+1,FIND("]",作者统计[[#This Row],[作者]],1)-FIND("[",作者统计[[#This Row],[作者]],1)-1),"")</f>
        <v/>
      </c>
      <c r="J181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5" spans="2:10" ht="18" customHeight="1" x14ac:dyDescent="0.25">
      <c r="B1815" s="256"/>
      <c r="C1815" s="257"/>
      <c r="D1815" s="258"/>
      <c r="E1815" s="258"/>
      <c r="F1815" s="259"/>
      <c r="G1815" s="259"/>
      <c r="H1815" s="260"/>
      <c r="I1815" s="261" t="str">
        <f>IFERROR(MID(作者统计[[#This Row],[作者]],FIND("[",作者统计[[#This Row],[作者]],1)+1,FIND("]",作者统计[[#This Row],[作者]],1)-FIND("[",作者统计[[#This Row],[作者]],1)-1),"")</f>
        <v/>
      </c>
      <c r="J181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6" spans="2:10" ht="18" customHeight="1" x14ac:dyDescent="0.25">
      <c r="B1816" s="256"/>
      <c r="C1816" s="257"/>
      <c r="D1816" s="258"/>
      <c r="E1816" s="258"/>
      <c r="F1816" s="259"/>
      <c r="G1816" s="259"/>
      <c r="H1816" s="260"/>
      <c r="I1816" s="261" t="str">
        <f>IFERROR(MID(作者统计[[#This Row],[作者]],FIND("[",作者统计[[#This Row],[作者]],1)+1,FIND("]",作者统计[[#This Row],[作者]],1)-FIND("[",作者统计[[#This Row],[作者]],1)-1),"")</f>
        <v/>
      </c>
      <c r="J181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7" spans="2:10" ht="18" customHeight="1" x14ac:dyDescent="0.25">
      <c r="B1817" s="256"/>
      <c r="C1817" s="257"/>
      <c r="D1817" s="258"/>
      <c r="E1817" s="258"/>
      <c r="F1817" s="259"/>
      <c r="G1817" s="259"/>
      <c r="H1817" s="260"/>
      <c r="I1817" s="261" t="str">
        <f>IFERROR(MID(作者统计[[#This Row],[作者]],FIND("[",作者统计[[#This Row],[作者]],1)+1,FIND("]",作者统计[[#This Row],[作者]],1)-FIND("[",作者统计[[#This Row],[作者]],1)-1),"")</f>
        <v/>
      </c>
      <c r="J181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8" spans="2:10" ht="18" customHeight="1" x14ac:dyDescent="0.25">
      <c r="B1818" s="256"/>
      <c r="C1818" s="257"/>
      <c r="D1818" s="258"/>
      <c r="E1818" s="258"/>
      <c r="F1818" s="259"/>
      <c r="G1818" s="259"/>
      <c r="H1818" s="260"/>
      <c r="I1818" s="261" t="str">
        <f>IFERROR(MID(作者统计[[#This Row],[作者]],FIND("[",作者统计[[#This Row],[作者]],1)+1,FIND("]",作者统计[[#This Row],[作者]],1)-FIND("[",作者统计[[#This Row],[作者]],1)-1),"")</f>
        <v/>
      </c>
      <c r="J181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19" spans="2:10" ht="18" customHeight="1" x14ac:dyDescent="0.25">
      <c r="B1819" s="256"/>
      <c r="C1819" s="257"/>
      <c r="D1819" s="258"/>
      <c r="E1819" s="258"/>
      <c r="F1819" s="259"/>
      <c r="G1819" s="259"/>
      <c r="H1819" s="260"/>
      <c r="I1819" s="261" t="str">
        <f>IFERROR(MID(作者统计[[#This Row],[作者]],FIND("[",作者统计[[#This Row],[作者]],1)+1,FIND("]",作者统计[[#This Row],[作者]],1)-FIND("[",作者统计[[#This Row],[作者]],1)-1),"")</f>
        <v/>
      </c>
      <c r="J181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0" spans="2:10" ht="18" customHeight="1" x14ac:dyDescent="0.25">
      <c r="B1820" s="256"/>
      <c r="C1820" s="257"/>
      <c r="D1820" s="258"/>
      <c r="E1820" s="258"/>
      <c r="F1820" s="259"/>
      <c r="G1820" s="259"/>
      <c r="H1820" s="260"/>
      <c r="I1820" s="261" t="str">
        <f>IFERROR(MID(作者统计[[#This Row],[作者]],FIND("[",作者统计[[#This Row],[作者]],1)+1,FIND("]",作者统计[[#This Row],[作者]],1)-FIND("[",作者统计[[#This Row],[作者]],1)-1),"")</f>
        <v/>
      </c>
      <c r="J182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1" spans="2:10" ht="18" customHeight="1" x14ac:dyDescent="0.25">
      <c r="B1821" s="256"/>
      <c r="C1821" s="257"/>
      <c r="D1821" s="258"/>
      <c r="E1821" s="258"/>
      <c r="F1821" s="259"/>
      <c r="G1821" s="259"/>
      <c r="H1821" s="260"/>
      <c r="I1821" s="261" t="str">
        <f>IFERROR(MID(作者统计[[#This Row],[作者]],FIND("[",作者统计[[#This Row],[作者]],1)+1,FIND("]",作者统计[[#This Row],[作者]],1)-FIND("[",作者统计[[#This Row],[作者]],1)-1),"")</f>
        <v/>
      </c>
      <c r="J182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2" spans="2:10" ht="18" customHeight="1" x14ac:dyDescent="0.25">
      <c r="B1822" s="256"/>
      <c r="C1822" s="257"/>
      <c r="D1822" s="258"/>
      <c r="E1822" s="258"/>
      <c r="F1822" s="259"/>
      <c r="G1822" s="259"/>
      <c r="H1822" s="260"/>
      <c r="I1822" s="261" t="str">
        <f>IFERROR(MID(作者统计[[#This Row],[作者]],FIND("[",作者统计[[#This Row],[作者]],1)+1,FIND("]",作者统计[[#This Row],[作者]],1)-FIND("[",作者统计[[#This Row],[作者]],1)-1),"")</f>
        <v/>
      </c>
      <c r="J182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3" spans="2:10" ht="18" customHeight="1" x14ac:dyDescent="0.25">
      <c r="B1823" s="256"/>
      <c r="C1823" s="257"/>
      <c r="D1823" s="258"/>
      <c r="E1823" s="258"/>
      <c r="F1823" s="259"/>
      <c r="G1823" s="259"/>
      <c r="H1823" s="260"/>
      <c r="I1823" s="261" t="str">
        <f>IFERROR(MID(作者统计[[#This Row],[作者]],FIND("[",作者统计[[#This Row],[作者]],1)+1,FIND("]",作者统计[[#This Row],[作者]],1)-FIND("[",作者统计[[#This Row],[作者]],1)-1),"")</f>
        <v/>
      </c>
      <c r="J182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4" spans="2:10" ht="18" customHeight="1" x14ac:dyDescent="0.25">
      <c r="B1824" s="256"/>
      <c r="C1824" s="257"/>
      <c r="D1824" s="258"/>
      <c r="E1824" s="258"/>
      <c r="F1824" s="259"/>
      <c r="G1824" s="259"/>
      <c r="H1824" s="260"/>
      <c r="I1824" s="261" t="str">
        <f>IFERROR(MID(作者统计[[#This Row],[作者]],FIND("[",作者统计[[#This Row],[作者]],1)+1,FIND("]",作者统计[[#This Row],[作者]],1)-FIND("[",作者统计[[#This Row],[作者]],1)-1),"")</f>
        <v/>
      </c>
      <c r="J182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5" spans="2:10" ht="18" customHeight="1" x14ac:dyDescent="0.25">
      <c r="B1825" s="256"/>
      <c r="C1825" s="257"/>
      <c r="D1825" s="258"/>
      <c r="E1825" s="258"/>
      <c r="F1825" s="259"/>
      <c r="G1825" s="259"/>
      <c r="H1825" s="260"/>
      <c r="I1825" s="261" t="str">
        <f>IFERROR(MID(作者统计[[#This Row],[作者]],FIND("[",作者统计[[#This Row],[作者]],1)+1,FIND("]",作者统计[[#This Row],[作者]],1)-FIND("[",作者统计[[#This Row],[作者]],1)-1),"")</f>
        <v/>
      </c>
      <c r="J182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6" spans="2:10" ht="18" customHeight="1" x14ac:dyDescent="0.25">
      <c r="B1826" s="256"/>
      <c r="C1826" s="257"/>
      <c r="D1826" s="258"/>
      <c r="E1826" s="258"/>
      <c r="F1826" s="259"/>
      <c r="G1826" s="259"/>
      <c r="H1826" s="260"/>
      <c r="I1826" s="261" t="str">
        <f>IFERROR(MID(作者统计[[#This Row],[作者]],FIND("[",作者统计[[#This Row],[作者]],1)+1,FIND("]",作者统计[[#This Row],[作者]],1)-FIND("[",作者统计[[#This Row],[作者]],1)-1),"")</f>
        <v/>
      </c>
      <c r="J182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7" spans="2:10" ht="18" customHeight="1" x14ac:dyDescent="0.25">
      <c r="B1827" s="256"/>
      <c r="C1827" s="257"/>
      <c r="D1827" s="258"/>
      <c r="E1827" s="258"/>
      <c r="F1827" s="259"/>
      <c r="G1827" s="259"/>
      <c r="H1827" s="260"/>
      <c r="I1827" s="261" t="str">
        <f>IFERROR(MID(作者统计[[#This Row],[作者]],FIND("[",作者统计[[#This Row],[作者]],1)+1,FIND("]",作者统计[[#This Row],[作者]],1)-FIND("[",作者统计[[#This Row],[作者]],1)-1),"")</f>
        <v/>
      </c>
      <c r="J182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8" spans="2:10" ht="18" customHeight="1" x14ac:dyDescent="0.25">
      <c r="B1828" s="256"/>
      <c r="C1828" s="257"/>
      <c r="D1828" s="258"/>
      <c r="E1828" s="258"/>
      <c r="F1828" s="259"/>
      <c r="G1828" s="259"/>
      <c r="H1828" s="260"/>
      <c r="I1828" s="261" t="str">
        <f>IFERROR(MID(作者统计[[#This Row],[作者]],FIND("[",作者统计[[#This Row],[作者]],1)+1,FIND("]",作者统计[[#This Row],[作者]],1)-FIND("[",作者统计[[#This Row],[作者]],1)-1),"")</f>
        <v/>
      </c>
      <c r="J182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29" spans="2:10" ht="18" customHeight="1" x14ac:dyDescent="0.25">
      <c r="B1829" s="256"/>
      <c r="C1829" s="257"/>
      <c r="D1829" s="258"/>
      <c r="E1829" s="258"/>
      <c r="F1829" s="259"/>
      <c r="G1829" s="259"/>
      <c r="H1829" s="260"/>
      <c r="I1829" s="261" t="str">
        <f>IFERROR(MID(作者统计[[#This Row],[作者]],FIND("[",作者统计[[#This Row],[作者]],1)+1,FIND("]",作者统计[[#This Row],[作者]],1)-FIND("[",作者统计[[#This Row],[作者]],1)-1),"")</f>
        <v/>
      </c>
      <c r="J182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0" spans="2:10" ht="18" customHeight="1" x14ac:dyDescent="0.25">
      <c r="B1830" s="256"/>
      <c r="C1830" s="257"/>
      <c r="D1830" s="258"/>
      <c r="E1830" s="258"/>
      <c r="F1830" s="259"/>
      <c r="G1830" s="259"/>
      <c r="H1830" s="260"/>
      <c r="I1830" s="261" t="str">
        <f>IFERROR(MID(作者统计[[#This Row],[作者]],FIND("[",作者统计[[#This Row],[作者]],1)+1,FIND("]",作者统计[[#This Row],[作者]],1)-FIND("[",作者统计[[#This Row],[作者]],1)-1),"")</f>
        <v/>
      </c>
      <c r="J183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1" spans="2:10" ht="18" customHeight="1" x14ac:dyDescent="0.25">
      <c r="B1831" s="256"/>
      <c r="C1831" s="257"/>
      <c r="D1831" s="258"/>
      <c r="E1831" s="258"/>
      <c r="F1831" s="259"/>
      <c r="G1831" s="259"/>
      <c r="H1831" s="260"/>
      <c r="I1831" s="261" t="str">
        <f>IFERROR(MID(作者统计[[#This Row],[作者]],FIND("[",作者统计[[#This Row],[作者]],1)+1,FIND("]",作者统计[[#This Row],[作者]],1)-FIND("[",作者统计[[#This Row],[作者]],1)-1),"")</f>
        <v/>
      </c>
      <c r="J183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2" spans="2:10" ht="18" customHeight="1" x14ac:dyDescent="0.25">
      <c r="B1832" s="256"/>
      <c r="C1832" s="257"/>
      <c r="D1832" s="258"/>
      <c r="E1832" s="258"/>
      <c r="F1832" s="259"/>
      <c r="G1832" s="259"/>
      <c r="H1832" s="260"/>
      <c r="I1832" s="261" t="str">
        <f>IFERROR(MID(作者统计[[#This Row],[作者]],FIND("[",作者统计[[#This Row],[作者]],1)+1,FIND("]",作者统计[[#This Row],[作者]],1)-FIND("[",作者统计[[#This Row],[作者]],1)-1),"")</f>
        <v/>
      </c>
      <c r="J183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3" spans="2:10" ht="18" customHeight="1" x14ac:dyDescent="0.25">
      <c r="B1833" s="256"/>
      <c r="C1833" s="257"/>
      <c r="D1833" s="258"/>
      <c r="E1833" s="258"/>
      <c r="F1833" s="259"/>
      <c r="G1833" s="259"/>
      <c r="H1833" s="260"/>
      <c r="I1833" s="261" t="str">
        <f>IFERROR(MID(作者统计[[#This Row],[作者]],FIND("[",作者统计[[#This Row],[作者]],1)+1,FIND("]",作者统计[[#This Row],[作者]],1)-FIND("[",作者统计[[#This Row],[作者]],1)-1),"")</f>
        <v/>
      </c>
      <c r="J183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4" spans="2:10" ht="18" customHeight="1" x14ac:dyDescent="0.25">
      <c r="B1834" s="256"/>
      <c r="C1834" s="257"/>
      <c r="D1834" s="258"/>
      <c r="E1834" s="258"/>
      <c r="F1834" s="259"/>
      <c r="G1834" s="259"/>
      <c r="H1834" s="260"/>
      <c r="I1834" s="261" t="str">
        <f>IFERROR(MID(作者统计[[#This Row],[作者]],FIND("[",作者统计[[#This Row],[作者]],1)+1,FIND("]",作者统计[[#This Row],[作者]],1)-FIND("[",作者统计[[#This Row],[作者]],1)-1),"")</f>
        <v/>
      </c>
      <c r="J18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5" spans="2:10" ht="18" customHeight="1" x14ac:dyDescent="0.25">
      <c r="B1835" s="256"/>
      <c r="C1835" s="257"/>
      <c r="D1835" s="258"/>
      <c r="E1835" s="258"/>
      <c r="F1835" s="259"/>
      <c r="G1835" s="259"/>
      <c r="H1835" s="260"/>
      <c r="I1835" s="261" t="str">
        <f>IFERROR(MID(作者统计[[#This Row],[作者]],FIND("[",作者统计[[#This Row],[作者]],1)+1,FIND("]",作者统计[[#This Row],[作者]],1)-FIND("[",作者统计[[#This Row],[作者]],1)-1),"")</f>
        <v/>
      </c>
      <c r="J183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6" spans="2:10" ht="18" customHeight="1" x14ac:dyDescent="0.25">
      <c r="B1836" s="256"/>
      <c r="C1836" s="257"/>
      <c r="D1836" s="258"/>
      <c r="E1836" s="258"/>
      <c r="F1836" s="259"/>
      <c r="G1836" s="259"/>
      <c r="H1836" s="260"/>
      <c r="I1836" s="261" t="str">
        <f>IFERROR(MID(作者统计[[#This Row],[作者]],FIND("[",作者统计[[#This Row],[作者]],1)+1,FIND("]",作者统计[[#This Row],[作者]],1)-FIND("[",作者统计[[#This Row],[作者]],1)-1),"")</f>
        <v/>
      </c>
      <c r="J183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7" spans="2:10" ht="18" customHeight="1" x14ac:dyDescent="0.25">
      <c r="B1837" s="256"/>
      <c r="C1837" s="257"/>
      <c r="D1837" s="258"/>
      <c r="E1837" s="258"/>
      <c r="F1837" s="259"/>
      <c r="G1837" s="259"/>
      <c r="H1837" s="260"/>
      <c r="I1837" s="261" t="str">
        <f>IFERROR(MID(作者统计[[#This Row],[作者]],FIND("[",作者统计[[#This Row],[作者]],1)+1,FIND("]",作者统计[[#This Row],[作者]],1)-FIND("[",作者统计[[#This Row],[作者]],1)-1),"")</f>
        <v/>
      </c>
      <c r="J183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8" spans="2:10" ht="18" customHeight="1" x14ac:dyDescent="0.25">
      <c r="B1838" s="256"/>
      <c r="C1838" s="257"/>
      <c r="D1838" s="258"/>
      <c r="E1838" s="258"/>
      <c r="F1838" s="259"/>
      <c r="G1838" s="259"/>
      <c r="H1838" s="260"/>
      <c r="I1838" s="261" t="str">
        <f>IFERROR(MID(作者统计[[#This Row],[作者]],FIND("[",作者统计[[#This Row],[作者]],1)+1,FIND("]",作者统计[[#This Row],[作者]],1)-FIND("[",作者统计[[#This Row],[作者]],1)-1),"")</f>
        <v/>
      </c>
      <c r="J183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39" spans="2:10" ht="18" customHeight="1" x14ac:dyDescent="0.25">
      <c r="B1839" s="256"/>
      <c r="C1839" s="257"/>
      <c r="D1839" s="258"/>
      <c r="E1839" s="258"/>
      <c r="F1839" s="259"/>
      <c r="G1839" s="259"/>
      <c r="H1839" s="260"/>
      <c r="I1839" s="261" t="str">
        <f>IFERROR(MID(作者统计[[#This Row],[作者]],FIND("[",作者统计[[#This Row],[作者]],1)+1,FIND("]",作者统计[[#This Row],[作者]],1)-FIND("[",作者统计[[#This Row],[作者]],1)-1),"")</f>
        <v/>
      </c>
      <c r="J183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0" spans="2:10" ht="18" customHeight="1" x14ac:dyDescent="0.25">
      <c r="B1840" s="256"/>
      <c r="C1840" s="257"/>
      <c r="D1840" s="258"/>
      <c r="E1840" s="258"/>
      <c r="F1840" s="259"/>
      <c r="G1840" s="259"/>
      <c r="H1840" s="260"/>
      <c r="I1840" s="261" t="str">
        <f>IFERROR(MID(作者统计[[#This Row],[作者]],FIND("[",作者统计[[#This Row],[作者]],1)+1,FIND("]",作者统计[[#This Row],[作者]],1)-FIND("[",作者统计[[#This Row],[作者]],1)-1),"")</f>
        <v/>
      </c>
      <c r="J184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1" spans="2:10" ht="18" customHeight="1" x14ac:dyDescent="0.25">
      <c r="B1841" s="256"/>
      <c r="C1841" s="257"/>
      <c r="D1841" s="258"/>
      <c r="E1841" s="258"/>
      <c r="F1841" s="259"/>
      <c r="G1841" s="259"/>
      <c r="H1841" s="260"/>
      <c r="I1841" s="261" t="str">
        <f>IFERROR(MID(作者统计[[#This Row],[作者]],FIND("[",作者统计[[#This Row],[作者]],1)+1,FIND("]",作者统计[[#This Row],[作者]],1)-FIND("[",作者统计[[#This Row],[作者]],1)-1),"")</f>
        <v/>
      </c>
      <c r="J184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2" spans="2:10" ht="18" customHeight="1" x14ac:dyDescent="0.25">
      <c r="B1842" s="256"/>
      <c r="C1842" s="257"/>
      <c r="D1842" s="258"/>
      <c r="E1842" s="258"/>
      <c r="F1842" s="259"/>
      <c r="G1842" s="259"/>
      <c r="H1842" s="260"/>
      <c r="I1842" s="261" t="str">
        <f>IFERROR(MID(作者统计[[#This Row],[作者]],FIND("[",作者统计[[#This Row],[作者]],1)+1,FIND("]",作者统计[[#This Row],[作者]],1)-FIND("[",作者统计[[#This Row],[作者]],1)-1),"")</f>
        <v/>
      </c>
      <c r="J184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3" spans="2:10" ht="18" customHeight="1" x14ac:dyDescent="0.25">
      <c r="B1843" s="256"/>
      <c r="C1843" s="257"/>
      <c r="D1843" s="258"/>
      <c r="E1843" s="258"/>
      <c r="F1843" s="259"/>
      <c r="G1843" s="259"/>
      <c r="H1843" s="260"/>
      <c r="I1843" s="261" t="str">
        <f>IFERROR(MID(作者统计[[#This Row],[作者]],FIND("[",作者统计[[#This Row],[作者]],1)+1,FIND("]",作者统计[[#This Row],[作者]],1)-FIND("[",作者统计[[#This Row],[作者]],1)-1),"")</f>
        <v/>
      </c>
      <c r="J184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4" spans="2:10" ht="18" customHeight="1" x14ac:dyDescent="0.25">
      <c r="B1844" s="256"/>
      <c r="C1844" s="257"/>
      <c r="D1844" s="258"/>
      <c r="E1844" s="258"/>
      <c r="F1844" s="259"/>
      <c r="G1844" s="259"/>
      <c r="H1844" s="260"/>
      <c r="I1844" s="261" t="str">
        <f>IFERROR(MID(作者统计[[#This Row],[作者]],FIND("[",作者统计[[#This Row],[作者]],1)+1,FIND("]",作者统计[[#This Row],[作者]],1)-FIND("[",作者统计[[#This Row],[作者]],1)-1),"")</f>
        <v/>
      </c>
      <c r="J184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5" spans="2:10" ht="18" customHeight="1" x14ac:dyDescent="0.25">
      <c r="B1845" s="256"/>
      <c r="C1845" s="257"/>
      <c r="D1845" s="258"/>
      <c r="E1845" s="258"/>
      <c r="F1845" s="259"/>
      <c r="G1845" s="259"/>
      <c r="H1845" s="260"/>
      <c r="I1845" s="261" t="str">
        <f>IFERROR(MID(作者统计[[#This Row],[作者]],FIND("[",作者统计[[#This Row],[作者]],1)+1,FIND("]",作者统计[[#This Row],[作者]],1)-FIND("[",作者统计[[#This Row],[作者]],1)-1),"")</f>
        <v/>
      </c>
      <c r="J184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6" spans="2:10" ht="18" customHeight="1" x14ac:dyDescent="0.25">
      <c r="B1846" s="256"/>
      <c r="C1846" s="257"/>
      <c r="D1846" s="258"/>
      <c r="E1846" s="258"/>
      <c r="F1846" s="259"/>
      <c r="G1846" s="259"/>
      <c r="H1846" s="260"/>
      <c r="I1846" s="261" t="str">
        <f>IFERROR(MID(作者统计[[#This Row],[作者]],FIND("[",作者统计[[#This Row],[作者]],1)+1,FIND("]",作者统计[[#This Row],[作者]],1)-FIND("[",作者统计[[#This Row],[作者]],1)-1),"")</f>
        <v/>
      </c>
      <c r="J184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7" spans="2:10" ht="18" customHeight="1" x14ac:dyDescent="0.25">
      <c r="B1847" s="256"/>
      <c r="C1847" s="257"/>
      <c r="D1847" s="258"/>
      <c r="E1847" s="258"/>
      <c r="F1847" s="259"/>
      <c r="G1847" s="259"/>
      <c r="H1847" s="260"/>
      <c r="I1847" s="261" t="str">
        <f>IFERROR(MID(作者统计[[#This Row],[作者]],FIND("[",作者统计[[#This Row],[作者]],1)+1,FIND("]",作者统计[[#This Row],[作者]],1)-FIND("[",作者统计[[#This Row],[作者]],1)-1),"")</f>
        <v/>
      </c>
      <c r="J184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8" spans="2:10" ht="18" customHeight="1" x14ac:dyDescent="0.25">
      <c r="B1848" s="256"/>
      <c r="C1848" s="257"/>
      <c r="D1848" s="258"/>
      <c r="E1848" s="258"/>
      <c r="F1848" s="259"/>
      <c r="G1848" s="259"/>
      <c r="H1848" s="260"/>
      <c r="I1848" s="261" t="str">
        <f>IFERROR(MID(作者统计[[#This Row],[作者]],FIND("[",作者统计[[#This Row],[作者]],1)+1,FIND("]",作者统计[[#This Row],[作者]],1)-FIND("[",作者统计[[#This Row],[作者]],1)-1),"")</f>
        <v/>
      </c>
      <c r="J184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49" spans="2:10" ht="18" customHeight="1" x14ac:dyDescent="0.25">
      <c r="B1849" s="256"/>
      <c r="C1849" s="257"/>
      <c r="D1849" s="258"/>
      <c r="E1849" s="258"/>
      <c r="F1849" s="259"/>
      <c r="G1849" s="259"/>
      <c r="H1849" s="260"/>
      <c r="I1849" s="261" t="str">
        <f>IFERROR(MID(作者统计[[#This Row],[作者]],FIND("[",作者统计[[#This Row],[作者]],1)+1,FIND("]",作者统计[[#This Row],[作者]],1)-FIND("[",作者统计[[#This Row],[作者]],1)-1),"")</f>
        <v/>
      </c>
      <c r="J184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0" spans="2:10" ht="18" customHeight="1" x14ac:dyDescent="0.25">
      <c r="B1850" s="256"/>
      <c r="C1850" s="257"/>
      <c r="D1850" s="258"/>
      <c r="E1850" s="258"/>
      <c r="F1850" s="259"/>
      <c r="G1850" s="259"/>
      <c r="H1850" s="260"/>
      <c r="I1850" s="261" t="str">
        <f>IFERROR(MID(作者统计[[#This Row],[作者]],FIND("[",作者统计[[#This Row],[作者]],1)+1,FIND("]",作者统计[[#This Row],[作者]],1)-FIND("[",作者统计[[#This Row],[作者]],1)-1),"")</f>
        <v/>
      </c>
      <c r="J185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1" spans="2:10" ht="18" customHeight="1" x14ac:dyDescent="0.25">
      <c r="B1851" s="256"/>
      <c r="C1851" s="257"/>
      <c r="D1851" s="258"/>
      <c r="E1851" s="258"/>
      <c r="F1851" s="259"/>
      <c r="G1851" s="259"/>
      <c r="H1851" s="260"/>
      <c r="I1851" s="261" t="str">
        <f>IFERROR(MID(作者统计[[#This Row],[作者]],FIND("[",作者统计[[#This Row],[作者]],1)+1,FIND("]",作者统计[[#This Row],[作者]],1)-FIND("[",作者统计[[#This Row],[作者]],1)-1),"")</f>
        <v/>
      </c>
      <c r="J185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2" spans="2:10" ht="18" customHeight="1" x14ac:dyDescent="0.25">
      <c r="B1852" s="256"/>
      <c r="C1852" s="257"/>
      <c r="D1852" s="258"/>
      <c r="E1852" s="258"/>
      <c r="F1852" s="259"/>
      <c r="G1852" s="259"/>
      <c r="H1852" s="260"/>
      <c r="I1852" s="261" t="str">
        <f>IFERROR(MID(作者统计[[#This Row],[作者]],FIND("[",作者统计[[#This Row],[作者]],1)+1,FIND("]",作者统计[[#This Row],[作者]],1)-FIND("[",作者统计[[#This Row],[作者]],1)-1),"")</f>
        <v/>
      </c>
      <c r="J185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3" spans="2:10" ht="18" customHeight="1" x14ac:dyDescent="0.25">
      <c r="B1853" s="256"/>
      <c r="C1853" s="257"/>
      <c r="D1853" s="258"/>
      <c r="E1853" s="258"/>
      <c r="F1853" s="259"/>
      <c r="G1853" s="259"/>
      <c r="H1853" s="260"/>
      <c r="I1853" s="261" t="str">
        <f>IFERROR(MID(作者统计[[#This Row],[作者]],FIND("[",作者统计[[#This Row],[作者]],1)+1,FIND("]",作者统计[[#This Row],[作者]],1)-FIND("[",作者统计[[#This Row],[作者]],1)-1),"")</f>
        <v/>
      </c>
      <c r="J185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4" spans="2:10" ht="18" customHeight="1" x14ac:dyDescent="0.25">
      <c r="B1854" s="256"/>
      <c r="C1854" s="257"/>
      <c r="D1854" s="258"/>
      <c r="E1854" s="258"/>
      <c r="F1854" s="259"/>
      <c r="G1854" s="259"/>
      <c r="H1854" s="260"/>
      <c r="I1854" s="261" t="str">
        <f>IFERROR(MID(作者统计[[#This Row],[作者]],FIND("[",作者统计[[#This Row],[作者]],1)+1,FIND("]",作者统计[[#This Row],[作者]],1)-FIND("[",作者统计[[#This Row],[作者]],1)-1),"")</f>
        <v/>
      </c>
      <c r="J185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5" spans="2:10" ht="18" customHeight="1" x14ac:dyDescent="0.25">
      <c r="B1855" s="256"/>
      <c r="C1855" s="257"/>
      <c r="D1855" s="258"/>
      <c r="E1855" s="258"/>
      <c r="F1855" s="259"/>
      <c r="G1855" s="259"/>
      <c r="H1855" s="260"/>
      <c r="I1855" s="261" t="str">
        <f>IFERROR(MID(作者统计[[#This Row],[作者]],FIND("[",作者统计[[#This Row],[作者]],1)+1,FIND("]",作者统计[[#This Row],[作者]],1)-FIND("[",作者统计[[#This Row],[作者]],1)-1),"")</f>
        <v/>
      </c>
      <c r="J185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6" spans="2:10" ht="18" customHeight="1" x14ac:dyDescent="0.25">
      <c r="B1856" s="256"/>
      <c r="C1856" s="257"/>
      <c r="D1856" s="258"/>
      <c r="E1856" s="258"/>
      <c r="F1856" s="259"/>
      <c r="G1856" s="259"/>
      <c r="H1856" s="260"/>
      <c r="I1856" s="261" t="str">
        <f>IFERROR(MID(作者统计[[#This Row],[作者]],FIND("[",作者统计[[#This Row],[作者]],1)+1,FIND("]",作者统计[[#This Row],[作者]],1)-FIND("[",作者统计[[#This Row],[作者]],1)-1),"")</f>
        <v/>
      </c>
      <c r="J185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7" spans="2:10" ht="18" customHeight="1" x14ac:dyDescent="0.25">
      <c r="B1857" s="256"/>
      <c r="C1857" s="257"/>
      <c r="D1857" s="258"/>
      <c r="E1857" s="258"/>
      <c r="F1857" s="259"/>
      <c r="G1857" s="259"/>
      <c r="H1857" s="260"/>
      <c r="I1857" s="261" t="str">
        <f>IFERROR(MID(作者统计[[#This Row],[作者]],FIND("[",作者统计[[#This Row],[作者]],1)+1,FIND("]",作者统计[[#This Row],[作者]],1)-FIND("[",作者统计[[#This Row],[作者]],1)-1),"")</f>
        <v/>
      </c>
      <c r="J185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8" spans="2:10" ht="18" customHeight="1" x14ac:dyDescent="0.25">
      <c r="B1858" s="256"/>
      <c r="C1858" s="257"/>
      <c r="D1858" s="258"/>
      <c r="E1858" s="258"/>
      <c r="F1858" s="259"/>
      <c r="G1858" s="259"/>
      <c r="H1858" s="260"/>
      <c r="I1858" s="261" t="str">
        <f>IFERROR(MID(作者统计[[#This Row],[作者]],FIND("[",作者统计[[#This Row],[作者]],1)+1,FIND("]",作者统计[[#This Row],[作者]],1)-FIND("[",作者统计[[#This Row],[作者]],1)-1),"")</f>
        <v/>
      </c>
      <c r="J185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59" spans="2:10" ht="18" customHeight="1" x14ac:dyDescent="0.25">
      <c r="B1859" s="256"/>
      <c r="C1859" s="257"/>
      <c r="D1859" s="258"/>
      <c r="E1859" s="258"/>
      <c r="F1859" s="259"/>
      <c r="G1859" s="259"/>
      <c r="H1859" s="260"/>
      <c r="I1859" s="261" t="str">
        <f>IFERROR(MID(作者统计[[#This Row],[作者]],FIND("[",作者统计[[#This Row],[作者]],1)+1,FIND("]",作者统计[[#This Row],[作者]],1)-FIND("[",作者统计[[#This Row],[作者]],1)-1),"")</f>
        <v/>
      </c>
      <c r="J185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0" spans="2:10" ht="18" customHeight="1" x14ac:dyDescent="0.25">
      <c r="B1860" s="256"/>
      <c r="C1860" s="257"/>
      <c r="D1860" s="258"/>
      <c r="E1860" s="258"/>
      <c r="F1860" s="259"/>
      <c r="G1860" s="259"/>
      <c r="H1860" s="260"/>
      <c r="I1860" s="261" t="str">
        <f>IFERROR(MID(作者统计[[#This Row],[作者]],FIND("[",作者统计[[#This Row],[作者]],1)+1,FIND("]",作者统计[[#This Row],[作者]],1)-FIND("[",作者统计[[#This Row],[作者]],1)-1),"")</f>
        <v/>
      </c>
      <c r="J186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1" spans="2:10" ht="18" customHeight="1" x14ac:dyDescent="0.25">
      <c r="B1861" s="256"/>
      <c r="C1861" s="257"/>
      <c r="D1861" s="258"/>
      <c r="E1861" s="258"/>
      <c r="F1861" s="259"/>
      <c r="G1861" s="259"/>
      <c r="H1861" s="260"/>
      <c r="I1861" s="261" t="str">
        <f>IFERROR(MID(作者统计[[#This Row],[作者]],FIND("[",作者统计[[#This Row],[作者]],1)+1,FIND("]",作者统计[[#This Row],[作者]],1)-FIND("[",作者统计[[#This Row],[作者]],1)-1),"")</f>
        <v/>
      </c>
      <c r="J186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2" spans="2:10" ht="18" customHeight="1" x14ac:dyDescent="0.25">
      <c r="B1862" s="256"/>
      <c r="C1862" s="257"/>
      <c r="D1862" s="258"/>
      <c r="E1862" s="258"/>
      <c r="F1862" s="259"/>
      <c r="G1862" s="259"/>
      <c r="H1862" s="260"/>
      <c r="I1862" s="261" t="str">
        <f>IFERROR(MID(作者统计[[#This Row],[作者]],FIND("[",作者统计[[#This Row],[作者]],1)+1,FIND("]",作者统计[[#This Row],[作者]],1)-FIND("[",作者统计[[#This Row],[作者]],1)-1),"")</f>
        <v/>
      </c>
      <c r="J186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3" spans="2:10" ht="18" customHeight="1" x14ac:dyDescent="0.25">
      <c r="B1863" s="256"/>
      <c r="C1863" s="257"/>
      <c r="D1863" s="258"/>
      <c r="E1863" s="258"/>
      <c r="F1863" s="259"/>
      <c r="G1863" s="259"/>
      <c r="H1863" s="260"/>
      <c r="I1863" s="261" t="str">
        <f>IFERROR(MID(作者统计[[#This Row],[作者]],FIND("[",作者统计[[#This Row],[作者]],1)+1,FIND("]",作者统计[[#This Row],[作者]],1)-FIND("[",作者统计[[#This Row],[作者]],1)-1),"")</f>
        <v/>
      </c>
      <c r="J186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4" spans="2:10" ht="18" customHeight="1" x14ac:dyDescent="0.25">
      <c r="B1864" s="256"/>
      <c r="C1864" s="257"/>
      <c r="D1864" s="258"/>
      <c r="E1864" s="258"/>
      <c r="F1864" s="259"/>
      <c r="G1864" s="259"/>
      <c r="H1864" s="260"/>
      <c r="I1864" s="261" t="str">
        <f>IFERROR(MID(作者统计[[#This Row],[作者]],FIND("[",作者统计[[#This Row],[作者]],1)+1,FIND("]",作者统计[[#This Row],[作者]],1)-FIND("[",作者统计[[#This Row],[作者]],1)-1),"")</f>
        <v/>
      </c>
      <c r="J186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5" spans="2:10" ht="18" customHeight="1" x14ac:dyDescent="0.25">
      <c r="B1865" s="256"/>
      <c r="C1865" s="257"/>
      <c r="D1865" s="258"/>
      <c r="E1865" s="258"/>
      <c r="F1865" s="259"/>
      <c r="G1865" s="259"/>
      <c r="H1865" s="260"/>
      <c r="I1865" s="261" t="str">
        <f>IFERROR(MID(作者统计[[#This Row],[作者]],FIND("[",作者统计[[#This Row],[作者]],1)+1,FIND("]",作者统计[[#This Row],[作者]],1)-FIND("[",作者统计[[#This Row],[作者]],1)-1),"")</f>
        <v/>
      </c>
      <c r="J186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6" spans="2:10" ht="18" customHeight="1" x14ac:dyDescent="0.25">
      <c r="B1866" s="256"/>
      <c r="C1866" s="257"/>
      <c r="D1866" s="258"/>
      <c r="E1866" s="258"/>
      <c r="F1866" s="259"/>
      <c r="G1866" s="259"/>
      <c r="H1866" s="260"/>
      <c r="I1866" s="261" t="str">
        <f>IFERROR(MID(作者统计[[#This Row],[作者]],FIND("[",作者统计[[#This Row],[作者]],1)+1,FIND("]",作者统计[[#This Row],[作者]],1)-FIND("[",作者统计[[#This Row],[作者]],1)-1),"")</f>
        <v/>
      </c>
      <c r="J186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7" spans="2:10" ht="18" customHeight="1" x14ac:dyDescent="0.25">
      <c r="B1867" s="256"/>
      <c r="C1867" s="257"/>
      <c r="D1867" s="258"/>
      <c r="E1867" s="258"/>
      <c r="F1867" s="259"/>
      <c r="G1867" s="259"/>
      <c r="H1867" s="260"/>
      <c r="I1867" s="261" t="str">
        <f>IFERROR(MID(作者统计[[#This Row],[作者]],FIND("[",作者统计[[#This Row],[作者]],1)+1,FIND("]",作者统计[[#This Row],[作者]],1)-FIND("[",作者统计[[#This Row],[作者]],1)-1),"")</f>
        <v/>
      </c>
      <c r="J186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8" spans="2:10" ht="18" customHeight="1" x14ac:dyDescent="0.25">
      <c r="B1868" s="256"/>
      <c r="C1868" s="257"/>
      <c r="D1868" s="258"/>
      <c r="E1868" s="258"/>
      <c r="F1868" s="259"/>
      <c r="G1868" s="259"/>
      <c r="H1868" s="260"/>
      <c r="I1868" s="261" t="str">
        <f>IFERROR(MID(作者统计[[#This Row],[作者]],FIND("[",作者统计[[#This Row],[作者]],1)+1,FIND("]",作者统计[[#This Row],[作者]],1)-FIND("[",作者统计[[#This Row],[作者]],1)-1),"")</f>
        <v/>
      </c>
      <c r="J186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69" spans="2:10" ht="18" customHeight="1" x14ac:dyDescent="0.25">
      <c r="B1869" s="256"/>
      <c r="C1869" s="257"/>
      <c r="D1869" s="258"/>
      <c r="E1869" s="258"/>
      <c r="F1869" s="259"/>
      <c r="G1869" s="259"/>
      <c r="H1869" s="260"/>
      <c r="I1869" s="261" t="str">
        <f>IFERROR(MID(作者统计[[#This Row],[作者]],FIND("[",作者统计[[#This Row],[作者]],1)+1,FIND("]",作者统计[[#This Row],[作者]],1)-FIND("[",作者统计[[#This Row],[作者]],1)-1),"")</f>
        <v/>
      </c>
      <c r="J186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0" spans="2:10" ht="18" customHeight="1" x14ac:dyDescent="0.25">
      <c r="B1870" s="256"/>
      <c r="C1870" s="257"/>
      <c r="D1870" s="258"/>
      <c r="E1870" s="258"/>
      <c r="F1870" s="259"/>
      <c r="G1870" s="259"/>
      <c r="H1870" s="260"/>
      <c r="I1870" s="261" t="str">
        <f>IFERROR(MID(作者统计[[#This Row],[作者]],FIND("[",作者统计[[#This Row],[作者]],1)+1,FIND("]",作者统计[[#This Row],[作者]],1)-FIND("[",作者统计[[#This Row],[作者]],1)-1),"")</f>
        <v/>
      </c>
      <c r="J187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1" spans="2:10" ht="18" customHeight="1" x14ac:dyDescent="0.25">
      <c r="B1871" s="256"/>
      <c r="C1871" s="257"/>
      <c r="D1871" s="258"/>
      <c r="E1871" s="258"/>
      <c r="F1871" s="259"/>
      <c r="G1871" s="259"/>
      <c r="H1871" s="260"/>
      <c r="I1871" s="261" t="str">
        <f>IFERROR(MID(作者统计[[#This Row],[作者]],FIND("[",作者统计[[#This Row],[作者]],1)+1,FIND("]",作者统计[[#This Row],[作者]],1)-FIND("[",作者统计[[#This Row],[作者]],1)-1),"")</f>
        <v/>
      </c>
      <c r="J187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2" spans="2:10" ht="18" customHeight="1" x14ac:dyDescent="0.25">
      <c r="B1872" s="256"/>
      <c r="C1872" s="257"/>
      <c r="D1872" s="258"/>
      <c r="E1872" s="258"/>
      <c r="F1872" s="259"/>
      <c r="G1872" s="259"/>
      <c r="H1872" s="260"/>
      <c r="I1872" s="261" t="str">
        <f>IFERROR(MID(作者统计[[#This Row],[作者]],FIND("[",作者统计[[#This Row],[作者]],1)+1,FIND("]",作者统计[[#This Row],[作者]],1)-FIND("[",作者统计[[#This Row],[作者]],1)-1),"")</f>
        <v/>
      </c>
      <c r="J187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3" spans="2:10" ht="18" customHeight="1" x14ac:dyDescent="0.25">
      <c r="B1873" s="256"/>
      <c r="C1873" s="257"/>
      <c r="D1873" s="258"/>
      <c r="E1873" s="258"/>
      <c r="F1873" s="259"/>
      <c r="G1873" s="259"/>
      <c r="H1873" s="260"/>
      <c r="I1873" s="261" t="str">
        <f>IFERROR(MID(作者统计[[#This Row],[作者]],FIND("[",作者统计[[#This Row],[作者]],1)+1,FIND("]",作者统计[[#This Row],[作者]],1)-FIND("[",作者统计[[#This Row],[作者]],1)-1),"")</f>
        <v/>
      </c>
      <c r="J187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4" spans="2:10" ht="18" customHeight="1" x14ac:dyDescent="0.25">
      <c r="B1874" s="256"/>
      <c r="C1874" s="257"/>
      <c r="D1874" s="258"/>
      <c r="E1874" s="258"/>
      <c r="F1874" s="259"/>
      <c r="G1874" s="259"/>
      <c r="H1874" s="260"/>
      <c r="I1874" s="261" t="str">
        <f>IFERROR(MID(作者统计[[#This Row],[作者]],FIND("[",作者统计[[#This Row],[作者]],1)+1,FIND("]",作者统计[[#This Row],[作者]],1)-FIND("[",作者统计[[#This Row],[作者]],1)-1),"")</f>
        <v/>
      </c>
      <c r="J187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5" spans="2:10" ht="18" customHeight="1" x14ac:dyDescent="0.25">
      <c r="B1875" s="256"/>
      <c r="C1875" s="257"/>
      <c r="D1875" s="258"/>
      <c r="E1875" s="258"/>
      <c r="F1875" s="259"/>
      <c r="G1875" s="259"/>
      <c r="H1875" s="260"/>
      <c r="I1875" s="261" t="str">
        <f>IFERROR(MID(作者统计[[#This Row],[作者]],FIND("[",作者统计[[#This Row],[作者]],1)+1,FIND("]",作者统计[[#This Row],[作者]],1)-FIND("[",作者统计[[#This Row],[作者]],1)-1),"")</f>
        <v/>
      </c>
      <c r="J187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6" spans="2:10" ht="18" customHeight="1" x14ac:dyDescent="0.25">
      <c r="B1876" s="256"/>
      <c r="C1876" s="257"/>
      <c r="D1876" s="258"/>
      <c r="E1876" s="258"/>
      <c r="F1876" s="259"/>
      <c r="G1876" s="259"/>
      <c r="H1876" s="260"/>
      <c r="I1876" s="261" t="str">
        <f>IFERROR(MID(作者统计[[#This Row],[作者]],FIND("[",作者统计[[#This Row],[作者]],1)+1,FIND("]",作者统计[[#This Row],[作者]],1)-FIND("[",作者统计[[#This Row],[作者]],1)-1),"")</f>
        <v/>
      </c>
      <c r="J187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7" spans="2:10" ht="18" customHeight="1" x14ac:dyDescent="0.25">
      <c r="B1877" s="256"/>
      <c r="C1877" s="257"/>
      <c r="D1877" s="258"/>
      <c r="E1877" s="258"/>
      <c r="F1877" s="259"/>
      <c r="G1877" s="259"/>
      <c r="H1877" s="260"/>
      <c r="I1877" s="261" t="str">
        <f>IFERROR(MID(作者统计[[#This Row],[作者]],FIND("[",作者统计[[#This Row],[作者]],1)+1,FIND("]",作者统计[[#This Row],[作者]],1)-FIND("[",作者统计[[#This Row],[作者]],1)-1),"")</f>
        <v/>
      </c>
      <c r="J187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8" spans="2:10" ht="18" customHeight="1" x14ac:dyDescent="0.25">
      <c r="B1878" s="256"/>
      <c r="C1878" s="257"/>
      <c r="D1878" s="258"/>
      <c r="E1878" s="258"/>
      <c r="F1878" s="259"/>
      <c r="G1878" s="259"/>
      <c r="H1878" s="260"/>
      <c r="I1878" s="261" t="str">
        <f>IFERROR(MID(作者统计[[#This Row],[作者]],FIND("[",作者统计[[#This Row],[作者]],1)+1,FIND("]",作者统计[[#This Row],[作者]],1)-FIND("[",作者统计[[#This Row],[作者]],1)-1),"")</f>
        <v/>
      </c>
      <c r="J187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79" spans="2:10" ht="18" customHeight="1" x14ac:dyDescent="0.25">
      <c r="B1879" s="256"/>
      <c r="C1879" s="257"/>
      <c r="D1879" s="258"/>
      <c r="E1879" s="258"/>
      <c r="F1879" s="259"/>
      <c r="G1879" s="259"/>
      <c r="H1879" s="260"/>
      <c r="I1879" s="261" t="str">
        <f>IFERROR(MID(作者统计[[#This Row],[作者]],FIND("[",作者统计[[#This Row],[作者]],1)+1,FIND("]",作者统计[[#This Row],[作者]],1)-FIND("[",作者统计[[#This Row],[作者]],1)-1),"")</f>
        <v/>
      </c>
      <c r="J187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0" spans="2:10" ht="18" customHeight="1" x14ac:dyDescent="0.25">
      <c r="B1880" s="256"/>
      <c r="C1880" s="257"/>
      <c r="D1880" s="258"/>
      <c r="E1880" s="258"/>
      <c r="F1880" s="259"/>
      <c r="G1880" s="259"/>
      <c r="H1880" s="260"/>
      <c r="I1880" s="261" t="str">
        <f>IFERROR(MID(作者统计[[#This Row],[作者]],FIND("[",作者统计[[#This Row],[作者]],1)+1,FIND("]",作者统计[[#This Row],[作者]],1)-FIND("[",作者统计[[#This Row],[作者]],1)-1),"")</f>
        <v/>
      </c>
      <c r="J188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1" spans="2:10" ht="18" customHeight="1" x14ac:dyDescent="0.25">
      <c r="B1881" s="256"/>
      <c r="C1881" s="257"/>
      <c r="D1881" s="258"/>
      <c r="E1881" s="258"/>
      <c r="F1881" s="259"/>
      <c r="G1881" s="259"/>
      <c r="H1881" s="260"/>
      <c r="I1881" s="261" t="str">
        <f>IFERROR(MID(作者统计[[#This Row],[作者]],FIND("[",作者统计[[#This Row],[作者]],1)+1,FIND("]",作者统计[[#This Row],[作者]],1)-FIND("[",作者统计[[#This Row],[作者]],1)-1),"")</f>
        <v/>
      </c>
      <c r="J188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2" spans="2:10" ht="18" customHeight="1" x14ac:dyDescent="0.25">
      <c r="B1882" s="256"/>
      <c r="C1882" s="257"/>
      <c r="D1882" s="258"/>
      <c r="E1882" s="258"/>
      <c r="F1882" s="259"/>
      <c r="G1882" s="259"/>
      <c r="H1882" s="260"/>
      <c r="I1882" s="261" t="str">
        <f>IFERROR(MID(作者统计[[#This Row],[作者]],FIND("[",作者统计[[#This Row],[作者]],1)+1,FIND("]",作者统计[[#This Row],[作者]],1)-FIND("[",作者统计[[#This Row],[作者]],1)-1),"")</f>
        <v/>
      </c>
      <c r="J188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3" spans="2:10" ht="18" customHeight="1" x14ac:dyDescent="0.25">
      <c r="B1883" s="256"/>
      <c r="C1883" s="257"/>
      <c r="D1883" s="258"/>
      <c r="E1883" s="258"/>
      <c r="F1883" s="259"/>
      <c r="G1883" s="259"/>
      <c r="H1883" s="260"/>
      <c r="I1883" s="261" t="str">
        <f>IFERROR(MID(作者统计[[#This Row],[作者]],FIND("[",作者统计[[#This Row],[作者]],1)+1,FIND("]",作者统计[[#This Row],[作者]],1)-FIND("[",作者统计[[#This Row],[作者]],1)-1),"")</f>
        <v/>
      </c>
      <c r="J188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4" spans="2:10" ht="18" customHeight="1" x14ac:dyDescent="0.25">
      <c r="B1884" s="256"/>
      <c r="C1884" s="257"/>
      <c r="D1884" s="258"/>
      <c r="E1884" s="258"/>
      <c r="F1884" s="259"/>
      <c r="G1884" s="259"/>
      <c r="H1884" s="260"/>
      <c r="I1884" s="261" t="str">
        <f>IFERROR(MID(作者统计[[#This Row],[作者]],FIND("[",作者统计[[#This Row],[作者]],1)+1,FIND("]",作者统计[[#This Row],[作者]],1)-FIND("[",作者统计[[#This Row],[作者]],1)-1),"")</f>
        <v/>
      </c>
      <c r="J188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5" spans="2:10" ht="18" customHeight="1" x14ac:dyDescent="0.25">
      <c r="B1885" s="256"/>
      <c r="C1885" s="257"/>
      <c r="D1885" s="258"/>
      <c r="E1885" s="258"/>
      <c r="F1885" s="259"/>
      <c r="G1885" s="259"/>
      <c r="H1885" s="260"/>
      <c r="I1885" s="261" t="str">
        <f>IFERROR(MID(作者统计[[#This Row],[作者]],FIND("[",作者统计[[#This Row],[作者]],1)+1,FIND("]",作者统计[[#This Row],[作者]],1)-FIND("[",作者统计[[#This Row],[作者]],1)-1),"")</f>
        <v/>
      </c>
      <c r="J188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6" spans="2:10" ht="18" customHeight="1" x14ac:dyDescent="0.25">
      <c r="B1886" s="256"/>
      <c r="C1886" s="257"/>
      <c r="D1886" s="258"/>
      <c r="E1886" s="258"/>
      <c r="F1886" s="259"/>
      <c r="G1886" s="259"/>
      <c r="H1886" s="260"/>
      <c r="I1886" s="261" t="str">
        <f>IFERROR(MID(作者统计[[#This Row],[作者]],FIND("[",作者统计[[#This Row],[作者]],1)+1,FIND("]",作者统计[[#This Row],[作者]],1)-FIND("[",作者统计[[#This Row],[作者]],1)-1),"")</f>
        <v/>
      </c>
      <c r="J188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7" spans="2:10" ht="18" customHeight="1" x14ac:dyDescent="0.25">
      <c r="B1887" s="256"/>
      <c r="C1887" s="257"/>
      <c r="D1887" s="258"/>
      <c r="E1887" s="258"/>
      <c r="F1887" s="259"/>
      <c r="G1887" s="259"/>
      <c r="H1887" s="260"/>
      <c r="I1887" s="261" t="str">
        <f>IFERROR(MID(作者统计[[#This Row],[作者]],FIND("[",作者统计[[#This Row],[作者]],1)+1,FIND("]",作者统计[[#This Row],[作者]],1)-FIND("[",作者统计[[#This Row],[作者]],1)-1),"")</f>
        <v/>
      </c>
      <c r="J188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8" spans="2:10" ht="18" customHeight="1" x14ac:dyDescent="0.25">
      <c r="B1888" s="256"/>
      <c r="C1888" s="257"/>
      <c r="D1888" s="258"/>
      <c r="E1888" s="258"/>
      <c r="F1888" s="259"/>
      <c r="G1888" s="259"/>
      <c r="H1888" s="260"/>
      <c r="I1888" s="261" t="str">
        <f>IFERROR(MID(作者统计[[#This Row],[作者]],FIND("[",作者统计[[#This Row],[作者]],1)+1,FIND("]",作者统计[[#This Row],[作者]],1)-FIND("[",作者统计[[#This Row],[作者]],1)-1),"")</f>
        <v/>
      </c>
      <c r="J188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89" spans="2:10" ht="18" customHeight="1" x14ac:dyDescent="0.25">
      <c r="B1889" s="256"/>
      <c r="C1889" s="257"/>
      <c r="D1889" s="258"/>
      <c r="E1889" s="258"/>
      <c r="F1889" s="259"/>
      <c r="G1889" s="259"/>
      <c r="H1889" s="260"/>
      <c r="I1889" s="261" t="str">
        <f>IFERROR(MID(作者统计[[#This Row],[作者]],FIND("[",作者统计[[#This Row],[作者]],1)+1,FIND("]",作者统计[[#This Row],[作者]],1)-FIND("[",作者统计[[#This Row],[作者]],1)-1),"")</f>
        <v/>
      </c>
      <c r="J188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0" spans="2:10" ht="18" customHeight="1" x14ac:dyDescent="0.25">
      <c r="B1890" s="256"/>
      <c r="C1890" s="257"/>
      <c r="D1890" s="258"/>
      <c r="E1890" s="258"/>
      <c r="F1890" s="259"/>
      <c r="G1890" s="259"/>
      <c r="H1890" s="260"/>
      <c r="I1890" s="261" t="str">
        <f>IFERROR(MID(作者统计[[#This Row],[作者]],FIND("[",作者统计[[#This Row],[作者]],1)+1,FIND("]",作者统计[[#This Row],[作者]],1)-FIND("[",作者统计[[#This Row],[作者]],1)-1),"")</f>
        <v/>
      </c>
      <c r="J189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1" spans="2:10" ht="18" customHeight="1" x14ac:dyDescent="0.25">
      <c r="B1891" s="256"/>
      <c r="C1891" s="257"/>
      <c r="D1891" s="258"/>
      <c r="E1891" s="258"/>
      <c r="F1891" s="259"/>
      <c r="G1891" s="259"/>
      <c r="H1891" s="260"/>
      <c r="I1891" s="261" t="str">
        <f>IFERROR(MID(作者统计[[#This Row],[作者]],FIND("[",作者统计[[#This Row],[作者]],1)+1,FIND("]",作者统计[[#This Row],[作者]],1)-FIND("[",作者统计[[#This Row],[作者]],1)-1),"")</f>
        <v/>
      </c>
      <c r="J189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2" spans="2:10" ht="18" customHeight="1" x14ac:dyDescent="0.25">
      <c r="B1892" s="256"/>
      <c r="C1892" s="257"/>
      <c r="D1892" s="258"/>
      <c r="E1892" s="258"/>
      <c r="F1892" s="259"/>
      <c r="G1892" s="259"/>
      <c r="H1892" s="260"/>
      <c r="I1892" s="261" t="str">
        <f>IFERROR(MID(作者统计[[#This Row],[作者]],FIND("[",作者统计[[#This Row],[作者]],1)+1,FIND("]",作者统计[[#This Row],[作者]],1)-FIND("[",作者统计[[#This Row],[作者]],1)-1),"")</f>
        <v/>
      </c>
      <c r="J189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3" spans="2:10" ht="18" customHeight="1" x14ac:dyDescent="0.25">
      <c r="B1893" s="256"/>
      <c r="C1893" s="257"/>
      <c r="D1893" s="258"/>
      <c r="E1893" s="258"/>
      <c r="F1893" s="259"/>
      <c r="G1893" s="259"/>
      <c r="H1893" s="260"/>
      <c r="I1893" s="261" t="str">
        <f>IFERROR(MID(作者统计[[#This Row],[作者]],FIND("[",作者统计[[#This Row],[作者]],1)+1,FIND("]",作者统计[[#This Row],[作者]],1)-FIND("[",作者统计[[#This Row],[作者]],1)-1),"")</f>
        <v/>
      </c>
      <c r="J189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4" spans="2:10" ht="18" customHeight="1" x14ac:dyDescent="0.25">
      <c r="B1894" s="256"/>
      <c r="C1894" s="257"/>
      <c r="D1894" s="258"/>
      <c r="E1894" s="258"/>
      <c r="F1894" s="259"/>
      <c r="G1894" s="259"/>
      <c r="H1894" s="260"/>
      <c r="I1894" s="261" t="str">
        <f>IFERROR(MID(作者统计[[#This Row],[作者]],FIND("[",作者统计[[#This Row],[作者]],1)+1,FIND("]",作者统计[[#This Row],[作者]],1)-FIND("[",作者统计[[#This Row],[作者]],1)-1),"")</f>
        <v/>
      </c>
      <c r="J189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5" spans="2:10" ht="18" customHeight="1" x14ac:dyDescent="0.25">
      <c r="B1895" s="256"/>
      <c r="C1895" s="257"/>
      <c r="D1895" s="258"/>
      <c r="E1895" s="258"/>
      <c r="F1895" s="259"/>
      <c r="G1895" s="259"/>
      <c r="H1895" s="260"/>
      <c r="I1895" s="261" t="str">
        <f>IFERROR(MID(作者统计[[#This Row],[作者]],FIND("[",作者统计[[#This Row],[作者]],1)+1,FIND("]",作者统计[[#This Row],[作者]],1)-FIND("[",作者统计[[#This Row],[作者]],1)-1),"")</f>
        <v/>
      </c>
      <c r="J189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6" spans="2:10" ht="18" customHeight="1" x14ac:dyDescent="0.25">
      <c r="B1896" s="256"/>
      <c r="C1896" s="257"/>
      <c r="D1896" s="258"/>
      <c r="E1896" s="258"/>
      <c r="F1896" s="259"/>
      <c r="G1896" s="259"/>
      <c r="H1896" s="260"/>
      <c r="I1896" s="261" t="str">
        <f>IFERROR(MID(作者统计[[#This Row],[作者]],FIND("[",作者统计[[#This Row],[作者]],1)+1,FIND("]",作者统计[[#This Row],[作者]],1)-FIND("[",作者统计[[#This Row],[作者]],1)-1),"")</f>
        <v/>
      </c>
      <c r="J189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7" spans="2:10" ht="18" customHeight="1" x14ac:dyDescent="0.25">
      <c r="B1897" s="256"/>
      <c r="C1897" s="257"/>
      <c r="D1897" s="258"/>
      <c r="E1897" s="258"/>
      <c r="F1897" s="259"/>
      <c r="G1897" s="259"/>
      <c r="H1897" s="260"/>
      <c r="I1897" s="261" t="str">
        <f>IFERROR(MID(作者统计[[#This Row],[作者]],FIND("[",作者统计[[#This Row],[作者]],1)+1,FIND("]",作者统计[[#This Row],[作者]],1)-FIND("[",作者统计[[#This Row],[作者]],1)-1),"")</f>
        <v/>
      </c>
      <c r="J189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8" spans="2:10" ht="18" customHeight="1" x14ac:dyDescent="0.25">
      <c r="B1898" s="256"/>
      <c r="C1898" s="257"/>
      <c r="D1898" s="258"/>
      <c r="E1898" s="258"/>
      <c r="F1898" s="259"/>
      <c r="G1898" s="259"/>
      <c r="H1898" s="260"/>
      <c r="I1898" s="261" t="str">
        <f>IFERROR(MID(作者统计[[#This Row],[作者]],FIND("[",作者统计[[#This Row],[作者]],1)+1,FIND("]",作者统计[[#This Row],[作者]],1)-FIND("[",作者统计[[#This Row],[作者]],1)-1),"")</f>
        <v/>
      </c>
      <c r="J189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899" spans="2:10" ht="18" customHeight="1" x14ac:dyDescent="0.25">
      <c r="B1899" s="256"/>
      <c r="C1899" s="257"/>
      <c r="D1899" s="258"/>
      <c r="E1899" s="258"/>
      <c r="F1899" s="259"/>
      <c r="G1899" s="259"/>
      <c r="H1899" s="260"/>
      <c r="I1899" s="261" t="str">
        <f>IFERROR(MID(作者统计[[#This Row],[作者]],FIND("[",作者统计[[#This Row],[作者]],1)+1,FIND("]",作者统计[[#This Row],[作者]],1)-FIND("[",作者统计[[#This Row],[作者]],1)-1),"")</f>
        <v/>
      </c>
      <c r="J189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0" spans="2:10" ht="18" customHeight="1" x14ac:dyDescent="0.25">
      <c r="B1900" s="256"/>
      <c r="C1900" s="257"/>
      <c r="D1900" s="258"/>
      <c r="E1900" s="258"/>
      <c r="F1900" s="259"/>
      <c r="G1900" s="259"/>
      <c r="H1900" s="260"/>
      <c r="I1900" s="261" t="str">
        <f>IFERROR(MID(作者统计[[#This Row],[作者]],FIND("[",作者统计[[#This Row],[作者]],1)+1,FIND("]",作者统计[[#This Row],[作者]],1)-FIND("[",作者统计[[#This Row],[作者]],1)-1),"")</f>
        <v/>
      </c>
      <c r="J190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1" spans="2:10" ht="18" customHeight="1" x14ac:dyDescent="0.25">
      <c r="B1901" s="256"/>
      <c r="C1901" s="257"/>
      <c r="D1901" s="258"/>
      <c r="E1901" s="258"/>
      <c r="F1901" s="259"/>
      <c r="G1901" s="259"/>
      <c r="H1901" s="260"/>
      <c r="I1901" s="261" t="str">
        <f>IFERROR(MID(作者统计[[#This Row],[作者]],FIND("[",作者统计[[#This Row],[作者]],1)+1,FIND("]",作者统计[[#This Row],[作者]],1)-FIND("[",作者统计[[#This Row],[作者]],1)-1),"")</f>
        <v/>
      </c>
      <c r="J190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2" spans="2:10" ht="18" customHeight="1" x14ac:dyDescent="0.25">
      <c r="B1902" s="256"/>
      <c r="C1902" s="257"/>
      <c r="D1902" s="258"/>
      <c r="E1902" s="258"/>
      <c r="F1902" s="259"/>
      <c r="G1902" s="259"/>
      <c r="H1902" s="260"/>
      <c r="I1902" s="261" t="str">
        <f>IFERROR(MID(作者统计[[#This Row],[作者]],FIND("[",作者统计[[#This Row],[作者]],1)+1,FIND("]",作者统计[[#This Row],[作者]],1)-FIND("[",作者统计[[#This Row],[作者]],1)-1),"")</f>
        <v/>
      </c>
      <c r="J190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3" spans="2:10" ht="18" customHeight="1" x14ac:dyDescent="0.25">
      <c r="B1903" s="256"/>
      <c r="C1903" s="257"/>
      <c r="D1903" s="258"/>
      <c r="E1903" s="258"/>
      <c r="F1903" s="259"/>
      <c r="G1903" s="259"/>
      <c r="H1903" s="260"/>
      <c r="I1903" s="261" t="str">
        <f>IFERROR(MID(作者统计[[#This Row],[作者]],FIND("[",作者统计[[#This Row],[作者]],1)+1,FIND("]",作者统计[[#This Row],[作者]],1)-FIND("[",作者统计[[#This Row],[作者]],1)-1),"")</f>
        <v/>
      </c>
      <c r="J190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4" spans="2:10" ht="18" customHeight="1" x14ac:dyDescent="0.25">
      <c r="B1904" s="256"/>
      <c r="C1904" s="257"/>
      <c r="D1904" s="258"/>
      <c r="E1904" s="258"/>
      <c r="F1904" s="259"/>
      <c r="G1904" s="259"/>
      <c r="H1904" s="260"/>
      <c r="I1904" s="261" t="str">
        <f>IFERROR(MID(作者统计[[#This Row],[作者]],FIND("[",作者统计[[#This Row],[作者]],1)+1,FIND("]",作者统计[[#This Row],[作者]],1)-FIND("[",作者统计[[#This Row],[作者]],1)-1),"")</f>
        <v/>
      </c>
      <c r="J190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5" spans="2:10" ht="18" customHeight="1" x14ac:dyDescent="0.25">
      <c r="B1905" s="256"/>
      <c r="C1905" s="257"/>
      <c r="D1905" s="258"/>
      <c r="E1905" s="258"/>
      <c r="F1905" s="259"/>
      <c r="G1905" s="259"/>
      <c r="H1905" s="260"/>
      <c r="I1905" s="261" t="str">
        <f>IFERROR(MID(作者统计[[#This Row],[作者]],FIND("[",作者统计[[#This Row],[作者]],1)+1,FIND("]",作者统计[[#This Row],[作者]],1)-FIND("[",作者统计[[#This Row],[作者]],1)-1),"")</f>
        <v/>
      </c>
      <c r="J190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6" spans="2:10" ht="18" customHeight="1" x14ac:dyDescent="0.25">
      <c r="B1906" s="256"/>
      <c r="C1906" s="257"/>
      <c r="D1906" s="258"/>
      <c r="E1906" s="258"/>
      <c r="F1906" s="259"/>
      <c r="G1906" s="259"/>
      <c r="H1906" s="260"/>
      <c r="I1906" s="261" t="str">
        <f>IFERROR(MID(作者统计[[#This Row],[作者]],FIND("[",作者统计[[#This Row],[作者]],1)+1,FIND("]",作者统计[[#This Row],[作者]],1)-FIND("[",作者统计[[#This Row],[作者]],1)-1),"")</f>
        <v/>
      </c>
      <c r="J190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7" spans="2:10" ht="18" customHeight="1" x14ac:dyDescent="0.25">
      <c r="B1907" s="256"/>
      <c r="C1907" s="257"/>
      <c r="D1907" s="258"/>
      <c r="E1907" s="258"/>
      <c r="F1907" s="259"/>
      <c r="G1907" s="259"/>
      <c r="H1907" s="260"/>
      <c r="I1907" s="261" t="str">
        <f>IFERROR(MID(作者统计[[#This Row],[作者]],FIND("[",作者统计[[#This Row],[作者]],1)+1,FIND("]",作者统计[[#This Row],[作者]],1)-FIND("[",作者统计[[#This Row],[作者]],1)-1),"")</f>
        <v/>
      </c>
      <c r="J190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8" spans="2:10" ht="18" customHeight="1" x14ac:dyDescent="0.25">
      <c r="B1908" s="256"/>
      <c r="C1908" s="257"/>
      <c r="D1908" s="258"/>
      <c r="E1908" s="258"/>
      <c r="F1908" s="259"/>
      <c r="G1908" s="259"/>
      <c r="H1908" s="260"/>
      <c r="I1908" s="261" t="str">
        <f>IFERROR(MID(作者统计[[#This Row],[作者]],FIND("[",作者统计[[#This Row],[作者]],1)+1,FIND("]",作者统计[[#This Row],[作者]],1)-FIND("[",作者统计[[#This Row],[作者]],1)-1),"")</f>
        <v/>
      </c>
      <c r="J190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09" spans="2:10" ht="18" customHeight="1" x14ac:dyDescent="0.25">
      <c r="B1909" s="256"/>
      <c r="C1909" s="257"/>
      <c r="D1909" s="258"/>
      <c r="E1909" s="258"/>
      <c r="F1909" s="259"/>
      <c r="G1909" s="259"/>
      <c r="H1909" s="260"/>
      <c r="I1909" s="261" t="str">
        <f>IFERROR(MID(作者统计[[#This Row],[作者]],FIND("[",作者统计[[#This Row],[作者]],1)+1,FIND("]",作者统计[[#This Row],[作者]],1)-FIND("[",作者统计[[#This Row],[作者]],1)-1),"")</f>
        <v/>
      </c>
      <c r="J190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0" spans="2:10" ht="18" customHeight="1" x14ac:dyDescent="0.25">
      <c r="B1910" s="256"/>
      <c r="C1910" s="257"/>
      <c r="D1910" s="258"/>
      <c r="E1910" s="258"/>
      <c r="F1910" s="259"/>
      <c r="G1910" s="259"/>
      <c r="H1910" s="260"/>
      <c r="I1910" s="261" t="str">
        <f>IFERROR(MID(作者统计[[#This Row],[作者]],FIND("[",作者统计[[#This Row],[作者]],1)+1,FIND("]",作者统计[[#This Row],[作者]],1)-FIND("[",作者统计[[#This Row],[作者]],1)-1),"")</f>
        <v/>
      </c>
      <c r="J191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1" spans="2:10" ht="18" customHeight="1" x14ac:dyDescent="0.25">
      <c r="B1911" s="256"/>
      <c r="C1911" s="257"/>
      <c r="D1911" s="258"/>
      <c r="E1911" s="258"/>
      <c r="F1911" s="259"/>
      <c r="G1911" s="259"/>
      <c r="H1911" s="260"/>
      <c r="I1911" s="261" t="str">
        <f>IFERROR(MID(作者统计[[#This Row],[作者]],FIND("[",作者统计[[#This Row],[作者]],1)+1,FIND("]",作者统计[[#This Row],[作者]],1)-FIND("[",作者统计[[#This Row],[作者]],1)-1),"")</f>
        <v/>
      </c>
      <c r="J191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2" spans="2:10" ht="18" customHeight="1" x14ac:dyDescent="0.25">
      <c r="B1912" s="256"/>
      <c r="C1912" s="257"/>
      <c r="D1912" s="258"/>
      <c r="E1912" s="258"/>
      <c r="F1912" s="259"/>
      <c r="G1912" s="259"/>
      <c r="H1912" s="260"/>
      <c r="I1912" s="261" t="str">
        <f>IFERROR(MID(作者统计[[#This Row],[作者]],FIND("[",作者统计[[#This Row],[作者]],1)+1,FIND("]",作者统计[[#This Row],[作者]],1)-FIND("[",作者统计[[#This Row],[作者]],1)-1),"")</f>
        <v/>
      </c>
      <c r="J191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3" spans="2:10" ht="18" customHeight="1" x14ac:dyDescent="0.25">
      <c r="B1913" s="256"/>
      <c r="C1913" s="257"/>
      <c r="D1913" s="258"/>
      <c r="E1913" s="258"/>
      <c r="F1913" s="259"/>
      <c r="G1913" s="259"/>
      <c r="H1913" s="260"/>
      <c r="I1913" s="261" t="str">
        <f>IFERROR(MID(作者统计[[#This Row],[作者]],FIND("[",作者统计[[#This Row],[作者]],1)+1,FIND("]",作者统计[[#This Row],[作者]],1)-FIND("[",作者统计[[#This Row],[作者]],1)-1),"")</f>
        <v/>
      </c>
      <c r="J191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4" spans="2:10" ht="18" customHeight="1" x14ac:dyDescent="0.25">
      <c r="B1914" s="256"/>
      <c r="C1914" s="257"/>
      <c r="D1914" s="258"/>
      <c r="E1914" s="258"/>
      <c r="F1914" s="259"/>
      <c r="G1914" s="259"/>
      <c r="H1914" s="260"/>
      <c r="I1914" s="261" t="str">
        <f>IFERROR(MID(作者统计[[#This Row],[作者]],FIND("[",作者统计[[#This Row],[作者]],1)+1,FIND("]",作者统计[[#This Row],[作者]],1)-FIND("[",作者统计[[#This Row],[作者]],1)-1),"")</f>
        <v/>
      </c>
      <c r="J191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5" spans="2:10" ht="18" customHeight="1" x14ac:dyDescent="0.25">
      <c r="B1915" s="256"/>
      <c r="C1915" s="257"/>
      <c r="D1915" s="258"/>
      <c r="E1915" s="258"/>
      <c r="F1915" s="259"/>
      <c r="G1915" s="259"/>
      <c r="H1915" s="260"/>
      <c r="I1915" s="261" t="str">
        <f>IFERROR(MID(作者统计[[#This Row],[作者]],FIND("[",作者统计[[#This Row],[作者]],1)+1,FIND("]",作者统计[[#This Row],[作者]],1)-FIND("[",作者统计[[#This Row],[作者]],1)-1),"")</f>
        <v/>
      </c>
      <c r="J191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6" spans="2:10" ht="18" customHeight="1" x14ac:dyDescent="0.25">
      <c r="B1916" s="256"/>
      <c r="C1916" s="257"/>
      <c r="D1916" s="258"/>
      <c r="E1916" s="258"/>
      <c r="F1916" s="259"/>
      <c r="G1916" s="259"/>
      <c r="H1916" s="260"/>
      <c r="I1916" s="261" t="str">
        <f>IFERROR(MID(作者统计[[#This Row],[作者]],FIND("[",作者统计[[#This Row],[作者]],1)+1,FIND("]",作者统计[[#This Row],[作者]],1)-FIND("[",作者统计[[#This Row],[作者]],1)-1),"")</f>
        <v/>
      </c>
      <c r="J191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7" spans="2:10" ht="18" customHeight="1" x14ac:dyDescent="0.25">
      <c r="B1917" s="256"/>
      <c r="C1917" s="257"/>
      <c r="D1917" s="258"/>
      <c r="E1917" s="258"/>
      <c r="F1917" s="259"/>
      <c r="G1917" s="259"/>
      <c r="H1917" s="260"/>
      <c r="I1917" s="261" t="str">
        <f>IFERROR(MID(作者统计[[#This Row],[作者]],FIND("[",作者统计[[#This Row],[作者]],1)+1,FIND("]",作者统计[[#This Row],[作者]],1)-FIND("[",作者统计[[#This Row],[作者]],1)-1),"")</f>
        <v/>
      </c>
      <c r="J191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8" spans="2:10" ht="18" customHeight="1" x14ac:dyDescent="0.25">
      <c r="B1918" s="256"/>
      <c r="C1918" s="257"/>
      <c r="D1918" s="258"/>
      <c r="E1918" s="258"/>
      <c r="F1918" s="259"/>
      <c r="G1918" s="259"/>
      <c r="H1918" s="260"/>
      <c r="I1918" s="261" t="str">
        <f>IFERROR(MID(作者统计[[#This Row],[作者]],FIND("[",作者统计[[#This Row],[作者]],1)+1,FIND("]",作者统计[[#This Row],[作者]],1)-FIND("[",作者统计[[#This Row],[作者]],1)-1),"")</f>
        <v/>
      </c>
      <c r="J191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19" spans="2:10" ht="18" customHeight="1" x14ac:dyDescent="0.25">
      <c r="B1919" s="256"/>
      <c r="C1919" s="257"/>
      <c r="D1919" s="258"/>
      <c r="E1919" s="258"/>
      <c r="F1919" s="259"/>
      <c r="G1919" s="259"/>
      <c r="H1919" s="260"/>
      <c r="I1919" s="261" t="str">
        <f>IFERROR(MID(作者统计[[#This Row],[作者]],FIND("[",作者统计[[#This Row],[作者]],1)+1,FIND("]",作者统计[[#This Row],[作者]],1)-FIND("[",作者统计[[#This Row],[作者]],1)-1),"")</f>
        <v/>
      </c>
      <c r="J191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0" spans="2:10" ht="18" customHeight="1" x14ac:dyDescent="0.25">
      <c r="B1920" s="256"/>
      <c r="C1920" s="257"/>
      <c r="D1920" s="258"/>
      <c r="E1920" s="258"/>
      <c r="F1920" s="259"/>
      <c r="G1920" s="259"/>
      <c r="H1920" s="260"/>
      <c r="I1920" s="261" t="str">
        <f>IFERROR(MID(作者统计[[#This Row],[作者]],FIND("[",作者统计[[#This Row],[作者]],1)+1,FIND("]",作者统计[[#This Row],[作者]],1)-FIND("[",作者统计[[#This Row],[作者]],1)-1),"")</f>
        <v/>
      </c>
      <c r="J192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1" spans="2:10" ht="18" customHeight="1" x14ac:dyDescent="0.25">
      <c r="B1921" s="256"/>
      <c r="C1921" s="257"/>
      <c r="D1921" s="258"/>
      <c r="E1921" s="258"/>
      <c r="F1921" s="259"/>
      <c r="G1921" s="259"/>
      <c r="H1921" s="260"/>
      <c r="I1921" s="261" t="str">
        <f>IFERROR(MID(作者统计[[#This Row],[作者]],FIND("[",作者统计[[#This Row],[作者]],1)+1,FIND("]",作者统计[[#This Row],[作者]],1)-FIND("[",作者统计[[#This Row],[作者]],1)-1),"")</f>
        <v/>
      </c>
      <c r="J192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2" spans="2:10" ht="18" customHeight="1" x14ac:dyDescent="0.25">
      <c r="B1922" s="256"/>
      <c r="C1922" s="257"/>
      <c r="D1922" s="258"/>
      <c r="E1922" s="258"/>
      <c r="F1922" s="259"/>
      <c r="G1922" s="259"/>
      <c r="H1922" s="260"/>
      <c r="I1922" s="261" t="str">
        <f>IFERROR(MID(作者统计[[#This Row],[作者]],FIND("[",作者统计[[#This Row],[作者]],1)+1,FIND("]",作者统计[[#This Row],[作者]],1)-FIND("[",作者统计[[#This Row],[作者]],1)-1),"")</f>
        <v/>
      </c>
      <c r="J192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3" spans="2:10" ht="18" customHeight="1" x14ac:dyDescent="0.25">
      <c r="B1923" s="256"/>
      <c r="C1923" s="257"/>
      <c r="D1923" s="258"/>
      <c r="E1923" s="258"/>
      <c r="F1923" s="259"/>
      <c r="G1923" s="259"/>
      <c r="H1923" s="260"/>
      <c r="I1923" s="261" t="str">
        <f>IFERROR(MID(作者统计[[#This Row],[作者]],FIND("[",作者统计[[#This Row],[作者]],1)+1,FIND("]",作者统计[[#This Row],[作者]],1)-FIND("[",作者统计[[#This Row],[作者]],1)-1),"")</f>
        <v/>
      </c>
      <c r="J192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4" spans="2:10" ht="18" customHeight="1" x14ac:dyDescent="0.25">
      <c r="B1924" s="256"/>
      <c r="C1924" s="257"/>
      <c r="D1924" s="258"/>
      <c r="E1924" s="258"/>
      <c r="F1924" s="259"/>
      <c r="G1924" s="259"/>
      <c r="H1924" s="260"/>
      <c r="I1924" s="261" t="str">
        <f>IFERROR(MID(作者统计[[#This Row],[作者]],FIND("[",作者统计[[#This Row],[作者]],1)+1,FIND("]",作者统计[[#This Row],[作者]],1)-FIND("[",作者统计[[#This Row],[作者]],1)-1),"")</f>
        <v/>
      </c>
      <c r="J192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5" spans="2:10" ht="18" customHeight="1" x14ac:dyDescent="0.25">
      <c r="B1925" s="256"/>
      <c r="C1925" s="257"/>
      <c r="D1925" s="258"/>
      <c r="E1925" s="258"/>
      <c r="F1925" s="259"/>
      <c r="G1925" s="259"/>
      <c r="H1925" s="260"/>
      <c r="I1925" s="261" t="str">
        <f>IFERROR(MID(作者统计[[#This Row],[作者]],FIND("[",作者统计[[#This Row],[作者]],1)+1,FIND("]",作者统计[[#This Row],[作者]],1)-FIND("[",作者统计[[#This Row],[作者]],1)-1),"")</f>
        <v/>
      </c>
      <c r="J192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6" spans="2:10" ht="18" customHeight="1" x14ac:dyDescent="0.25">
      <c r="B1926" s="256"/>
      <c r="C1926" s="257"/>
      <c r="D1926" s="258"/>
      <c r="E1926" s="258"/>
      <c r="F1926" s="259"/>
      <c r="G1926" s="259"/>
      <c r="H1926" s="260"/>
      <c r="I1926" s="261" t="str">
        <f>IFERROR(MID(作者统计[[#This Row],[作者]],FIND("[",作者统计[[#This Row],[作者]],1)+1,FIND("]",作者统计[[#This Row],[作者]],1)-FIND("[",作者统计[[#This Row],[作者]],1)-1),"")</f>
        <v/>
      </c>
      <c r="J192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7" spans="2:10" ht="18" customHeight="1" x14ac:dyDescent="0.25">
      <c r="B1927" s="256"/>
      <c r="C1927" s="257"/>
      <c r="D1927" s="258"/>
      <c r="E1927" s="258"/>
      <c r="F1927" s="259"/>
      <c r="G1927" s="259"/>
      <c r="H1927" s="260"/>
      <c r="I1927" s="261" t="str">
        <f>IFERROR(MID(作者统计[[#This Row],[作者]],FIND("[",作者统计[[#This Row],[作者]],1)+1,FIND("]",作者统计[[#This Row],[作者]],1)-FIND("[",作者统计[[#This Row],[作者]],1)-1),"")</f>
        <v/>
      </c>
      <c r="J192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8" spans="2:10" ht="18" customHeight="1" x14ac:dyDescent="0.25">
      <c r="B1928" s="256"/>
      <c r="C1928" s="257"/>
      <c r="D1928" s="258"/>
      <c r="E1928" s="258"/>
      <c r="F1928" s="259"/>
      <c r="G1928" s="259"/>
      <c r="H1928" s="260"/>
      <c r="I1928" s="261" t="str">
        <f>IFERROR(MID(作者统计[[#This Row],[作者]],FIND("[",作者统计[[#This Row],[作者]],1)+1,FIND("]",作者统计[[#This Row],[作者]],1)-FIND("[",作者统计[[#This Row],[作者]],1)-1),"")</f>
        <v/>
      </c>
      <c r="J192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29" spans="2:10" ht="18" customHeight="1" x14ac:dyDescent="0.25">
      <c r="B1929" s="256"/>
      <c r="C1929" s="257"/>
      <c r="D1929" s="258"/>
      <c r="E1929" s="258"/>
      <c r="F1929" s="259"/>
      <c r="G1929" s="259"/>
      <c r="H1929" s="260"/>
      <c r="I1929" s="261" t="str">
        <f>IFERROR(MID(作者统计[[#This Row],[作者]],FIND("[",作者统计[[#This Row],[作者]],1)+1,FIND("]",作者统计[[#This Row],[作者]],1)-FIND("[",作者统计[[#This Row],[作者]],1)-1),"")</f>
        <v/>
      </c>
      <c r="J192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0" spans="2:10" ht="18" customHeight="1" x14ac:dyDescent="0.25">
      <c r="B1930" s="256"/>
      <c r="C1930" s="257"/>
      <c r="D1930" s="258"/>
      <c r="E1930" s="258"/>
      <c r="F1930" s="259"/>
      <c r="G1930" s="259"/>
      <c r="H1930" s="260"/>
      <c r="I1930" s="261" t="str">
        <f>IFERROR(MID(作者统计[[#This Row],[作者]],FIND("[",作者统计[[#This Row],[作者]],1)+1,FIND("]",作者统计[[#This Row],[作者]],1)-FIND("[",作者统计[[#This Row],[作者]],1)-1),"")</f>
        <v/>
      </c>
      <c r="J193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1" spans="2:10" ht="18" customHeight="1" x14ac:dyDescent="0.25">
      <c r="B1931" s="256"/>
      <c r="C1931" s="257"/>
      <c r="D1931" s="258"/>
      <c r="E1931" s="258"/>
      <c r="F1931" s="259"/>
      <c r="G1931" s="259"/>
      <c r="H1931" s="260"/>
      <c r="I1931" s="261" t="str">
        <f>IFERROR(MID(作者统计[[#This Row],[作者]],FIND("[",作者统计[[#This Row],[作者]],1)+1,FIND("]",作者统计[[#This Row],[作者]],1)-FIND("[",作者统计[[#This Row],[作者]],1)-1),"")</f>
        <v/>
      </c>
      <c r="J193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2" spans="2:10" ht="18" customHeight="1" x14ac:dyDescent="0.25">
      <c r="B1932" s="256"/>
      <c r="C1932" s="257"/>
      <c r="D1932" s="258"/>
      <c r="E1932" s="258"/>
      <c r="F1932" s="259"/>
      <c r="G1932" s="259"/>
      <c r="H1932" s="260"/>
      <c r="I1932" s="261" t="str">
        <f>IFERROR(MID(作者统计[[#This Row],[作者]],FIND("[",作者统计[[#This Row],[作者]],1)+1,FIND("]",作者统计[[#This Row],[作者]],1)-FIND("[",作者统计[[#This Row],[作者]],1)-1),"")</f>
        <v/>
      </c>
      <c r="J193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3" spans="2:10" ht="18" customHeight="1" x14ac:dyDescent="0.25">
      <c r="B1933" s="256"/>
      <c r="C1933" s="257"/>
      <c r="D1933" s="258"/>
      <c r="E1933" s="258"/>
      <c r="F1933" s="259"/>
      <c r="G1933" s="259"/>
      <c r="H1933" s="260"/>
      <c r="I1933" s="261" t="str">
        <f>IFERROR(MID(作者统计[[#This Row],[作者]],FIND("[",作者统计[[#This Row],[作者]],1)+1,FIND("]",作者统计[[#This Row],[作者]],1)-FIND("[",作者统计[[#This Row],[作者]],1)-1),"")</f>
        <v/>
      </c>
      <c r="J193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4" spans="2:10" ht="18" customHeight="1" x14ac:dyDescent="0.25">
      <c r="B1934" s="256"/>
      <c r="C1934" s="257"/>
      <c r="D1934" s="258"/>
      <c r="E1934" s="258"/>
      <c r="F1934" s="259"/>
      <c r="G1934" s="259"/>
      <c r="H1934" s="260"/>
      <c r="I1934" s="261" t="str">
        <f>IFERROR(MID(作者统计[[#This Row],[作者]],FIND("[",作者统计[[#This Row],[作者]],1)+1,FIND("]",作者统计[[#This Row],[作者]],1)-FIND("[",作者统计[[#This Row],[作者]],1)-1),"")</f>
        <v/>
      </c>
      <c r="J193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5" spans="2:10" ht="18" customHeight="1" x14ac:dyDescent="0.25">
      <c r="B1935" s="256"/>
      <c r="C1935" s="257"/>
      <c r="D1935" s="258"/>
      <c r="E1935" s="258"/>
      <c r="F1935" s="259"/>
      <c r="G1935" s="259"/>
      <c r="H1935" s="260"/>
      <c r="I1935" s="261" t="str">
        <f>IFERROR(MID(作者统计[[#This Row],[作者]],FIND("[",作者统计[[#This Row],[作者]],1)+1,FIND("]",作者统计[[#This Row],[作者]],1)-FIND("[",作者统计[[#This Row],[作者]],1)-1),"")</f>
        <v/>
      </c>
      <c r="J193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6" spans="2:10" ht="18" customHeight="1" x14ac:dyDescent="0.25">
      <c r="B1936" s="256"/>
      <c r="C1936" s="257"/>
      <c r="D1936" s="258"/>
      <c r="E1936" s="258"/>
      <c r="F1936" s="259"/>
      <c r="G1936" s="259"/>
      <c r="H1936" s="260"/>
      <c r="I1936" s="261" t="str">
        <f>IFERROR(MID(作者统计[[#This Row],[作者]],FIND("[",作者统计[[#This Row],[作者]],1)+1,FIND("]",作者统计[[#This Row],[作者]],1)-FIND("[",作者统计[[#This Row],[作者]],1)-1),"")</f>
        <v/>
      </c>
      <c r="J193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7" spans="2:10" ht="18" customHeight="1" x14ac:dyDescent="0.25">
      <c r="B1937" s="256"/>
      <c r="C1937" s="257"/>
      <c r="D1937" s="258"/>
      <c r="E1937" s="258"/>
      <c r="F1937" s="259"/>
      <c r="G1937" s="259"/>
      <c r="H1937" s="260"/>
      <c r="I1937" s="261" t="str">
        <f>IFERROR(MID(作者统计[[#This Row],[作者]],FIND("[",作者统计[[#This Row],[作者]],1)+1,FIND("]",作者统计[[#This Row],[作者]],1)-FIND("[",作者统计[[#This Row],[作者]],1)-1),"")</f>
        <v/>
      </c>
      <c r="J193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8" spans="2:10" ht="18" customHeight="1" x14ac:dyDescent="0.25">
      <c r="B1938" s="256"/>
      <c r="C1938" s="257"/>
      <c r="D1938" s="258"/>
      <c r="E1938" s="258"/>
      <c r="F1938" s="259"/>
      <c r="G1938" s="259"/>
      <c r="H1938" s="260"/>
      <c r="I1938" s="261" t="str">
        <f>IFERROR(MID(作者统计[[#This Row],[作者]],FIND("[",作者统计[[#This Row],[作者]],1)+1,FIND("]",作者统计[[#This Row],[作者]],1)-FIND("[",作者统计[[#This Row],[作者]],1)-1),"")</f>
        <v/>
      </c>
      <c r="J193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39" spans="2:10" ht="18" customHeight="1" x14ac:dyDescent="0.25">
      <c r="B1939" s="256"/>
      <c r="C1939" s="257"/>
      <c r="D1939" s="258"/>
      <c r="E1939" s="258"/>
      <c r="F1939" s="259"/>
      <c r="G1939" s="259"/>
      <c r="H1939" s="260"/>
      <c r="I1939" s="261" t="str">
        <f>IFERROR(MID(作者统计[[#This Row],[作者]],FIND("[",作者统计[[#This Row],[作者]],1)+1,FIND("]",作者统计[[#This Row],[作者]],1)-FIND("[",作者统计[[#This Row],[作者]],1)-1),"")</f>
        <v/>
      </c>
      <c r="J193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0" spans="2:10" ht="18" customHeight="1" x14ac:dyDescent="0.25">
      <c r="B1940" s="256"/>
      <c r="C1940" s="257"/>
      <c r="D1940" s="258"/>
      <c r="E1940" s="258"/>
      <c r="F1940" s="259"/>
      <c r="G1940" s="259"/>
      <c r="H1940" s="260"/>
      <c r="I1940" s="261" t="str">
        <f>IFERROR(MID(作者统计[[#This Row],[作者]],FIND("[",作者统计[[#This Row],[作者]],1)+1,FIND("]",作者统计[[#This Row],[作者]],1)-FIND("[",作者统计[[#This Row],[作者]],1)-1),"")</f>
        <v/>
      </c>
      <c r="J194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1" spans="2:10" ht="18" customHeight="1" x14ac:dyDescent="0.25">
      <c r="B1941" s="256"/>
      <c r="C1941" s="257"/>
      <c r="D1941" s="258"/>
      <c r="E1941" s="258"/>
      <c r="F1941" s="259"/>
      <c r="G1941" s="259"/>
      <c r="H1941" s="260"/>
      <c r="I1941" s="261" t="str">
        <f>IFERROR(MID(作者统计[[#This Row],[作者]],FIND("[",作者统计[[#This Row],[作者]],1)+1,FIND("]",作者统计[[#This Row],[作者]],1)-FIND("[",作者统计[[#This Row],[作者]],1)-1),"")</f>
        <v/>
      </c>
      <c r="J194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2" spans="2:10" ht="18" customHeight="1" x14ac:dyDescent="0.25">
      <c r="B1942" s="256"/>
      <c r="C1942" s="257"/>
      <c r="D1942" s="258"/>
      <c r="E1942" s="258"/>
      <c r="F1942" s="259"/>
      <c r="G1942" s="259"/>
      <c r="H1942" s="260"/>
      <c r="I1942" s="261" t="str">
        <f>IFERROR(MID(作者统计[[#This Row],[作者]],FIND("[",作者统计[[#This Row],[作者]],1)+1,FIND("]",作者统计[[#This Row],[作者]],1)-FIND("[",作者统计[[#This Row],[作者]],1)-1),"")</f>
        <v/>
      </c>
      <c r="J1942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3" spans="2:10" ht="18" customHeight="1" x14ac:dyDescent="0.25">
      <c r="B1943" s="256"/>
      <c r="C1943" s="257"/>
      <c r="D1943" s="258"/>
      <c r="E1943" s="258"/>
      <c r="F1943" s="259"/>
      <c r="G1943" s="259"/>
      <c r="H1943" s="260"/>
      <c r="I1943" s="261" t="str">
        <f>IFERROR(MID(作者统计[[#This Row],[作者]],FIND("[",作者统计[[#This Row],[作者]],1)+1,FIND("]",作者统计[[#This Row],[作者]],1)-FIND("[",作者统计[[#This Row],[作者]],1)-1),"")</f>
        <v/>
      </c>
      <c r="J1943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4" spans="2:10" ht="18" customHeight="1" x14ac:dyDescent="0.25">
      <c r="B1944" s="256"/>
      <c r="C1944" s="257"/>
      <c r="D1944" s="258"/>
      <c r="E1944" s="258"/>
      <c r="F1944" s="259"/>
      <c r="G1944" s="259"/>
      <c r="H1944" s="260"/>
      <c r="I1944" s="261" t="str">
        <f>IFERROR(MID(作者统计[[#This Row],[作者]],FIND("[",作者统计[[#This Row],[作者]],1)+1,FIND("]",作者统计[[#This Row],[作者]],1)-FIND("[",作者统计[[#This Row],[作者]],1)-1),"")</f>
        <v/>
      </c>
      <c r="J1944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5" spans="2:10" ht="18" customHeight="1" x14ac:dyDescent="0.25">
      <c r="B1945" s="256"/>
      <c r="C1945" s="257"/>
      <c r="D1945" s="258"/>
      <c r="E1945" s="258"/>
      <c r="F1945" s="259"/>
      <c r="G1945" s="259"/>
      <c r="H1945" s="260"/>
      <c r="I1945" s="261" t="str">
        <f>IFERROR(MID(作者统计[[#This Row],[作者]],FIND("[",作者统计[[#This Row],[作者]],1)+1,FIND("]",作者统计[[#This Row],[作者]],1)-FIND("[",作者统计[[#This Row],[作者]],1)-1),"")</f>
        <v/>
      </c>
      <c r="J1945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6" spans="2:10" ht="18" customHeight="1" x14ac:dyDescent="0.25">
      <c r="B1946" s="256"/>
      <c r="C1946" s="257"/>
      <c r="D1946" s="258"/>
      <c r="E1946" s="258"/>
      <c r="F1946" s="259"/>
      <c r="G1946" s="259"/>
      <c r="H1946" s="260"/>
      <c r="I1946" s="261" t="str">
        <f>IFERROR(MID(作者统计[[#This Row],[作者]],FIND("[",作者统计[[#This Row],[作者]],1)+1,FIND("]",作者统计[[#This Row],[作者]],1)-FIND("[",作者统计[[#This Row],[作者]],1)-1),"")</f>
        <v/>
      </c>
      <c r="J1946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7" spans="2:10" ht="18" customHeight="1" x14ac:dyDescent="0.25">
      <c r="B1947" s="256"/>
      <c r="C1947" s="257"/>
      <c r="D1947" s="258"/>
      <c r="E1947" s="258"/>
      <c r="F1947" s="259"/>
      <c r="G1947" s="259"/>
      <c r="H1947" s="260"/>
      <c r="I1947" s="261" t="str">
        <f>IFERROR(MID(作者统计[[#This Row],[作者]],FIND("[",作者统计[[#This Row],[作者]],1)+1,FIND("]",作者统计[[#This Row],[作者]],1)-FIND("[",作者统计[[#This Row],[作者]],1)-1),"")</f>
        <v/>
      </c>
      <c r="J1947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8" spans="2:10" ht="18" customHeight="1" x14ac:dyDescent="0.25">
      <c r="B1948" s="256"/>
      <c r="C1948" s="257"/>
      <c r="D1948" s="258"/>
      <c r="E1948" s="258"/>
      <c r="F1948" s="259"/>
      <c r="G1948" s="259"/>
      <c r="H1948" s="260"/>
      <c r="I1948" s="261" t="str">
        <f>IFERROR(MID(作者统计[[#This Row],[作者]],FIND("[",作者统计[[#This Row],[作者]],1)+1,FIND("]",作者统计[[#This Row],[作者]],1)-FIND("[",作者统计[[#This Row],[作者]],1)-1),"")</f>
        <v/>
      </c>
      <c r="J1948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49" spans="2:10" ht="18" customHeight="1" x14ac:dyDescent="0.25">
      <c r="B1949" s="256"/>
      <c r="C1949" s="257"/>
      <c r="D1949" s="258"/>
      <c r="E1949" s="258"/>
      <c r="F1949" s="259"/>
      <c r="G1949" s="259"/>
      <c r="H1949" s="260"/>
      <c r="I1949" s="261" t="str">
        <f>IFERROR(MID(作者统计[[#This Row],[作者]],FIND("[",作者统计[[#This Row],[作者]],1)+1,FIND("]",作者统计[[#This Row],[作者]],1)-FIND("[",作者统计[[#This Row],[作者]],1)-1),"")</f>
        <v/>
      </c>
      <c r="J1949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50" spans="2:10" ht="18" customHeight="1" x14ac:dyDescent="0.25">
      <c r="B1950" s="256"/>
      <c r="C1950" s="257"/>
      <c r="D1950" s="258"/>
      <c r="E1950" s="258"/>
      <c r="F1950" s="259"/>
      <c r="G1950" s="259"/>
      <c r="H1950" s="260"/>
      <c r="I1950" s="261" t="str">
        <f>IFERROR(MID(作者统计[[#This Row],[作者]],FIND("[",作者统计[[#This Row],[作者]],1)+1,FIND("]",作者统计[[#This Row],[作者]],1)-FIND("[",作者统计[[#This Row],[作者]],1)-1),"")</f>
        <v/>
      </c>
      <c r="J1950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51" spans="2:10" ht="18" customHeight="1" x14ac:dyDescent="0.25">
      <c r="B1951" s="256"/>
      <c r="C1951" s="257"/>
      <c r="D1951" s="258"/>
      <c r="E1951" s="258"/>
      <c r="F1951" s="259"/>
      <c r="G1951" s="259"/>
      <c r="H1951" s="260"/>
      <c r="I1951" s="261" t="str">
        <f>IFERROR(MID(作者统计[[#This Row],[作者]],FIND("[",作者统计[[#This Row],[作者]],1)+1,FIND("]",作者统计[[#This Row],[作者]],1)-FIND("[",作者统计[[#This Row],[作者]],1)-1),"")</f>
        <v/>
      </c>
      <c r="J1951" s="261" t="str">
        <f>IFERROR(MID(作者统计[[#This Row],[作者]],FIND("(",作者统计[[#This Row],[作者]],1)+1,FIND(")",作者统计[[#This Row],[作者]],1)-FIND("(",作者统计[[#This Row],[作者]],1)-1),"")</f>
        <v/>
      </c>
    </row>
    <row r="1952" spans="2:10" ht="18" customHeight="1" x14ac:dyDescent="0.25">
      <c r="B1952" s="262"/>
      <c r="C1952" s="263"/>
      <c r="D1952" s="264"/>
      <c r="E1952" s="264"/>
      <c r="F1952" s="265"/>
      <c r="G1952" s="265"/>
      <c r="H1952" s="266"/>
      <c r="I1952" s="267" t="str">
        <f>IFERROR(MID(作者统计[[#This Row],[作者]],FIND("[",作者统计[[#This Row],[作者]],1)+1,FIND("]",作者统计[[#This Row],[作者]],1)-FIND("[",作者统计[[#This Row],[作者]],1)-1),"")</f>
        <v/>
      </c>
      <c r="J1952" s="267" t="str">
        <f>IFERROR(MID(作者统计[[#This Row],[作者]],FIND("(",作者统计[[#This Row],[作者]],1)+1,FIND(")",作者统计[[#This Row],[作者]],1)-FIND("(",作者统计[[#This Row],[作者]],1)-1),"")</f>
        <v/>
      </c>
    </row>
  </sheetData>
  <mergeCells count="3">
    <mergeCell ref="L3:P4"/>
    <mergeCell ref="R3:V4"/>
    <mergeCell ref="B2:F4"/>
  </mergeCells>
  <phoneticPr fontId="1" type="noConversion"/>
  <conditionalFormatting sqref="A1:XFD1 A2:B2 A3:A4 G2:XFD2 G4:XFD4 I3:XFD3 A5:XFD1048576">
    <cfRule type="containsBlanks" dxfId="39" priority="2">
      <formula>LEN(TRIM(A1))=0</formula>
    </cfRule>
  </conditionalFormatting>
  <conditionalFormatting sqref="G3:H3">
    <cfRule type="containsBlanks" dxfId="38" priority="1">
      <formula>LEN(TRIM(G3))=0</formula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08"/>
  <dimension ref="B2:H1548"/>
  <sheetViews>
    <sheetView zoomScale="85" zoomScaleNormal="85" workbookViewId="0"/>
  </sheetViews>
  <sheetFormatPr defaultRowHeight="18" customHeight="1" x14ac:dyDescent="0.25"/>
  <cols>
    <col min="1" max="1" width="3.6640625" customWidth="1"/>
    <col min="2" max="2" width="7.6640625" bestFit="1" customWidth="1"/>
    <col min="3" max="3" width="48.33203125" bestFit="1" customWidth="1"/>
    <col min="4" max="5" width="7.6640625" bestFit="1" customWidth="1"/>
    <col min="6" max="6" width="11.109375" bestFit="1" customWidth="1"/>
    <col min="7" max="7" width="10" bestFit="1" customWidth="1"/>
    <col min="8" max="8" width="11.109375" bestFit="1" customWidth="1"/>
  </cols>
  <sheetData>
    <row r="2" spans="2:8" ht="18" customHeight="1" x14ac:dyDescent="0.25">
      <c r="B2" s="365" t="s">
        <v>170</v>
      </c>
      <c r="C2" s="366"/>
      <c r="D2" s="366"/>
      <c r="E2" s="366"/>
      <c r="F2" s="366"/>
      <c r="G2" s="135"/>
      <c r="H2" s="136"/>
    </row>
    <row r="3" spans="2:8" ht="18" customHeight="1" x14ac:dyDescent="0.25">
      <c r="B3" s="367"/>
      <c r="C3" s="368"/>
      <c r="D3" s="368"/>
      <c r="E3" s="368"/>
      <c r="F3" s="368"/>
      <c r="G3" s="50" t="s">
        <v>171</v>
      </c>
      <c r="H3" s="54">
        <f>COUNTA(C:C)-1</f>
        <v>1</v>
      </c>
    </row>
    <row r="4" spans="2:8" ht="18" customHeight="1" x14ac:dyDescent="0.25">
      <c r="B4" s="369"/>
      <c r="C4" s="370"/>
      <c r="D4" s="370"/>
      <c r="E4" s="370"/>
      <c r="F4" s="370"/>
      <c r="G4" s="137"/>
      <c r="H4" s="138"/>
    </row>
    <row r="5" spans="2:8" ht="18" customHeight="1" x14ac:dyDescent="0.25">
      <c r="B5" s="184" t="s">
        <v>87</v>
      </c>
      <c r="C5" s="185" t="s">
        <v>172</v>
      </c>
      <c r="D5" s="186" t="s">
        <v>13</v>
      </c>
      <c r="E5" s="186" t="s">
        <v>14</v>
      </c>
      <c r="F5" s="187" t="s">
        <v>19</v>
      </c>
      <c r="G5" s="187" t="s">
        <v>15</v>
      </c>
      <c r="H5" s="188" t="s">
        <v>18</v>
      </c>
    </row>
    <row r="6" spans="2:8" ht="18" customHeight="1" x14ac:dyDescent="0.25">
      <c r="B6" s="245">
        <v>1</v>
      </c>
      <c r="C6" s="247" t="s">
        <v>235</v>
      </c>
      <c r="D6" s="248">
        <f>COUNTIF(书库!AI:AI,译者统计[[#This Row],[译者]])+COUNTIF(书库!AJ:AJ,译者统计[[#This Row],[译者]])+COUNTIF(书库!AK:AK,译者统计[[#This Row],[译者]])+COUNTIF(书库!AL:AL,译者统计[[#This Row],[译者]])</f>
        <v>0</v>
      </c>
      <c r="E6" s="248">
        <f>SUMIF(书库!AI:AI,译者统计[[#This Row],[译者]],书库!X:X)+SUMIF(书库!AJ:AJ,译者统计[[#This Row],[译者]],书库!X:X)+SUMIF(书库!AK:AK,译者统计[[#This Row],[译者]],书库!X:X)+SUMIF(书库!AL:AL,译者统计[[#This Row],[译者]],书库!X:X)</f>
        <v>0</v>
      </c>
      <c r="F6" s="249">
        <f>SUMIF(书库!AI:AI,译者统计[[#This Row],[译者]],书库!T:T)+SUMIF(书库!AJ:AJ,译者统计[[#This Row],[译者]],书库!T:T)+SUMIF(书库!AK:AK,译者统计[[#This Row],[译者]],书库!T:T)+SUMIF(书库!AL:AL,译者统计[[#This Row],[译者]],书库!T:T)</f>
        <v>0</v>
      </c>
      <c r="G6" s="249" t="e">
        <f>F6/E6</f>
        <v>#DIV/0!</v>
      </c>
      <c r="H6" s="250" t="e">
        <f>ROUND(F6/(SUMIF(书库!AI:AI,译者统计[[#This Row],[译者]],书库!S:S)+SUMIF(书库!AJ:AJ,译者统计[[#This Row],[译者]],书库!S:S)+SUMIF(书库!AK:AK,译者统计[[#This Row],[译者]],书库!S:S)+SUMIF(书库!AL:AL,译者统计[[#This Row],[译者]],书库!S:S))*10,2)&amp;"折"</f>
        <v>#DIV/0!</v>
      </c>
    </row>
    <row r="7" spans="2:8" ht="18" customHeight="1" x14ac:dyDescent="0.25">
      <c r="B7" s="245"/>
      <c r="C7" s="247"/>
      <c r="D7" s="248"/>
      <c r="E7" s="248"/>
      <c r="F7" s="249"/>
      <c r="G7" s="249"/>
      <c r="H7" s="250"/>
    </row>
    <row r="8" spans="2:8" ht="18" customHeight="1" x14ac:dyDescent="0.25">
      <c r="B8" s="245"/>
      <c r="C8" s="246"/>
      <c r="D8" s="248"/>
      <c r="E8" s="248"/>
      <c r="F8" s="249"/>
      <c r="G8" s="249"/>
      <c r="H8" s="250"/>
    </row>
    <row r="9" spans="2:8" ht="18" customHeight="1" x14ac:dyDescent="0.25">
      <c r="B9" s="67"/>
      <c r="C9" s="39"/>
      <c r="D9" s="68"/>
      <c r="E9" s="68"/>
      <c r="F9" s="58"/>
      <c r="G9" s="58"/>
      <c r="H9" s="211"/>
    </row>
    <row r="10" spans="2:8" ht="18" customHeight="1" x14ac:dyDescent="0.25">
      <c r="B10" s="245"/>
      <c r="C10" s="247"/>
      <c r="D10" s="248"/>
      <c r="E10" s="248"/>
      <c r="F10" s="249"/>
      <c r="G10" s="249"/>
      <c r="H10" s="250"/>
    </row>
    <row r="11" spans="2:8" ht="18" customHeight="1" x14ac:dyDescent="0.25">
      <c r="B11" s="67"/>
      <c r="C11" s="39"/>
      <c r="D11" s="68"/>
      <c r="E11" s="68"/>
      <c r="F11" s="58"/>
      <c r="G11" s="58"/>
      <c r="H11" s="211"/>
    </row>
    <row r="12" spans="2:8" ht="18" customHeight="1" x14ac:dyDescent="0.25">
      <c r="B12" s="245"/>
      <c r="C12" s="247"/>
      <c r="D12" s="248"/>
      <c r="E12" s="248"/>
      <c r="F12" s="249"/>
      <c r="G12" s="249"/>
      <c r="H12" s="250"/>
    </row>
    <row r="13" spans="2:8" ht="18" customHeight="1" x14ac:dyDescent="0.25">
      <c r="B13" s="245"/>
      <c r="C13" s="247"/>
      <c r="D13" s="248"/>
      <c r="E13" s="248"/>
      <c r="F13" s="249"/>
      <c r="G13" s="249"/>
      <c r="H13" s="250"/>
    </row>
    <row r="14" spans="2:8" ht="18" customHeight="1" x14ac:dyDescent="0.25">
      <c r="B14" s="245"/>
      <c r="C14" s="247"/>
      <c r="D14" s="248"/>
      <c r="E14" s="248"/>
      <c r="F14" s="249"/>
      <c r="G14" s="249"/>
      <c r="H14" s="250"/>
    </row>
    <row r="15" spans="2:8" ht="18" customHeight="1" x14ac:dyDescent="0.25">
      <c r="B15" s="67"/>
      <c r="C15" s="39"/>
      <c r="D15" s="68"/>
      <c r="E15" s="68"/>
      <c r="F15" s="58"/>
      <c r="G15" s="58"/>
      <c r="H15" s="211"/>
    </row>
    <row r="16" spans="2:8" ht="18" customHeight="1" x14ac:dyDescent="0.25">
      <c r="B16" s="67"/>
      <c r="C16" s="39"/>
      <c r="D16" s="68"/>
      <c r="E16" s="68"/>
      <c r="F16" s="58"/>
      <c r="G16" s="58"/>
      <c r="H16" s="211"/>
    </row>
    <row r="17" spans="2:8" ht="18" customHeight="1" x14ac:dyDescent="0.25">
      <c r="B17" s="245"/>
      <c r="C17" s="247"/>
      <c r="D17" s="248"/>
      <c r="E17" s="248"/>
      <c r="F17" s="249"/>
      <c r="G17" s="249"/>
      <c r="H17" s="250"/>
    </row>
    <row r="18" spans="2:8" ht="18" customHeight="1" x14ac:dyDescent="0.25">
      <c r="B18" s="245"/>
      <c r="C18" s="247"/>
      <c r="D18" s="248"/>
      <c r="E18" s="248"/>
      <c r="F18" s="249"/>
      <c r="G18" s="249"/>
      <c r="H18" s="250"/>
    </row>
    <row r="19" spans="2:8" ht="18" customHeight="1" x14ac:dyDescent="0.25">
      <c r="B19" s="245"/>
      <c r="C19" s="247"/>
      <c r="D19" s="248"/>
      <c r="E19" s="248"/>
      <c r="F19" s="249"/>
      <c r="G19" s="249"/>
      <c r="H19" s="250"/>
    </row>
    <row r="20" spans="2:8" ht="18" customHeight="1" x14ac:dyDescent="0.25">
      <c r="B20" s="67"/>
      <c r="C20" s="39"/>
      <c r="D20" s="68"/>
      <c r="E20" s="68"/>
      <c r="F20" s="58"/>
      <c r="G20" s="58"/>
      <c r="H20" s="211"/>
    </row>
    <row r="21" spans="2:8" ht="18" customHeight="1" x14ac:dyDescent="0.25">
      <c r="B21" s="245"/>
      <c r="C21" s="247"/>
      <c r="D21" s="248"/>
      <c r="E21" s="248"/>
      <c r="F21" s="249"/>
      <c r="G21" s="249"/>
      <c r="H21" s="250"/>
    </row>
    <row r="22" spans="2:8" ht="18" customHeight="1" x14ac:dyDescent="0.25">
      <c r="B22" s="245"/>
      <c r="C22" s="247"/>
      <c r="D22" s="248"/>
      <c r="E22" s="248"/>
      <c r="F22" s="249"/>
      <c r="G22" s="249"/>
      <c r="H22" s="250"/>
    </row>
    <row r="23" spans="2:8" ht="18" customHeight="1" x14ac:dyDescent="0.25">
      <c r="B23" s="67"/>
      <c r="C23" s="39"/>
      <c r="D23" s="68"/>
      <c r="E23" s="68"/>
      <c r="F23" s="58"/>
      <c r="G23" s="58"/>
      <c r="H23" s="211"/>
    </row>
    <row r="24" spans="2:8" ht="18" customHeight="1" x14ac:dyDescent="0.25">
      <c r="B24" s="245"/>
      <c r="C24" s="247"/>
      <c r="D24" s="248"/>
      <c r="E24" s="248"/>
      <c r="F24" s="249"/>
      <c r="G24" s="249"/>
      <c r="H24" s="250"/>
    </row>
    <row r="25" spans="2:8" ht="18" customHeight="1" x14ac:dyDescent="0.25">
      <c r="B25" s="245"/>
      <c r="C25" s="247"/>
      <c r="D25" s="248"/>
      <c r="E25" s="248"/>
      <c r="F25" s="249"/>
      <c r="G25" s="249"/>
      <c r="H25" s="250"/>
    </row>
    <row r="26" spans="2:8" ht="18" customHeight="1" x14ac:dyDescent="0.25">
      <c r="B26" s="67"/>
      <c r="C26" s="39"/>
      <c r="D26" s="68"/>
      <c r="E26" s="68"/>
      <c r="F26" s="58"/>
      <c r="G26" s="58"/>
      <c r="H26" s="211"/>
    </row>
    <row r="27" spans="2:8" ht="18" customHeight="1" x14ac:dyDescent="0.25">
      <c r="B27" s="67"/>
      <c r="C27" s="39"/>
      <c r="D27" s="68"/>
      <c r="E27" s="68"/>
      <c r="F27" s="58"/>
      <c r="G27" s="58"/>
      <c r="H27" s="211"/>
    </row>
    <row r="28" spans="2:8" ht="18" customHeight="1" x14ac:dyDescent="0.25">
      <c r="B28" s="67"/>
      <c r="C28" s="39"/>
      <c r="D28" s="68"/>
      <c r="E28" s="68"/>
      <c r="F28" s="58"/>
      <c r="G28" s="58"/>
      <c r="H28" s="211"/>
    </row>
    <row r="29" spans="2:8" ht="18" customHeight="1" x14ac:dyDescent="0.25">
      <c r="B29" s="245"/>
      <c r="C29" s="247"/>
      <c r="D29" s="248"/>
      <c r="E29" s="248"/>
      <c r="F29" s="249"/>
      <c r="G29" s="249"/>
      <c r="H29" s="250"/>
    </row>
    <row r="30" spans="2:8" ht="18" customHeight="1" x14ac:dyDescent="0.25">
      <c r="B30" s="67"/>
      <c r="C30" s="39"/>
      <c r="D30" s="68"/>
      <c r="E30" s="68"/>
      <c r="F30" s="58"/>
      <c r="G30" s="58"/>
      <c r="H30" s="211"/>
    </row>
    <row r="31" spans="2:8" ht="18" customHeight="1" x14ac:dyDescent="0.25">
      <c r="B31" s="245"/>
      <c r="C31" s="247"/>
      <c r="D31" s="248"/>
      <c r="E31" s="248"/>
      <c r="F31" s="249"/>
      <c r="G31" s="249"/>
      <c r="H31" s="250"/>
    </row>
    <row r="32" spans="2:8" ht="18" customHeight="1" x14ac:dyDescent="0.25">
      <c r="B32" s="67"/>
      <c r="C32" s="39"/>
      <c r="D32" s="68"/>
      <c r="E32" s="68"/>
      <c r="F32" s="58"/>
      <c r="G32" s="58"/>
      <c r="H32" s="211"/>
    </row>
    <row r="33" spans="2:8" ht="18" customHeight="1" x14ac:dyDescent="0.25">
      <c r="B33" s="67"/>
      <c r="C33" s="39"/>
      <c r="D33" s="68"/>
      <c r="E33" s="68"/>
      <c r="F33" s="58"/>
      <c r="G33" s="58"/>
      <c r="H33" s="211"/>
    </row>
    <row r="34" spans="2:8" ht="18" customHeight="1" x14ac:dyDescent="0.25">
      <c r="B34" s="67"/>
      <c r="C34" s="39"/>
      <c r="D34" s="68"/>
      <c r="E34" s="68"/>
      <c r="F34" s="58"/>
      <c r="G34" s="58"/>
      <c r="H34" s="211"/>
    </row>
    <row r="35" spans="2:8" ht="18" customHeight="1" x14ac:dyDescent="0.25">
      <c r="B35" s="67"/>
      <c r="C35" s="39"/>
      <c r="D35" s="68"/>
      <c r="E35" s="68"/>
      <c r="F35" s="58"/>
      <c r="G35" s="58"/>
      <c r="H35" s="211"/>
    </row>
    <row r="36" spans="2:8" ht="18" customHeight="1" x14ac:dyDescent="0.25">
      <c r="B36" s="67"/>
      <c r="C36" s="39"/>
      <c r="D36" s="68"/>
      <c r="E36" s="68"/>
      <c r="F36" s="58"/>
      <c r="G36" s="58"/>
      <c r="H36" s="211"/>
    </row>
    <row r="37" spans="2:8" ht="18" customHeight="1" x14ac:dyDescent="0.25">
      <c r="B37" s="245"/>
      <c r="C37" s="247"/>
      <c r="D37" s="248"/>
      <c r="E37" s="248"/>
      <c r="F37" s="249"/>
      <c r="G37" s="249"/>
      <c r="H37" s="250"/>
    </row>
    <row r="38" spans="2:8" ht="18" customHeight="1" x14ac:dyDescent="0.25">
      <c r="B38" s="245"/>
      <c r="C38" s="247"/>
      <c r="D38" s="248"/>
      <c r="E38" s="248"/>
      <c r="F38" s="249"/>
      <c r="G38" s="249"/>
      <c r="H38" s="250"/>
    </row>
    <row r="39" spans="2:8" ht="18" customHeight="1" x14ac:dyDescent="0.25">
      <c r="B39" s="67"/>
      <c r="C39" s="39"/>
      <c r="D39" s="68"/>
      <c r="E39" s="68"/>
      <c r="F39" s="58"/>
      <c r="G39" s="58"/>
      <c r="H39" s="211"/>
    </row>
    <row r="40" spans="2:8" ht="18" customHeight="1" x14ac:dyDescent="0.25">
      <c r="B40" s="245"/>
      <c r="C40" s="247"/>
      <c r="D40" s="248"/>
      <c r="E40" s="248"/>
      <c r="F40" s="249"/>
      <c r="G40" s="249"/>
      <c r="H40" s="250"/>
    </row>
    <row r="41" spans="2:8" ht="18" customHeight="1" x14ac:dyDescent="0.25">
      <c r="B41" s="245"/>
      <c r="C41" s="247"/>
      <c r="D41" s="248"/>
      <c r="E41" s="248"/>
      <c r="F41" s="249"/>
      <c r="G41" s="249"/>
      <c r="H41" s="250"/>
    </row>
    <row r="42" spans="2:8" ht="18" customHeight="1" x14ac:dyDescent="0.25">
      <c r="B42" s="67"/>
      <c r="C42" s="39"/>
      <c r="D42" s="68"/>
      <c r="E42" s="68"/>
      <c r="F42" s="58"/>
      <c r="G42" s="58"/>
      <c r="H42" s="211"/>
    </row>
    <row r="43" spans="2:8" ht="18" customHeight="1" x14ac:dyDescent="0.25">
      <c r="B43" s="67"/>
      <c r="C43" s="39"/>
      <c r="D43" s="68"/>
      <c r="E43" s="68"/>
      <c r="F43" s="58"/>
      <c r="G43" s="58"/>
      <c r="H43" s="211"/>
    </row>
    <row r="44" spans="2:8" ht="18" customHeight="1" x14ac:dyDescent="0.25">
      <c r="B44" s="67"/>
      <c r="C44" s="39"/>
      <c r="D44" s="68"/>
      <c r="E44" s="68"/>
      <c r="F44" s="58"/>
      <c r="G44" s="58"/>
      <c r="H44" s="211"/>
    </row>
    <row r="45" spans="2:8" ht="18" customHeight="1" x14ac:dyDescent="0.25">
      <c r="B45" s="67"/>
      <c r="C45" s="39"/>
      <c r="D45" s="68"/>
      <c r="E45" s="68"/>
      <c r="F45" s="58"/>
      <c r="G45" s="58"/>
      <c r="H45" s="211"/>
    </row>
    <row r="46" spans="2:8" ht="18" customHeight="1" x14ac:dyDescent="0.25">
      <c r="B46" s="245"/>
      <c r="C46" s="247"/>
      <c r="D46" s="248"/>
      <c r="E46" s="248"/>
      <c r="F46" s="249"/>
      <c r="G46" s="249"/>
      <c r="H46" s="250"/>
    </row>
    <row r="47" spans="2:8" ht="18" customHeight="1" x14ac:dyDescent="0.25">
      <c r="B47" s="67"/>
      <c r="C47" s="39"/>
      <c r="D47" s="68"/>
      <c r="E47" s="68"/>
      <c r="F47" s="58"/>
      <c r="G47" s="58"/>
      <c r="H47" s="211"/>
    </row>
    <row r="48" spans="2:8" ht="18" customHeight="1" x14ac:dyDescent="0.25">
      <c r="B48" s="245"/>
      <c r="C48" s="247"/>
      <c r="D48" s="248"/>
      <c r="E48" s="248"/>
      <c r="F48" s="249"/>
      <c r="G48" s="249"/>
      <c r="H48" s="250"/>
    </row>
    <row r="49" spans="2:8" ht="18" customHeight="1" x14ac:dyDescent="0.25">
      <c r="B49" s="67"/>
      <c r="C49" s="39"/>
      <c r="D49" s="68"/>
      <c r="E49" s="68"/>
      <c r="F49" s="58"/>
      <c r="G49" s="58"/>
      <c r="H49" s="211"/>
    </row>
    <row r="50" spans="2:8" ht="18" customHeight="1" x14ac:dyDescent="0.25">
      <c r="B50" s="67"/>
      <c r="C50" s="39"/>
      <c r="D50" s="68"/>
      <c r="E50" s="68"/>
      <c r="F50" s="58"/>
      <c r="G50" s="58"/>
      <c r="H50" s="211"/>
    </row>
    <row r="51" spans="2:8" ht="18" customHeight="1" x14ac:dyDescent="0.25">
      <c r="B51" s="67"/>
      <c r="C51" s="39"/>
      <c r="D51" s="68"/>
      <c r="E51" s="68"/>
      <c r="F51" s="58"/>
      <c r="G51" s="58"/>
      <c r="H51" s="211"/>
    </row>
    <row r="52" spans="2:8" ht="18" customHeight="1" x14ac:dyDescent="0.25">
      <c r="B52" s="67"/>
      <c r="C52" s="39"/>
      <c r="D52" s="68"/>
      <c r="E52" s="68"/>
      <c r="F52" s="58"/>
      <c r="G52" s="58"/>
      <c r="H52" s="211"/>
    </row>
    <row r="53" spans="2:8" ht="18" customHeight="1" x14ac:dyDescent="0.25">
      <c r="B53" s="67"/>
      <c r="C53" s="39"/>
      <c r="D53" s="68"/>
      <c r="E53" s="68"/>
      <c r="F53" s="58"/>
      <c r="G53" s="58"/>
      <c r="H53" s="211"/>
    </row>
    <row r="54" spans="2:8" ht="18" customHeight="1" x14ac:dyDescent="0.25">
      <c r="B54" s="212"/>
      <c r="C54" s="213"/>
      <c r="D54" s="108"/>
      <c r="E54" s="108"/>
      <c r="F54" s="214"/>
      <c r="G54" s="214"/>
      <c r="H54" s="215"/>
    </row>
    <row r="55" spans="2:8" ht="18" customHeight="1" x14ac:dyDescent="0.25">
      <c r="B55" s="245"/>
      <c r="C55" s="247"/>
      <c r="D55" s="248"/>
      <c r="E55" s="248"/>
      <c r="F55" s="249"/>
      <c r="G55" s="249"/>
      <c r="H55" s="250"/>
    </row>
    <row r="56" spans="2:8" ht="18" customHeight="1" x14ac:dyDescent="0.25">
      <c r="B56" s="67"/>
      <c r="C56" s="39"/>
      <c r="D56" s="68"/>
      <c r="E56" s="68"/>
      <c r="F56" s="58"/>
      <c r="G56" s="58"/>
      <c r="H56" s="211"/>
    </row>
    <row r="57" spans="2:8" ht="18" customHeight="1" x14ac:dyDescent="0.25">
      <c r="B57" s="67"/>
      <c r="C57" s="39"/>
      <c r="D57" s="68"/>
      <c r="E57" s="68"/>
      <c r="F57" s="58"/>
      <c r="G57" s="58"/>
      <c r="H57" s="211"/>
    </row>
    <row r="58" spans="2:8" ht="18" customHeight="1" x14ac:dyDescent="0.25">
      <c r="B58" s="212"/>
      <c r="C58" s="213"/>
      <c r="D58" s="108"/>
      <c r="E58" s="108"/>
      <c r="F58" s="214"/>
      <c r="G58" s="214"/>
      <c r="H58" s="215"/>
    </row>
    <row r="59" spans="2:8" ht="18" customHeight="1" x14ac:dyDescent="0.25">
      <c r="B59" s="67"/>
      <c r="C59" s="39"/>
      <c r="D59" s="68"/>
      <c r="E59" s="68"/>
      <c r="F59" s="58"/>
      <c r="G59" s="58"/>
      <c r="H59" s="211"/>
    </row>
    <row r="60" spans="2:8" ht="18" customHeight="1" x14ac:dyDescent="0.25">
      <c r="B60" s="67"/>
      <c r="C60" s="39"/>
      <c r="D60" s="68"/>
      <c r="E60" s="68"/>
      <c r="F60" s="58"/>
      <c r="G60" s="58"/>
      <c r="H60" s="211"/>
    </row>
    <row r="61" spans="2:8" ht="18" customHeight="1" x14ac:dyDescent="0.25">
      <c r="B61" s="67"/>
      <c r="C61" s="39"/>
      <c r="D61" s="68"/>
      <c r="E61" s="68"/>
      <c r="F61" s="58"/>
      <c r="G61" s="58"/>
      <c r="H61" s="211"/>
    </row>
    <row r="62" spans="2:8" ht="18" customHeight="1" x14ac:dyDescent="0.25">
      <c r="B62" s="67"/>
      <c r="C62" s="39"/>
      <c r="D62" s="68"/>
      <c r="E62" s="68"/>
      <c r="F62" s="58"/>
      <c r="G62" s="58"/>
      <c r="H62" s="211"/>
    </row>
    <row r="63" spans="2:8" ht="18" customHeight="1" x14ac:dyDescent="0.25">
      <c r="B63" s="67"/>
      <c r="C63" s="39"/>
      <c r="D63" s="68"/>
      <c r="E63" s="68"/>
      <c r="F63" s="58"/>
      <c r="G63" s="58"/>
      <c r="H63" s="211"/>
    </row>
    <row r="64" spans="2:8" ht="18" customHeight="1" x14ac:dyDescent="0.25">
      <c r="B64" s="245"/>
      <c r="C64" s="247"/>
      <c r="D64" s="248"/>
      <c r="E64" s="248"/>
      <c r="F64" s="249"/>
      <c r="G64" s="249"/>
      <c r="H64" s="250"/>
    </row>
    <row r="65" spans="2:8" ht="18" customHeight="1" x14ac:dyDescent="0.25">
      <c r="B65" s="245"/>
      <c r="C65" s="247"/>
      <c r="D65" s="248"/>
      <c r="E65" s="248"/>
      <c r="F65" s="249"/>
      <c r="G65" s="249"/>
      <c r="H65" s="250"/>
    </row>
    <row r="66" spans="2:8" ht="18" customHeight="1" x14ac:dyDescent="0.25">
      <c r="B66" s="245"/>
      <c r="C66" s="247"/>
      <c r="D66" s="248"/>
      <c r="E66" s="248"/>
      <c r="F66" s="249"/>
      <c r="G66" s="249"/>
      <c r="H66" s="250"/>
    </row>
    <row r="67" spans="2:8" ht="18" customHeight="1" x14ac:dyDescent="0.25">
      <c r="B67" s="67"/>
      <c r="C67" s="39"/>
      <c r="D67" s="68"/>
      <c r="E67" s="68"/>
      <c r="F67" s="58"/>
      <c r="G67" s="58"/>
      <c r="H67" s="211"/>
    </row>
    <row r="68" spans="2:8" ht="18" customHeight="1" x14ac:dyDescent="0.25">
      <c r="B68" s="245"/>
      <c r="C68" s="247"/>
      <c r="D68" s="248"/>
      <c r="E68" s="248"/>
      <c r="F68" s="249"/>
      <c r="G68" s="249"/>
      <c r="H68" s="250"/>
    </row>
    <row r="69" spans="2:8" ht="18" customHeight="1" x14ac:dyDescent="0.25">
      <c r="B69" s="245"/>
      <c r="C69" s="247"/>
      <c r="D69" s="248"/>
      <c r="E69" s="248"/>
      <c r="F69" s="249"/>
      <c r="G69" s="249"/>
      <c r="H69" s="250"/>
    </row>
    <row r="70" spans="2:8" ht="18" customHeight="1" x14ac:dyDescent="0.25">
      <c r="B70" s="67"/>
      <c r="C70" s="39"/>
      <c r="D70" s="68"/>
      <c r="E70" s="68"/>
      <c r="F70" s="58"/>
      <c r="G70" s="58"/>
      <c r="H70" s="211"/>
    </row>
    <row r="71" spans="2:8" ht="18" customHeight="1" x14ac:dyDescent="0.25">
      <c r="B71" s="245"/>
      <c r="C71" s="247"/>
      <c r="D71" s="248"/>
      <c r="E71" s="248"/>
      <c r="F71" s="249"/>
      <c r="G71" s="249"/>
      <c r="H71" s="250"/>
    </row>
    <row r="72" spans="2:8" ht="18" customHeight="1" x14ac:dyDescent="0.25">
      <c r="B72" s="212"/>
      <c r="C72" s="213"/>
      <c r="D72" s="108"/>
      <c r="E72" s="108"/>
      <c r="F72" s="214"/>
      <c r="G72" s="214"/>
      <c r="H72" s="215"/>
    </row>
    <row r="73" spans="2:8" ht="18" customHeight="1" x14ac:dyDescent="0.25">
      <c r="B73" s="245"/>
      <c r="C73" s="247"/>
      <c r="D73" s="248"/>
      <c r="E73" s="248"/>
      <c r="F73" s="249"/>
      <c r="G73" s="249"/>
      <c r="H73" s="250"/>
    </row>
    <row r="74" spans="2:8" ht="18" customHeight="1" x14ac:dyDescent="0.25">
      <c r="B74" s="67"/>
      <c r="C74" s="39"/>
      <c r="D74" s="68"/>
      <c r="E74" s="68"/>
      <c r="F74" s="58"/>
      <c r="G74" s="58"/>
      <c r="H74" s="211"/>
    </row>
    <row r="75" spans="2:8" ht="18" customHeight="1" x14ac:dyDescent="0.25">
      <c r="B75" s="67"/>
      <c r="C75" s="39"/>
      <c r="D75" s="68"/>
      <c r="E75" s="68"/>
      <c r="F75" s="58"/>
      <c r="G75" s="58"/>
      <c r="H75" s="211"/>
    </row>
    <row r="76" spans="2:8" ht="18" customHeight="1" x14ac:dyDescent="0.25">
      <c r="B76" s="67"/>
      <c r="C76" s="39"/>
      <c r="D76" s="68"/>
      <c r="E76" s="68"/>
      <c r="F76" s="58"/>
      <c r="G76" s="58"/>
      <c r="H76" s="211"/>
    </row>
    <row r="77" spans="2:8" ht="18" customHeight="1" x14ac:dyDescent="0.25">
      <c r="B77" s="67"/>
      <c r="C77" s="39"/>
      <c r="D77" s="68"/>
      <c r="E77" s="68"/>
      <c r="F77" s="58"/>
      <c r="G77" s="58"/>
      <c r="H77" s="211"/>
    </row>
    <row r="78" spans="2:8" ht="18" customHeight="1" x14ac:dyDescent="0.25">
      <c r="B78" s="67"/>
      <c r="C78" s="39"/>
      <c r="D78" s="68"/>
      <c r="E78" s="68"/>
      <c r="F78" s="58"/>
      <c r="G78" s="58"/>
      <c r="H78" s="211"/>
    </row>
    <row r="79" spans="2:8" ht="18" customHeight="1" x14ac:dyDescent="0.25">
      <c r="B79" s="67"/>
      <c r="C79" s="39"/>
      <c r="D79" s="68"/>
      <c r="E79" s="68"/>
      <c r="F79" s="58"/>
      <c r="G79" s="58"/>
      <c r="H79" s="211"/>
    </row>
    <row r="80" spans="2:8" ht="18" customHeight="1" x14ac:dyDescent="0.25">
      <c r="B80" s="67"/>
      <c r="C80" s="39"/>
      <c r="D80" s="68"/>
      <c r="E80" s="68"/>
      <c r="F80" s="58"/>
      <c r="G80" s="58"/>
      <c r="H80" s="211"/>
    </row>
    <row r="81" spans="2:8" ht="18" customHeight="1" x14ac:dyDescent="0.25">
      <c r="B81" s="245"/>
      <c r="C81" s="247"/>
      <c r="D81" s="248"/>
      <c r="E81" s="248"/>
      <c r="F81" s="249"/>
      <c r="G81" s="249"/>
      <c r="H81" s="250"/>
    </row>
    <row r="82" spans="2:8" ht="18" customHeight="1" x14ac:dyDescent="0.25">
      <c r="B82" s="245"/>
      <c r="C82" s="247"/>
      <c r="D82" s="248"/>
      <c r="E82" s="248"/>
      <c r="F82" s="249"/>
      <c r="G82" s="249"/>
      <c r="H82" s="250"/>
    </row>
    <row r="83" spans="2:8" ht="18" customHeight="1" x14ac:dyDescent="0.25">
      <c r="B83" s="245"/>
      <c r="C83" s="247"/>
      <c r="D83" s="248"/>
      <c r="E83" s="248"/>
      <c r="F83" s="249"/>
      <c r="G83" s="249"/>
      <c r="H83" s="250"/>
    </row>
    <row r="84" spans="2:8" ht="18" customHeight="1" x14ac:dyDescent="0.25">
      <c r="B84" s="245"/>
      <c r="C84" s="247"/>
      <c r="D84" s="248"/>
      <c r="E84" s="248"/>
      <c r="F84" s="249"/>
      <c r="G84" s="249"/>
      <c r="H84" s="250"/>
    </row>
    <row r="85" spans="2:8" ht="18" customHeight="1" x14ac:dyDescent="0.25">
      <c r="B85" s="245"/>
      <c r="C85" s="247"/>
      <c r="D85" s="248"/>
      <c r="E85" s="248"/>
      <c r="F85" s="249"/>
      <c r="G85" s="249"/>
      <c r="H85" s="250"/>
    </row>
    <row r="86" spans="2:8" ht="18" customHeight="1" x14ac:dyDescent="0.25">
      <c r="B86" s="245"/>
      <c r="C86" s="247"/>
      <c r="D86" s="248"/>
      <c r="E86" s="248"/>
      <c r="F86" s="249"/>
      <c r="G86" s="249"/>
      <c r="H86" s="250"/>
    </row>
    <row r="87" spans="2:8" ht="18" customHeight="1" x14ac:dyDescent="0.25">
      <c r="B87" s="67"/>
      <c r="C87" s="39"/>
      <c r="D87" s="68"/>
      <c r="E87" s="68"/>
      <c r="F87" s="58"/>
      <c r="G87" s="58"/>
      <c r="H87" s="211"/>
    </row>
    <row r="88" spans="2:8" ht="18" customHeight="1" x14ac:dyDescent="0.25">
      <c r="B88" s="67"/>
      <c r="C88" s="39"/>
      <c r="D88" s="68"/>
      <c r="E88" s="68"/>
      <c r="F88" s="58"/>
      <c r="G88" s="58"/>
      <c r="H88" s="211"/>
    </row>
    <row r="89" spans="2:8" ht="18" customHeight="1" x14ac:dyDescent="0.25">
      <c r="B89" s="67"/>
      <c r="C89" s="39"/>
      <c r="D89" s="68"/>
      <c r="E89" s="68"/>
      <c r="F89" s="58"/>
      <c r="G89" s="58"/>
      <c r="H89" s="211"/>
    </row>
    <row r="90" spans="2:8" ht="18" customHeight="1" x14ac:dyDescent="0.25">
      <c r="B90" s="245"/>
      <c r="C90" s="247"/>
      <c r="D90" s="248"/>
      <c r="E90" s="248"/>
      <c r="F90" s="249"/>
      <c r="G90" s="249"/>
      <c r="H90" s="250"/>
    </row>
    <row r="91" spans="2:8" ht="18" customHeight="1" x14ac:dyDescent="0.25">
      <c r="B91" s="67"/>
      <c r="C91" s="39"/>
      <c r="D91" s="68"/>
      <c r="E91" s="68"/>
      <c r="F91" s="58"/>
      <c r="G91" s="58"/>
      <c r="H91" s="211"/>
    </row>
    <row r="92" spans="2:8" ht="18" customHeight="1" x14ac:dyDescent="0.25">
      <c r="B92" s="67"/>
      <c r="C92" s="39"/>
      <c r="D92" s="68"/>
      <c r="E92" s="68"/>
      <c r="F92" s="58"/>
      <c r="G92" s="58"/>
      <c r="H92" s="211"/>
    </row>
    <row r="93" spans="2:8" ht="18" customHeight="1" x14ac:dyDescent="0.25">
      <c r="B93" s="245"/>
      <c r="C93" s="247"/>
      <c r="D93" s="248"/>
      <c r="E93" s="248"/>
      <c r="F93" s="249"/>
      <c r="G93" s="249"/>
      <c r="H93" s="250"/>
    </row>
    <row r="94" spans="2:8" ht="18" customHeight="1" x14ac:dyDescent="0.25">
      <c r="B94" s="67"/>
      <c r="C94" s="39"/>
      <c r="D94" s="68"/>
      <c r="E94" s="68"/>
      <c r="F94" s="58"/>
      <c r="G94" s="58"/>
      <c r="H94" s="211"/>
    </row>
    <row r="95" spans="2:8" ht="18" customHeight="1" x14ac:dyDescent="0.25">
      <c r="B95" s="67"/>
      <c r="C95" s="39"/>
      <c r="D95" s="68"/>
      <c r="E95" s="68"/>
      <c r="F95" s="58"/>
      <c r="G95" s="58"/>
      <c r="H95" s="211"/>
    </row>
    <row r="96" spans="2:8" ht="18" customHeight="1" x14ac:dyDescent="0.25">
      <c r="B96" s="67"/>
      <c r="C96" s="39"/>
      <c r="D96" s="68"/>
      <c r="E96" s="68"/>
      <c r="F96" s="58"/>
      <c r="G96" s="58"/>
      <c r="H96" s="211"/>
    </row>
    <row r="97" spans="2:8" ht="18" customHeight="1" x14ac:dyDescent="0.25">
      <c r="B97" s="67"/>
      <c r="C97" s="39"/>
      <c r="D97" s="68"/>
      <c r="E97" s="68"/>
      <c r="F97" s="58"/>
      <c r="G97" s="58"/>
      <c r="H97" s="211"/>
    </row>
    <row r="98" spans="2:8" ht="18" customHeight="1" x14ac:dyDescent="0.25">
      <c r="B98" s="67"/>
      <c r="C98" s="39"/>
      <c r="D98" s="68"/>
      <c r="E98" s="68"/>
      <c r="F98" s="58"/>
      <c r="G98" s="58"/>
      <c r="H98" s="211"/>
    </row>
    <row r="99" spans="2:8" ht="18" customHeight="1" x14ac:dyDescent="0.25">
      <c r="B99" s="67"/>
      <c r="C99" s="39"/>
      <c r="D99" s="68"/>
      <c r="E99" s="68"/>
      <c r="F99" s="58"/>
      <c r="G99" s="58"/>
      <c r="H99" s="211"/>
    </row>
    <row r="100" spans="2:8" ht="18" customHeight="1" x14ac:dyDescent="0.25">
      <c r="B100" s="245"/>
      <c r="C100" s="247"/>
      <c r="D100" s="248"/>
      <c r="E100" s="248"/>
      <c r="F100" s="249"/>
      <c r="G100" s="249"/>
      <c r="H100" s="250"/>
    </row>
    <row r="101" spans="2:8" ht="18" customHeight="1" x14ac:dyDescent="0.25">
      <c r="B101" s="67"/>
      <c r="C101" s="39"/>
      <c r="D101" s="68"/>
      <c r="E101" s="68"/>
      <c r="F101" s="58"/>
      <c r="G101" s="58"/>
      <c r="H101" s="211"/>
    </row>
    <row r="102" spans="2:8" ht="18" customHeight="1" x14ac:dyDescent="0.25">
      <c r="B102" s="245"/>
      <c r="C102" s="247"/>
      <c r="D102" s="248"/>
      <c r="E102" s="248"/>
      <c r="F102" s="249"/>
      <c r="G102" s="249"/>
      <c r="H102" s="250"/>
    </row>
    <row r="103" spans="2:8" ht="18" customHeight="1" x14ac:dyDescent="0.25">
      <c r="B103" s="245"/>
      <c r="C103" s="247"/>
      <c r="D103" s="248"/>
      <c r="E103" s="248"/>
      <c r="F103" s="249"/>
      <c r="G103" s="249"/>
      <c r="H103" s="250"/>
    </row>
    <row r="104" spans="2:8" ht="18" customHeight="1" x14ac:dyDescent="0.25">
      <c r="B104" s="67"/>
      <c r="C104" s="39"/>
      <c r="D104" s="68"/>
      <c r="E104" s="68"/>
      <c r="F104" s="58"/>
      <c r="G104" s="58"/>
      <c r="H104" s="211"/>
    </row>
    <row r="105" spans="2:8" ht="18" customHeight="1" x14ac:dyDescent="0.25">
      <c r="B105" s="67"/>
      <c r="C105" s="39"/>
      <c r="D105" s="68"/>
      <c r="E105" s="68"/>
      <c r="F105" s="58"/>
      <c r="G105" s="58"/>
      <c r="H105" s="211"/>
    </row>
    <row r="106" spans="2:8" ht="18" customHeight="1" x14ac:dyDescent="0.25">
      <c r="B106" s="245"/>
      <c r="C106" s="247"/>
      <c r="D106" s="248"/>
      <c r="E106" s="248"/>
      <c r="F106" s="249"/>
      <c r="G106" s="249"/>
      <c r="H106" s="250"/>
    </row>
    <row r="107" spans="2:8" ht="18" customHeight="1" x14ac:dyDescent="0.25">
      <c r="B107" s="67"/>
      <c r="C107" s="39"/>
      <c r="D107" s="68"/>
      <c r="E107" s="68"/>
      <c r="F107" s="58"/>
      <c r="G107" s="58"/>
      <c r="H107" s="211"/>
    </row>
    <row r="108" spans="2:8" ht="18" customHeight="1" x14ac:dyDescent="0.25">
      <c r="B108" s="245"/>
      <c r="C108" s="247"/>
      <c r="D108" s="248"/>
      <c r="E108" s="248"/>
      <c r="F108" s="249"/>
      <c r="G108" s="249"/>
      <c r="H108" s="250"/>
    </row>
    <row r="109" spans="2:8" ht="18" customHeight="1" x14ac:dyDescent="0.25">
      <c r="B109" s="67"/>
      <c r="C109" s="39"/>
      <c r="D109" s="68"/>
      <c r="E109" s="68"/>
      <c r="F109" s="58"/>
      <c r="G109" s="58"/>
      <c r="H109" s="211"/>
    </row>
    <row r="110" spans="2:8" ht="18" customHeight="1" x14ac:dyDescent="0.25">
      <c r="B110" s="245"/>
      <c r="C110" s="247"/>
      <c r="D110" s="248"/>
      <c r="E110" s="248"/>
      <c r="F110" s="249"/>
      <c r="G110" s="249"/>
      <c r="H110" s="250"/>
    </row>
    <row r="111" spans="2:8" ht="18" customHeight="1" x14ac:dyDescent="0.25">
      <c r="B111" s="245"/>
      <c r="C111" s="247"/>
      <c r="D111" s="248"/>
      <c r="E111" s="248"/>
      <c r="F111" s="249"/>
      <c r="G111" s="249"/>
      <c r="H111" s="250"/>
    </row>
    <row r="112" spans="2:8" ht="18" customHeight="1" x14ac:dyDescent="0.25">
      <c r="B112" s="245"/>
      <c r="C112" s="247"/>
      <c r="D112" s="248"/>
      <c r="E112" s="248"/>
      <c r="F112" s="249"/>
      <c r="G112" s="249"/>
      <c r="H112" s="250"/>
    </row>
    <row r="113" spans="2:8" ht="18" customHeight="1" x14ac:dyDescent="0.25">
      <c r="B113" s="67"/>
      <c r="C113" s="39"/>
      <c r="D113" s="68"/>
      <c r="E113" s="68"/>
      <c r="F113" s="58"/>
      <c r="G113" s="58"/>
      <c r="H113" s="211"/>
    </row>
    <row r="114" spans="2:8" ht="18" customHeight="1" x14ac:dyDescent="0.25">
      <c r="B114" s="245"/>
      <c r="C114" s="247"/>
      <c r="D114" s="248"/>
      <c r="E114" s="248"/>
      <c r="F114" s="249"/>
      <c r="G114" s="249"/>
      <c r="H114" s="250"/>
    </row>
    <row r="115" spans="2:8" ht="18" customHeight="1" x14ac:dyDescent="0.25">
      <c r="B115" s="212"/>
      <c r="C115" s="213"/>
      <c r="D115" s="108"/>
      <c r="E115" s="108"/>
      <c r="F115" s="214"/>
      <c r="G115" s="214"/>
      <c r="H115" s="215"/>
    </row>
    <row r="116" spans="2:8" ht="18" customHeight="1" x14ac:dyDescent="0.25">
      <c r="B116" s="67"/>
      <c r="C116" s="39"/>
      <c r="D116" s="68"/>
      <c r="E116" s="68"/>
      <c r="F116" s="58"/>
      <c r="G116" s="58"/>
      <c r="H116" s="211"/>
    </row>
    <row r="117" spans="2:8" ht="18" customHeight="1" x14ac:dyDescent="0.25">
      <c r="B117" s="245"/>
      <c r="C117" s="247"/>
      <c r="D117" s="248"/>
      <c r="E117" s="248"/>
      <c r="F117" s="249"/>
      <c r="G117" s="249"/>
      <c r="H117" s="250"/>
    </row>
    <row r="118" spans="2:8" ht="18" customHeight="1" x14ac:dyDescent="0.25">
      <c r="B118" s="67"/>
      <c r="C118" s="39"/>
      <c r="D118" s="68"/>
      <c r="E118" s="68"/>
      <c r="F118" s="58"/>
      <c r="G118" s="58"/>
      <c r="H118" s="211"/>
    </row>
    <row r="119" spans="2:8" ht="18" customHeight="1" x14ac:dyDescent="0.25">
      <c r="B119" s="67"/>
      <c r="C119" s="39"/>
      <c r="D119" s="68"/>
      <c r="E119" s="68"/>
      <c r="F119" s="58"/>
      <c r="G119" s="58"/>
      <c r="H119" s="211"/>
    </row>
    <row r="120" spans="2:8" ht="18" customHeight="1" x14ac:dyDescent="0.25">
      <c r="B120" s="245"/>
      <c r="C120" s="247"/>
      <c r="D120" s="248"/>
      <c r="E120" s="248"/>
      <c r="F120" s="249"/>
      <c r="G120" s="249"/>
      <c r="H120" s="250"/>
    </row>
    <row r="121" spans="2:8" ht="18" customHeight="1" x14ac:dyDescent="0.25">
      <c r="B121" s="67"/>
      <c r="C121" s="39"/>
      <c r="D121" s="68"/>
      <c r="E121" s="68"/>
      <c r="F121" s="58"/>
      <c r="G121" s="58"/>
      <c r="H121" s="211"/>
    </row>
    <row r="122" spans="2:8" ht="18" customHeight="1" x14ac:dyDescent="0.25">
      <c r="B122" s="67"/>
      <c r="C122" s="39"/>
      <c r="D122" s="68"/>
      <c r="E122" s="68"/>
      <c r="F122" s="58"/>
      <c r="G122" s="58"/>
      <c r="H122" s="211"/>
    </row>
    <row r="123" spans="2:8" ht="18" customHeight="1" x14ac:dyDescent="0.25">
      <c r="B123" s="67"/>
      <c r="C123" s="39"/>
      <c r="D123" s="68"/>
      <c r="E123" s="68"/>
      <c r="F123" s="58"/>
      <c r="G123" s="58"/>
      <c r="H123" s="211"/>
    </row>
    <row r="124" spans="2:8" ht="18" customHeight="1" x14ac:dyDescent="0.25">
      <c r="B124" s="67"/>
      <c r="C124" s="39"/>
      <c r="D124" s="68"/>
      <c r="E124" s="68"/>
      <c r="F124" s="58"/>
      <c r="G124" s="58"/>
      <c r="H124" s="211"/>
    </row>
    <row r="125" spans="2:8" ht="18" customHeight="1" x14ac:dyDescent="0.25">
      <c r="B125" s="212"/>
      <c r="C125" s="213"/>
      <c r="D125" s="108"/>
      <c r="E125" s="108"/>
      <c r="F125" s="214"/>
      <c r="G125" s="214"/>
      <c r="H125" s="215"/>
    </row>
    <row r="126" spans="2:8" ht="18" customHeight="1" x14ac:dyDescent="0.25">
      <c r="B126" s="245"/>
      <c r="C126" s="247"/>
      <c r="D126" s="248"/>
      <c r="E126" s="248"/>
      <c r="F126" s="249"/>
      <c r="G126" s="249"/>
      <c r="H126" s="250"/>
    </row>
    <row r="127" spans="2:8" ht="18" customHeight="1" x14ac:dyDescent="0.25">
      <c r="B127" s="245"/>
      <c r="C127" s="247"/>
      <c r="D127" s="248"/>
      <c r="E127" s="248"/>
      <c r="F127" s="249"/>
      <c r="G127" s="249"/>
      <c r="H127" s="250"/>
    </row>
    <row r="128" spans="2:8" ht="18" customHeight="1" x14ac:dyDescent="0.25">
      <c r="B128" s="67"/>
      <c r="C128" s="39"/>
      <c r="D128" s="68"/>
      <c r="E128" s="68"/>
      <c r="F128" s="58"/>
      <c r="G128" s="58"/>
      <c r="H128" s="211"/>
    </row>
    <row r="129" spans="2:8" ht="18" customHeight="1" x14ac:dyDescent="0.25">
      <c r="B129" s="67"/>
      <c r="C129" s="39"/>
      <c r="D129" s="68"/>
      <c r="E129" s="68"/>
      <c r="F129" s="58"/>
      <c r="G129" s="58"/>
      <c r="H129" s="211"/>
    </row>
    <row r="130" spans="2:8" ht="18" customHeight="1" x14ac:dyDescent="0.25">
      <c r="B130" s="212"/>
      <c r="C130" s="213"/>
      <c r="D130" s="108"/>
      <c r="E130" s="108"/>
      <c r="F130" s="214"/>
      <c r="G130" s="214"/>
      <c r="H130" s="215"/>
    </row>
    <row r="131" spans="2:8" ht="18" customHeight="1" x14ac:dyDescent="0.25">
      <c r="B131" s="67"/>
      <c r="C131" s="39"/>
      <c r="D131" s="68"/>
      <c r="E131" s="68"/>
      <c r="F131" s="58"/>
      <c r="G131" s="58"/>
      <c r="H131" s="211"/>
    </row>
    <row r="132" spans="2:8" ht="18" customHeight="1" x14ac:dyDescent="0.25">
      <c r="B132" s="245"/>
      <c r="C132" s="247"/>
      <c r="D132" s="248"/>
      <c r="E132" s="248"/>
      <c r="F132" s="249"/>
      <c r="G132" s="249"/>
      <c r="H132" s="250"/>
    </row>
    <row r="133" spans="2:8" ht="18" customHeight="1" x14ac:dyDescent="0.25">
      <c r="B133" s="245"/>
      <c r="C133" s="247"/>
      <c r="D133" s="248"/>
      <c r="E133" s="248"/>
      <c r="F133" s="249"/>
      <c r="G133" s="249"/>
      <c r="H133" s="250"/>
    </row>
    <row r="134" spans="2:8" ht="18" customHeight="1" x14ac:dyDescent="0.25">
      <c r="B134" s="67"/>
      <c r="C134" s="39"/>
      <c r="D134" s="68"/>
      <c r="E134" s="68"/>
      <c r="F134" s="58"/>
      <c r="G134" s="58"/>
      <c r="H134" s="211"/>
    </row>
    <row r="135" spans="2:8" ht="18" customHeight="1" x14ac:dyDescent="0.25">
      <c r="B135" s="67"/>
      <c r="C135" s="39"/>
      <c r="D135" s="68"/>
      <c r="E135" s="68"/>
      <c r="F135" s="58"/>
      <c r="G135" s="58"/>
      <c r="H135" s="211"/>
    </row>
    <row r="136" spans="2:8" ht="18" customHeight="1" x14ac:dyDescent="0.25">
      <c r="B136" s="245"/>
      <c r="C136" s="247"/>
      <c r="D136" s="248"/>
      <c r="E136" s="248"/>
      <c r="F136" s="249"/>
      <c r="G136" s="249"/>
      <c r="H136" s="250"/>
    </row>
    <row r="137" spans="2:8" ht="18" customHeight="1" x14ac:dyDescent="0.25">
      <c r="B137" s="245"/>
      <c r="C137" s="247"/>
      <c r="D137" s="248"/>
      <c r="E137" s="248"/>
      <c r="F137" s="249"/>
      <c r="G137" s="249"/>
      <c r="H137" s="250"/>
    </row>
    <row r="138" spans="2:8" ht="18" customHeight="1" x14ac:dyDescent="0.25">
      <c r="B138" s="245"/>
      <c r="C138" s="247"/>
      <c r="D138" s="248"/>
      <c r="E138" s="248"/>
      <c r="F138" s="249"/>
      <c r="G138" s="249"/>
      <c r="H138" s="250"/>
    </row>
    <row r="139" spans="2:8" ht="18" customHeight="1" x14ac:dyDescent="0.25">
      <c r="B139" s="245"/>
      <c r="C139" s="247"/>
      <c r="D139" s="248"/>
      <c r="E139" s="248"/>
      <c r="F139" s="249"/>
      <c r="G139" s="249"/>
      <c r="H139" s="250"/>
    </row>
    <row r="140" spans="2:8" ht="18" customHeight="1" x14ac:dyDescent="0.25">
      <c r="B140" s="67"/>
      <c r="C140" s="39"/>
      <c r="D140" s="68"/>
      <c r="E140" s="68"/>
      <c r="F140" s="58"/>
      <c r="G140" s="58"/>
      <c r="H140" s="211"/>
    </row>
    <row r="141" spans="2:8" ht="18" customHeight="1" x14ac:dyDescent="0.25">
      <c r="B141" s="245"/>
      <c r="C141" s="247"/>
      <c r="D141" s="248"/>
      <c r="E141" s="248"/>
      <c r="F141" s="249"/>
      <c r="G141" s="249"/>
      <c r="H141" s="250"/>
    </row>
    <row r="142" spans="2:8" ht="18" customHeight="1" x14ac:dyDescent="0.25">
      <c r="B142" s="67"/>
      <c r="C142" s="39"/>
      <c r="D142" s="68"/>
      <c r="E142" s="68"/>
      <c r="F142" s="58"/>
      <c r="G142" s="58"/>
      <c r="H142" s="211"/>
    </row>
    <row r="143" spans="2:8" ht="18" customHeight="1" x14ac:dyDescent="0.25">
      <c r="B143" s="245"/>
      <c r="C143" s="247"/>
      <c r="D143" s="248"/>
      <c r="E143" s="248"/>
      <c r="F143" s="249"/>
      <c r="G143" s="249"/>
      <c r="H143" s="250"/>
    </row>
    <row r="144" spans="2:8" ht="18" customHeight="1" x14ac:dyDescent="0.25">
      <c r="B144" s="245"/>
      <c r="C144" s="247"/>
      <c r="D144" s="248"/>
      <c r="E144" s="248"/>
      <c r="F144" s="249"/>
      <c r="G144" s="249"/>
      <c r="H144" s="250"/>
    </row>
    <row r="145" spans="2:8" ht="18" customHeight="1" x14ac:dyDescent="0.25">
      <c r="B145" s="245"/>
      <c r="C145" s="247"/>
      <c r="D145" s="248"/>
      <c r="E145" s="248"/>
      <c r="F145" s="249"/>
      <c r="G145" s="249"/>
      <c r="H145" s="250"/>
    </row>
    <row r="146" spans="2:8" ht="18" customHeight="1" x14ac:dyDescent="0.25">
      <c r="B146" s="245"/>
      <c r="C146" s="247"/>
      <c r="D146" s="248"/>
      <c r="E146" s="248"/>
      <c r="F146" s="249"/>
      <c r="G146" s="249"/>
      <c r="H146" s="250"/>
    </row>
    <row r="147" spans="2:8" ht="18" customHeight="1" x14ac:dyDescent="0.25">
      <c r="B147" s="67"/>
      <c r="C147" s="39"/>
      <c r="D147" s="68"/>
      <c r="E147" s="68"/>
      <c r="F147" s="58"/>
      <c r="G147" s="58"/>
      <c r="H147" s="211"/>
    </row>
    <row r="148" spans="2:8" ht="18" customHeight="1" x14ac:dyDescent="0.25">
      <c r="B148" s="212"/>
      <c r="C148" s="213"/>
      <c r="D148" s="108"/>
      <c r="E148" s="108"/>
      <c r="F148" s="214"/>
      <c r="G148" s="214"/>
      <c r="H148" s="215"/>
    </row>
    <row r="149" spans="2:8" ht="18" customHeight="1" x14ac:dyDescent="0.25">
      <c r="B149" s="245"/>
      <c r="C149" s="247"/>
      <c r="D149" s="248"/>
      <c r="E149" s="248"/>
      <c r="F149" s="249"/>
      <c r="G149" s="249"/>
      <c r="H149" s="250"/>
    </row>
    <row r="150" spans="2:8" ht="18" customHeight="1" x14ac:dyDescent="0.25">
      <c r="B150" s="245"/>
      <c r="C150" s="247"/>
      <c r="D150" s="248"/>
      <c r="E150" s="248"/>
      <c r="F150" s="249"/>
      <c r="G150" s="249"/>
      <c r="H150" s="250"/>
    </row>
    <row r="151" spans="2:8" ht="18" customHeight="1" x14ac:dyDescent="0.25">
      <c r="B151" s="67"/>
      <c r="C151" s="39"/>
      <c r="D151" s="68"/>
      <c r="E151" s="68"/>
      <c r="F151" s="58"/>
      <c r="G151" s="58"/>
      <c r="H151" s="211"/>
    </row>
    <row r="152" spans="2:8" ht="18" customHeight="1" x14ac:dyDescent="0.25">
      <c r="B152" s="245"/>
      <c r="C152" s="247"/>
      <c r="D152" s="248"/>
      <c r="E152" s="248"/>
      <c r="F152" s="249"/>
      <c r="G152" s="249"/>
      <c r="H152" s="250"/>
    </row>
    <row r="153" spans="2:8" ht="18" customHeight="1" x14ac:dyDescent="0.25">
      <c r="B153" s="67"/>
      <c r="C153" s="39"/>
      <c r="D153" s="68"/>
      <c r="E153" s="68"/>
      <c r="F153" s="58"/>
      <c r="G153" s="58"/>
      <c r="H153" s="211"/>
    </row>
    <row r="154" spans="2:8" ht="18" customHeight="1" x14ac:dyDescent="0.25">
      <c r="B154" s="67"/>
      <c r="C154" s="39"/>
      <c r="D154" s="68"/>
      <c r="E154" s="68"/>
      <c r="F154" s="58"/>
      <c r="G154" s="58"/>
      <c r="H154" s="211"/>
    </row>
    <row r="155" spans="2:8" ht="18" customHeight="1" x14ac:dyDescent="0.25">
      <c r="B155" s="245"/>
      <c r="C155" s="247"/>
      <c r="D155" s="248"/>
      <c r="E155" s="248"/>
      <c r="F155" s="249"/>
      <c r="G155" s="249"/>
      <c r="H155" s="250"/>
    </row>
    <row r="156" spans="2:8" ht="18" customHeight="1" x14ac:dyDescent="0.25">
      <c r="B156" s="67"/>
      <c r="C156" s="39"/>
      <c r="D156" s="68"/>
      <c r="E156" s="68"/>
      <c r="F156" s="58"/>
      <c r="G156" s="58"/>
      <c r="H156" s="211"/>
    </row>
    <row r="157" spans="2:8" ht="18" customHeight="1" x14ac:dyDescent="0.25">
      <c r="B157" s="245"/>
      <c r="C157" s="247"/>
      <c r="D157" s="248"/>
      <c r="E157" s="248"/>
      <c r="F157" s="249"/>
      <c r="G157" s="249"/>
      <c r="H157" s="250"/>
    </row>
    <row r="158" spans="2:8" ht="18" customHeight="1" x14ac:dyDescent="0.25">
      <c r="B158" s="67"/>
      <c r="C158" s="39"/>
      <c r="D158" s="68"/>
      <c r="E158" s="68"/>
      <c r="F158" s="58"/>
      <c r="G158" s="58"/>
      <c r="H158" s="211"/>
    </row>
    <row r="159" spans="2:8" ht="18" customHeight="1" x14ac:dyDescent="0.25">
      <c r="B159" s="67"/>
      <c r="C159" s="39"/>
      <c r="D159" s="68"/>
      <c r="E159" s="68"/>
      <c r="F159" s="58"/>
      <c r="G159" s="58"/>
      <c r="H159" s="211"/>
    </row>
    <row r="160" spans="2:8" ht="18" customHeight="1" x14ac:dyDescent="0.25">
      <c r="B160" s="212"/>
      <c r="C160" s="213"/>
      <c r="D160" s="108"/>
      <c r="E160" s="108"/>
      <c r="F160" s="214"/>
      <c r="G160" s="214"/>
      <c r="H160" s="215"/>
    </row>
    <row r="161" spans="2:8" ht="18" customHeight="1" x14ac:dyDescent="0.25">
      <c r="B161" s="245"/>
      <c r="C161" s="247"/>
      <c r="D161" s="248"/>
      <c r="E161" s="248"/>
      <c r="F161" s="249"/>
      <c r="G161" s="249"/>
      <c r="H161" s="250"/>
    </row>
    <row r="162" spans="2:8" ht="18" customHeight="1" x14ac:dyDescent="0.25">
      <c r="B162" s="245"/>
      <c r="C162" s="247"/>
      <c r="D162" s="248"/>
      <c r="E162" s="248"/>
      <c r="F162" s="249"/>
      <c r="G162" s="249"/>
      <c r="H162" s="250"/>
    </row>
    <row r="163" spans="2:8" ht="18" customHeight="1" x14ac:dyDescent="0.25">
      <c r="B163" s="67"/>
      <c r="C163" s="39"/>
      <c r="D163" s="68"/>
      <c r="E163" s="68"/>
      <c r="F163" s="58"/>
      <c r="G163" s="58"/>
      <c r="H163" s="211"/>
    </row>
    <row r="164" spans="2:8" ht="18" customHeight="1" x14ac:dyDescent="0.25">
      <c r="B164" s="67"/>
      <c r="C164" s="39"/>
      <c r="D164" s="68"/>
      <c r="E164" s="68"/>
      <c r="F164" s="58"/>
      <c r="G164" s="58"/>
      <c r="H164" s="211"/>
    </row>
    <row r="165" spans="2:8" ht="18" customHeight="1" x14ac:dyDescent="0.25">
      <c r="B165" s="212"/>
      <c r="C165" s="213"/>
      <c r="D165" s="108"/>
      <c r="E165" s="108"/>
      <c r="F165" s="214"/>
      <c r="G165" s="214"/>
      <c r="H165" s="215"/>
    </row>
    <row r="166" spans="2:8" ht="18" customHeight="1" x14ac:dyDescent="0.25">
      <c r="B166" s="67"/>
      <c r="C166" s="39"/>
      <c r="D166" s="68"/>
      <c r="E166" s="68"/>
      <c r="F166" s="58"/>
      <c r="G166" s="58"/>
      <c r="H166" s="211"/>
    </row>
    <row r="167" spans="2:8" ht="18" customHeight="1" x14ac:dyDescent="0.25">
      <c r="B167" s="67"/>
      <c r="C167" s="39"/>
      <c r="D167" s="68"/>
      <c r="E167" s="68"/>
      <c r="F167" s="58"/>
      <c r="G167" s="58"/>
      <c r="H167" s="211"/>
    </row>
    <row r="168" spans="2:8" ht="18" customHeight="1" x14ac:dyDescent="0.25">
      <c r="B168" s="245"/>
      <c r="C168" s="247"/>
      <c r="D168" s="248"/>
      <c r="E168" s="248"/>
      <c r="F168" s="249"/>
      <c r="G168" s="249"/>
      <c r="H168" s="250"/>
    </row>
    <row r="169" spans="2:8" ht="18" customHeight="1" x14ac:dyDescent="0.25">
      <c r="B169" s="245"/>
      <c r="C169" s="247"/>
      <c r="D169" s="248"/>
      <c r="E169" s="248"/>
      <c r="F169" s="249"/>
      <c r="G169" s="249"/>
      <c r="H169" s="250"/>
    </row>
    <row r="170" spans="2:8" ht="18" customHeight="1" x14ac:dyDescent="0.25">
      <c r="B170" s="67"/>
      <c r="C170" s="39"/>
      <c r="D170" s="68"/>
      <c r="E170" s="68"/>
      <c r="F170" s="58"/>
      <c r="G170" s="58"/>
      <c r="H170" s="211"/>
    </row>
    <row r="171" spans="2:8" ht="18" customHeight="1" x14ac:dyDescent="0.25">
      <c r="B171" s="245"/>
      <c r="C171" s="246"/>
      <c r="D171" s="248"/>
      <c r="E171" s="248"/>
      <c r="F171" s="249"/>
      <c r="G171" s="249"/>
      <c r="H171" s="250"/>
    </row>
    <row r="172" spans="2:8" ht="18" customHeight="1" x14ac:dyDescent="0.25">
      <c r="B172" s="245"/>
      <c r="C172" s="247"/>
      <c r="D172" s="248"/>
      <c r="E172" s="248"/>
      <c r="F172" s="249"/>
      <c r="G172" s="249"/>
      <c r="H172" s="250"/>
    </row>
    <row r="173" spans="2:8" ht="18" customHeight="1" x14ac:dyDescent="0.25">
      <c r="B173" s="67"/>
      <c r="C173" s="39"/>
      <c r="D173" s="68"/>
      <c r="E173" s="68"/>
      <c r="F173" s="58"/>
      <c r="G173" s="58"/>
      <c r="H173" s="211"/>
    </row>
    <row r="174" spans="2:8" ht="18" customHeight="1" x14ac:dyDescent="0.25">
      <c r="B174" s="67"/>
      <c r="C174" s="39"/>
      <c r="D174" s="68"/>
      <c r="E174" s="68"/>
      <c r="F174" s="58"/>
      <c r="G174" s="58"/>
      <c r="H174" s="211"/>
    </row>
    <row r="175" spans="2:8" ht="18" customHeight="1" x14ac:dyDescent="0.25">
      <c r="B175" s="67"/>
      <c r="C175" s="39"/>
      <c r="D175" s="68"/>
      <c r="E175" s="68"/>
      <c r="F175" s="58"/>
      <c r="G175" s="58"/>
      <c r="H175" s="211"/>
    </row>
    <row r="176" spans="2:8" ht="18" customHeight="1" x14ac:dyDescent="0.25">
      <c r="B176" s="67"/>
      <c r="C176" s="39"/>
      <c r="D176" s="68"/>
      <c r="E176" s="68"/>
      <c r="F176" s="58"/>
      <c r="G176" s="58"/>
      <c r="H176" s="211"/>
    </row>
    <row r="177" spans="2:8" ht="18" customHeight="1" x14ac:dyDescent="0.25">
      <c r="B177" s="245"/>
      <c r="C177" s="247"/>
      <c r="D177" s="248"/>
      <c r="E177" s="248"/>
      <c r="F177" s="249"/>
      <c r="G177" s="249"/>
      <c r="H177" s="250"/>
    </row>
    <row r="178" spans="2:8" ht="18" customHeight="1" x14ac:dyDescent="0.25">
      <c r="B178" s="245"/>
      <c r="C178" s="247"/>
      <c r="D178" s="248"/>
      <c r="E178" s="248"/>
      <c r="F178" s="249"/>
      <c r="G178" s="249"/>
      <c r="H178" s="250"/>
    </row>
    <row r="179" spans="2:8" ht="18" customHeight="1" x14ac:dyDescent="0.25">
      <c r="B179" s="67"/>
      <c r="C179" s="39"/>
      <c r="D179" s="68"/>
      <c r="E179" s="68"/>
      <c r="F179" s="58"/>
      <c r="G179" s="58"/>
      <c r="H179" s="211"/>
    </row>
    <row r="180" spans="2:8" ht="18" customHeight="1" x14ac:dyDescent="0.25">
      <c r="B180" s="245"/>
      <c r="C180" s="247"/>
      <c r="D180" s="248"/>
      <c r="E180" s="248"/>
      <c r="F180" s="249"/>
      <c r="G180" s="249"/>
      <c r="H180" s="250"/>
    </row>
    <row r="181" spans="2:8" ht="18" customHeight="1" x14ac:dyDescent="0.25">
      <c r="B181" s="67"/>
      <c r="C181" s="39"/>
      <c r="D181" s="68"/>
      <c r="E181" s="68"/>
      <c r="F181" s="58"/>
      <c r="G181" s="58"/>
      <c r="H181" s="211"/>
    </row>
    <row r="182" spans="2:8" ht="18" customHeight="1" x14ac:dyDescent="0.25">
      <c r="B182" s="245"/>
      <c r="C182" s="247"/>
      <c r="D182" s="248"/>
      <c r="E182" s="248"/>
      <c r="F182" s="249"/>
      <c r="G182" s="249"/>
      <c r="H182" s="250"/>
    </row>
    <row r="183" spans="2:8" ht="18" customHeight="1" x14ac:dyDescent="0.25">
      <c r="B183" s="245"/>
      <c r="C183" s="247"/>
      <c r="D183" s="248"/>
      <c r="E183" s="248"/>
      <c r="F183" s="249"/>
      <c r="G183" s="249"/>
      <c r="H183" s="250"/>
    </row>
    <row r="184" spans="2:8" ht="18" customHeight="1" x14ac:dyDescent="0.25">
      <c r="B184" s="67"/>
      <c r="C184" s="39"/>
      <c r="D184" s="68"/>
      <c r="E184" s="68"/>
      <c r="F184" s="58"/>
      <c r="G184" s="58"/>
      <c r="H184" s="211"/>
    </row>
    <row r="185" spans="2:8" ht="18" customHeight="1" x14ac:dyDescent="0.25">
      <c r="B185" s="245"/>
      <c r="C185" s="247"/>
      <c r="D185" s="248"/>
      <c r="E185" s="248"/>
      <c r="F185" s="249"/>
      <c r="G185" s="249"/>
      <c r="H185" s="250"/>
    </row>
    <row r="186" spans="2:8" ht="18" customHeight="1" x14ac:dyDescent="0.25">
      <c r="B186" s="245"/>
      <c r="C186" s="247"/>
      <c r="D186" s="248"/>
      <c r="E186" s="248"/>
      <c r="F186" s="249"/>
      <c r="G186" s="249"/>
      <c r="H186" s="250"/>
    </row>
    <row r="187" spans="2:8" ht="18" customHeight="1" x14ac:dyDescent="0.25">
      <c r="B187" s="245"/>
      <c r="C187" s="247"/>
      <c r="D187" s="248"/>
      <c r="E187" s="248"/>
      <c r="F187" s="249"/>
      <c r="G187" s="249"/>
      <c r="H187" s="250"/>
    </row>
    <row r="188" spans="2:8" ht="18" customHeight="1" x14ac:dyDescent="0.25">
      <c r="B188" s="245"/>
      <c r="C188" s="247"/>
      <c r="D188" s="248"/>
      <c r="E188" s="248"/>
      <c r="F188" s="249"/>
      <c r="G188" s="249"/>
      <c r="H188" s="250"/>
    </row>
    <row r="189" spans="2:8" ht="18" customHeight="1" x14ac:dyDescent="0.25">
      <c r="B189" s="67"/>
      <c r="C189" s="39"/>
      <c r="D189" s="68"/>
      <c r="E189" s="68"/>
      <c r="F189" s="58"/>
      <c r="G189" s="58"/>
      <c r="H189" s="211"/>
    </row>
    <row r="190" spans="2:8" ht="18" customHeight="1" x14ac:dyDescent="0.25">
      <c r="B190" s="245"/>
      <c r="C190" s="247"/>
      <c r="D190" s="248"/>
      <c r="E190" s="248"/>
      <c r="F190" s="249"/>
      <c r="G190" s="249"/>
      <c r="H190" s="250"/>
    </row>
    <row r="191" spans="2:8" ht="18" customHeight="1" x14ac:dyDescent="0.25">
      <c r="B191" s="67"/>
      <c r="C191" s="39"/>
      <c r="D191" s="68"/>
      <c r="E191" s="68"/>
      <c r="F191" s="58"/>
      <c r="G191" s="58"/>
      <c r="H191" s="211"/>
    </row>
    <row r="192" spans="2:8" ht="18" customHeight="1" x14ac:dyDescent="0.25">
      <c r="B192" s="212"/>
      <c r="C192" s="213"/>
      <c r="D192" s="108"/>
      <c r="E192" s="108"/>
      <c r="F192" s="214"/>
      <c r="G192" s="214"/>
      <c r="H192" s="215"/>
    </row>
    <row r="193" spans="2:8" ht="18" customHeight="1" x14ac:dyDescent="0.25">
      <c r="B193" s="212"/>
      <c r="C193" s="213"/>
      <c r="D193" s="108"/>
      <c r="E193" s="108"/>
      <c r="F193" s="214"/>
      <c r="G193" s="214"/>
      <c r="H193" s="215"/>
    </row>
    <row r="194" spans="2:8" ht="18" customHeight="1" x14ac:dyDescent="0.25">
      <c r="B194" s="67"/>
      <c r="C194" s="39"/>
      <c r="D194" s="68"/>
      <c r="E194" s="68"/>
      <c r="F194" s="58"/>
      <c r="G194" s="58"/>
      <c r="H194" s="211"/>
    </row>
    <row r="195" spans="2:8" ht="18" customHeight="1" x14ac:dyDescent="0.25">
      <c r="B195" s="67"/>
      <c r="C195" s="39"/>
      <c r="D195" s="68"/>
      <c r="E195" s="68"/>
      <c r="F195" s="58"/>
      <c r="G195" s="58"/>
      <c r="H195" s="211"/>
    </row>
    <row r="196" spans="2:8" ht="18" customHeight="1" x14ac:dyDescent="0.25">
      <c r="B196" s="67"/>
      <c r="C196" s="39"/>
      <c r="D196" s="68"/>
      <c r="E196" s="68"/>
      <c r="F196" s="58"/>
      <c r="G196" s="58"/>
      <c r="H196" s="211"/>
    </row>
    <row r="197" spans="2:8" ht="18" customHeight="1" x14ac:dyDescent="0.25">
      <c r="B197" s="67"/>
      <c r="C197" s="39"/>
      <c r="D197" s="68"/>
      <c r="E197" s="68"/>
      <c r="F197" s="58"/>
      <c r="G197" s="58"/>
      <c r="H197" s="211"/>
    </row>
    <row r="198" spans="2:8" ht="18" customHeight="1" x14ac:dyDescent="0.25">
      <c r="B198" s="67"/>
      <c r="C198" s="39"/>
      <c r="D198" s="68"/>
      <c r="E198" s="68"/>
      <c r="F198" s="58"/>
      <c r="G198" s="58"/>
      <c r="H198" s="211"/>
    </row>
    <row r="199" spans="2:8" ht="18" customHeight="1" x14ac:dyDescent="0.25">
      <c r="B199" s="67"/>
      <c r="C199" s="39"/>
      <c r="D199" s="68"/>
      <c r="E199" s="68"/>
      <c r="F199" s="58"/>
      <c r="G199" s="58"/>
      <c r="H199" s="211"/>
    </row>
    <row r="200" spans="2:8" ht="18" customHeight="1" x14ac:dyDescent="0.25">
      <c r="B200" s="245"/>
      <c r="C200" s="247"/>
      <c r="D200" s="248"/>
      <c r="E200" s="248"/>
      <c r="F200" s="249"/>
      <c r="G200" s="249"/>
      <c r="H200" s="250"/>
    </row>
    <row r="201" spans="2:8" ht="18" customHeight="1" x14ac:dyDescent="0.25">
      <c r="B201" s="67"/>
      <c r="C201" s="39"/>
      <c r="D201" s="68"/>
      <c r="E201" s="68"/>
      <c r="F201" s="58"/>
      <c r="G201" s="58"/>
      <c r="H201" s="211"/>
    </row>
    <row r="202" spans="2:8" ht="18" customHeight="1" x14ac:dyDescent="0.25">
      <c r="B202" s="245"/>
      <c r="C202" s="247"/>
      <c r="D202" s="248"/>
      <c r="E202" s="248"/>
      <c r="F202" s="249"/>
      <c r="G202" s="249"/>
      <c r="H202" s="250"/>
    </row>
    <row r="203" spans="2:8" ht="18" customHeight="1" x14ac:dyDescent="0.25">
      <c r="B203" s="245"/>
      <c r="C203" s="247"/>
      <c r="D203" s="248"/>
      <c r="E203" s="248"/>
      <c r="F203" s="249"/>
      <c r="G203" s="249"/>
      <c r="H203" s="250"/>
    </row>
    <row r="204" spans="2:8" ht="18" customHeight="1" x14ac:dyDescent="0.25">
      <c r="B204" s="67"/>
      <c r="C204" s="39"/>
      <c r="D204" s="68"/>
      <c r="E204" s="68"/>
      <c r="F204" s="58"/>
      <c r="G204" s="58"/>
      <c r="H204" s="211"/>
    </row>
    <row r="205" spans="2:8" ht="18" customHeight="1" x14ac:dyDescent="0.25">
      <c r="B205" s="67"/>
      <c r="C205" s="39"/>
      <c r="D205" s="68"/>
      <c r="E205" s="68"/>
      <c r="F205" s="58"/>
      <c r="G205" s="58"/>
      <c r="H205" s="211"/>
    </row>
    <row r="206" spans="2:8" ht="18" customHeight="1" x14ac:dyDescent="0.25">
      <c r="B206" s="67"/>
      <c r="C206" s="39"/>
      <c r="D206" s="68"/>
      <c r="E206" s="68"/>
      <c r="F206" s="58"/>
      <c r="G206" s="58"/>
      <c r="H206" s="211"/>
    </row>
    <row r="207" spans="2:8" ht="18" customHeight="1" x14ac:dyDescent="0.25">
      <c r="B207" s="67"/>
      <c r="C207" s="39"/>
      <c r="D207" s="68"/>
      <c r="E207" s="68"/>
      <c r="F207" s="58"/>
      <c r="G207" s="58"/>
      <c r="H207" s="211"/>
    </row>
    <row r="208" spans="2:8" ht="18" customHeight="1" x14ac:dyDescent="0.25">
      <c r="B208" s="245"/>
      <c r="C208" s="247"/>
      <c r="D208" s="248"/>
      <c r="E208" s="248"/>
      <c r="F208" s="249"/>
      <c r="G208" s="249"/>
      <c r="H208" s="250"/>
    </row>
    <row r="209" spans="2:8" ht="18" customHeight="1" x14ac:dyDescent="0.25">
      <c r="B209" s="67"/>
      <c r="C209" s="39"/>
      <c r="D209" s="68"/>
      <c r="E209" s="68"/>
      <c r="F209" s="58"/>
      <c r="G209" s="58"/>
      <c r="H209" s="211"/>
    </row>
    <row r="210" spans="2:8" ht="18" customHeight="1" x14ac:dyDescent="0.25">
      <c r="B210" s="67"/>
      <c r="C210" s="39"/>
      <c r="D210" s="68"/>
      <c r="E210" s="68"/>
      <c r="F210" s="58"/>
      <c r="G210" s="58"/>
      <c r="H210" s="211"/>
    </row>
    <row r="211" spans="2:8" ht="18" customHeight="1" x14ac:dyDescent="0.25">
      <c r="B211" s="67"/>
      <c r="C211" s="39"/>
      <c r="D211" s="68"/>
      <c r="E211" s="68"/>
      <c r="F211" s="58"/>
      <c r="G211" s="58"/>
      <c r="H211" s="211"/>
    </row>
    <row r="212" spans="2:8" ht="18" customHeight="1" x14ac:dyDescent="0.25">
      <c r="B212" s="67"/>
      <c r="C212" s="39"/>
      <c r="D212" s="68"/>
      <c r="E212" s="68"/>
      <c r="F212" s="58"/>
      <c r="G212" s="58"/>
      <c r="H212" s="211"/>
    </row>
    <row r="213" spans="2:8" ht="18" customHeight="1" x14ac:dyDescent="0.25">
      <c r="B213" s="67"/>
      <c r="C213" s="39"/>
      <c r="D213" s="68"/>
      <c r="E213" s="68"/>
      <c r="F213" s="58"/>
      <c r="G213" s="58"/>
      <c r="H213" s="211"/>
    </row>
    <row r="214" spans="2:8" ht="18" customHeight="1" x14ac:dyDescent="0.25">
      <c r="B214" s="67"/>
      <c r="C214" s="39"/>
      <c r="D214" s="68"/>
      <c r="E214" s="68"/>
      <c r="F214" s="58"/>
      <c r="G214" s="58"/>
      <c r="H214" s="211"/>
    </row>
    <row r="215" spans="2:8" ht="18" customHeight="1" x14ac:dyDescent="0.25">
      <c r="B215" s="67"/>
      <c r="C215" s="39"/>
      <c r="D215" s="68"/>
      <c r="E215" s="68"/>
      <c r="F215" s="58"/>
      <c r="G215" s="58"/>
      <c r="H215" s="211"/>
    </row>
    <row r="216" spans="2:8" ht="18" customHeight="1" x14ac:dyDescent="0.25">
      <c r="B216" s="245"/>
      <c r="C216" s="247"/>
      <c r="D216" s="248"/>
      <c r="E216" s="248"/>
      <c r="F216" s="249"/>
      <c r="G216" s="249"/>
      <c r="H216" s="250"/>
    </row>
    <row r="217" spans="2:8" ht="18" customHeight="1" x14ac:dyDescent="0.25">
      <c r="B217" s="245"/>
      <c r="C217" s="247"/>
      <c r="D217" s="248"/>
      <c r="E217" s="248"/>
      <c r="F217" s="249"/>
      <c r="G217" s="249"/>
      <c r="H217" s="250"/>
    </row>
    <row r="218" spans="2:8" ht="18" customHeight="1" x14ac:dyDescent="0.25">
      <c r="B218" s="245"/>
      <c r="C218" s="247"/>
      <c r="D218" s="248"/>
      <c r="E218" s="248"/>
      <c r="F218" s="249"/>
      <c r="G218" s="249"/>
      <c r="H218" s="250"/>
    </row>
    <row r="219" spans="2:8" ht="18" customHeight="1" x14ac:dyDescent="0.25">
      <c r="B219" s="245"/>
      <c r="C219" s="247"/>
      <c r="D219" s="248"/>
      <c r="E219" s="248"/>
      <c r="F219" s="249"/>
      <c r="G219" s="249"/>
      <c r="H219" s="250"/>
    </row>
    <row r="220" spans="2:8" ht="18" customHeight="1" x14ac:dyDescent="0.25">
      <c r="B220" s="67"/>
      <c r="C220" s="39"/>
      <c r="D220" s="68"/>
      <c r="E220" s="68"/>
      <c r="F220" s="58"/>
      <c r="G220" s="58"/>
      <c r="H220" s="211"/>
    </row>
    <row r="221" spans="2:8" ht="18" customHeight="1" x14ac:dyDescent="0.25">
      <c r="B221" s="67"/>
      <c r="C221" s="39"/>
      <c r="D221" s="68"/>
      <c r="E221" s="68"/>
      <c r="F221" s="58"/>
      <c r="G221" s="58"/>
      <c r="H221" s="211"/>
    </row>
    <row r="222" spans="2:8" ht="18" customHeight="1" x14ac:dyDescent="0.25">
      <c r="B222" s="67"/>
      <c r="C222" s="39"/>
      <c r="D222" s="68"/>
      <c r="E222" s="68"/>
      <c r="F222" s="58"/>
      <c r="G222" s="58"/>
      <c r="H222" s="211"/>
    </row>
    <row r="223" spans="2:8" ht="18" customHeight="1" x14ac:dyDescent="0.25">
      <c r="B223" s="67"/>
      <c r="C223" s="39"/>
      <c r="D223" s="68"/>
      <c r="E223" s="68"/>
      <c r="F223" s="58"/>
      <c r="G223" s="58"/>
      <c r="H223" s="211"/>
    </row>
    <row r="224" spans="2:8" ht="18" customHeight="1" x14ac:dyDescent="0.25">
      <c r="B224" s="245"/>
      <c r="C224" s="247"/>
      <c r="D224" s="248"/>
      <c r="E224" s="248"/>
      <c r="F224" s="249"/>
      <c r="G224" s="249"/>
      <c r="H224" s="250"/>
    </row>
    <row r="225" spans="2:8" ht="18" customHeight="1" x14ac:dyDescent="0.25">
      <c r="B225" s="67"/>
      <c r="C225" s="39"/>
      <c r="D225" s="68"/>
      <c r="E225" s="68"/>
      <c r="F225" s="58"/>
      <c r="G225" s="58"/>
      <c r="H225" s="211"/>
    </row>
    <row r="226" spans="2:8" ht="18" customHeight="1" x14ac:dyDescent="0.25">
      <c r="B226" s="245"/>
      <c r="C226" s="247"/>
      <c r="D226" s="248"/>
      <c r="E226" s="248"/>
      <c r="F226" s="249"/>
      <c r="G226" s="249"/>
      <c r="H226" s="250"/>
    </row>
    <row r="227" spans="2:8" ht="18" customHeight="1" x14ac:dyDescent="0.25">
      <c r="B227" s="67"/>
      <c r="C227" s="39"/>
      <c r="D227" s="68"/>
      <c r="E227" s="68"/>
      <c r="F227" s="58"/>
      <c r="G227" s="58"/>
      <c r="H227" s="211"/>
    </row>
    <row r="228" spans="2:8" ht="18" customHeight="1" x14ac:dyDescent="0.25">
      <c r="B228" s="245"/>
      <c r="C228" s="247"/>
      <c r="D228" s="248"/>
      <c r="E228" s="248"/>
      <c r="F228" s="249"/>
      <c r="G228" s="249"/>
      <c r="H228" s="250"/>
    </row>
    <row r="229" spans="2:8" ht="18" customHeight="1" x14ac:dyDescent="0.25">
      <c r="B229" s="67"/>
      <c r="C229" s="39"/>
      <c r="D229" s="68"/>
      <c r="E229" s="68"/>
      <c r="F229" s="58"/>
      <c r="G229" s="58"/>
      <c r="H229" s="211"/>
    </row>
    <row r="230" spans="2:8" ht="18" customHeight="1" x14ac:dyDescent="0.25">
      <c r="B230" s="67"/>
      <c r="C230" s="39"/>
      <c r="D230" s="68"/>
      <c r="E230" s="68"/>
      <c r="F230" s="58"/>
      <c r="G230" s="58"/>
      <c r="H230" s="211"/>
    </row>
    <row r="231" spans="2:8" ht="18" customHeight="1" x14ac:dyDescent="0.25">
      <c r="B231" s="67"/>
      <c r="C231" s="39"/>
      <c r="D231" s="68"/>
      <c r="E231" s="68"/>
      <c r="F231" s="58"/>
      <c r="G231" s="58"/>
      <c r="H231" s="211"/>
    </row>
    <row r="232" spans="2:8" ht="18" customHeight="1" x14ac:dyDescent="0.25">
      <c r="B232" s="67"/>
      <c r="C232" s="39"/>
      <c r="D232" s="68"/>
      <c r="E232" s="68"/>
      <c r="F232" s="58"/>
      <c r="G232" s="58"/>
      <c r="H232" s="211"/>
    </row>
    <row r="233" spans="2:8" ht="18" customHeight="1" x14ac:dyDescent="0.25">
      <c r="B233" s="245"/>
      <c r="C233" s="247"/>
      <c r="D233" s="248"/>
      <c r="E233" s="248"/>
      <c r="F233" s="249"/>
      <c r="G233" s="249"/>
      <c r="H233" s="250"/>
    </row>
    <row r="234" spans="2:8" ht="18" customHeight="1" x14ac:dyDescent="0.25">
      <c r="B234" s="245"/>
      <c r="C234" s="247"/>
      <c r="D234" s="248"/>
      <c r="E234" s="248"/>
      <c r="F234" s="249"/>
      <c r="G234" s="249"/>
      <c r="H234" s="250"/>
    </row>
    <row r="235" spans="2:8" ht="18" customHeight="1" x14ac:dyDescent="0.25">
      <c r="B235" s="67"/>
      <c r="C235" s="39"/>
      <c r="D235" s="68"/>
      <c r="E235" s="68"/>
      <c r="F235" s="58"/>
      <c r="G235" s="58"/>
      <c r="H235" s="211"/>
    </row>
    <row r="236" spans="2:8" ht="18" customHeight="1" x14ac:dyDescent="0.25">
      <c r="B236" s="67"/>
      <c r="C236" s="39"/>
      <c r="D236" s="68"/>
      <c r="E236" s="68"/>
      <c r="F236" s="58"/>
      <c r="G236" s="58"/>
      <c r="H236" s="211"/>
    </row>
    <row r="237" spans="2:8" ht="18" customHeight="1" x14ac:dyDescent="0.25">
      <c r="B237" s="67"/>
      <c r="C237" s="39"/>
      <c r="D237" s="68"/>
      <c r="E237" s="68"/>
      <c r="F237" s="58"/>
      <c r="G237" s="58"/>
      <c r="H237" s="211"/>
    </row>
    <row r="238" spans="2:8" ht="18" customHeight="1" x14ac:dyDescent="0.25">
      <c r="B238" s="245"/>
      <c r="C238" s="247"/>
      <c r="D238" s="248"/>
      <c r="E238" s="248"/>
      <c r="F238" s="249"/>
      <c r="G238" s="249"/>
      <c r="H238" s="250"/>
    </row>
    <row r="239" spans="2:8" ht="18" customHeight="1" x14ac:dyDescent="0.25">
      <c r="B239" s="245"/>
      <c r="C239" s="247"/>
      <c r="D239" s="248"/>
      <c r="E239" s="248"/>
      <c r="F239" s="249"/>
      <c r="G239" s="249"/>
      <c r="H239" s="250"/>
    </row>
    <row r="240" spans="2:8" ht="18" customHeight="1" x14ac:dyDescent="0.25">
      <c r="B240" s="245"/>
      <c r="C240" s="247"/>
      <c r="D240" s="248"/>
      <c r="E240" s="248"/>
      <c r="F240" s="249"/>
      <c r="G240" s="249"/>
      <c r="H240" s="250"/>
    </row>
    <row r="241" spans="2:8" ht="18" customHeight="1" x14ac:dyDescent="0.25">
      <c r="B241" s="67"/>
      <c r="C241" s="39"/>
      <c r="D241" s="68"/>
      <c r="E241" s="68"/>
      <c r="F241" s="58"/>
      <c r="G241" s="58"/>
      <c r="H241" s="211"/>
    </row>
    <row r="242" spans="2:8" ht="18" customHeight="1" x14ac:dyDescent="0.25">
      <c r="B242" s="67"/>
      <c r="C242" s="39"/>
      <c r="D242" s="68"/>
      <c r="E242" s="68"/>
      <c r="F242" s="58"/>
      <c r="G242" s="58"/>
      <c r="H242" s="211"/>
    </row>
    <row r="243" spans="2:8" ht="18" customHeight="1" x14ac:dyDescent="0.25">
      <c r="B243" s="67"/>
      <c r="C243" s="39"/>
      <c r="D243" s="68"/>
      <c r="E243" s="68"/>
      <c r="F243" s="58"/>
      <c r="G243" s="58"/>
      <c r="H243" s="211"/>
    </row>
    <row r="244" spans="2:8" ht="18" customHeight="1" x14ac:dyDescent="0.25">
      <c r="B244" s="67"/>
      <c r="C244" s="39"/>
      <c r="D244" s="68"/>
      <c r="E244" s="68"/>
      <c r="F244" s="58"/>
      <c r="G244" s="58"/>
      <c r="H244" s="211"/>
    </row>
    <row r="245" spans="2:8" ht="18" customHeight="1" x14ac:dyDescent="0.25">
      <c r="B245" s="245"/>
      <c r="C245" s="247"/>
      <c r="D245" s="248"/>
      <c r="E245" s="248"/>
      <c r="F245" s="249"/>
      <c r="G245" s="249"/>
      <c r="H245" s="250"/>
    </row>
    <row r="246" spans="2:8" ht="18" customHeight="1" x14ac:dyDescent="0.25">
      <c r="B246" s="245"/>
      <c r="C246" s="247"/>
      <c r="D246" s="248"/>
      <c r="E246" s="248"/>
      <c r="F246" s="249"/>
      <c r="G246" s="249"/>
      <c r="H246" s="250"/>
    </row>
    <row r="247" spans="2:8" ht="18" customHeight="1" x14ac:dyDescent="0.25">
      <c r="B247" s="67"/>
      <c r="C247" s="39"/>
      <c r="D247" s="68"/>
      <c r="E247" s="68"/>
      <c r="F247" s="58"/>
      <c r="G247" s="58"/>
      <c r="H247" s="211"/>
    </row>
    <row r="248" spans="2:8" ht="18" customHeight="1" x14ac:dyDescent="0.25">
      <c r="B248" s="67"/>
      <c r="C248" s="39"/>
      <c r="D248" s="68"/>
      <c r="E248" s="68"/>
      <c r="F248" s="58"/>
      <c r="G248" s="58"/>
      <c r="H248" s="211"/>
    </row>
    <row r="249" spans="2:8" ht="18" customHeight="1" x14ac:dyDescent="0.25">
      <c r="B249" s="67"/>
      <c r="C249" s="39"/>
      <c r="D249" s="68"/>
      <c r="E249" s="68"/>
      <c r="F249" s="58"/>
      <c r="G249" s="58"/>
      <c r="H249" s="211"/>
    </row>
    <row r="250" spans="2:8" ht="18" customHeight="1" x14ac:dyDescent="0.25">
      <c r="B250" s="67"/>
      <c r="C250" s="39"/>
      <c r="D250" s="68"/>
      <c r="E250" s="68"/>
      <c r="F250" s="58"/>
      <c r="G250" s="58"/>
      <c r="H250" s="211"/>
    </row>
    <row r="251" spans="2:8" ht="18" customHeight="1" x14ac:dyDescent="0.25">
      <c r="B251" s="67"/>
      <c r="C251" s="39"/>
      <c r="D251" s="68"/>
      <c r="E251" s="68"/>
      <c r="F251" s="58"/>
      <c r="G251" s="58"/>
      <c r="H251" s="211"/>
    </row>
    <row r="252" spans="2:8" ht="18" customHeight="1" x14ac:dyDescent="0.25">
      <c r="B252" s="67"/>
      <c r="C252" s="39"/>
      <c r="D252" s="68"/>
      <c r="E252" s="68"/>
      <c r="F252" s="58"/>
      <c r="G252" s="58"/>
      <c r="H252" s="211"/>
    </row>
    <row r="253" spans="2:8" ht="18" customHeight="1" x14ac:dyDescent="0.25">
      <c r="B253" s="245"/>
      <c r="C253" s="247"/>
      <c r="D253" s="248"/>
      <c r="E253" s="248"/>
      <c r="F253" s="249"/>
      <c r="G253" s="249"/>
      <c r="H253" s="250"/>
    </row>
    <row r="254" spans="2:8" ht="18" customHeight="1" x14ac:dyDescent="0.25">
      <c r="B254" s="245"/>
      <c r="C254" s="247"/>
      <c r="D254" s="248"/>
      <c r="E254" s="248"/>
      <c r="F254" s="249"/>
      <c r="G254" s="249"/>
      <c r="H254" s="250"/>
    </row>
    <row r="255" spans="2:8" ht="18" customHeight="1" x14ac:dyDescent="0.25">
      <c r="B255" s="245"/>
      <c r="C255" s="247"/>
      <c r="D255" s="248"/>
      <c r="E255" s="248"/>
      <c r="F255" s="249"/>
      <c r="G255" s="249"/>
      <c r="H255" s="250"/>
    </row>
    <row r="256" spans="2:8" ht="18" customHeight="1" x14ac:dyDescent="0.25">
      <c r="B256" s="67"/>
      <c r="C256" s="39"/>
      <c r="D256" s="68"/>
      <c r="E256" s="68"/>
      <c r="F256" s="58"/>
      <c r="G256" s="58"/>
      <c r="H256" s="211"/>
    </row>
    <row r="257" spans="2:8" ht="18" customHeight="1" x14ac:dyDescent="0.25">
      <c r="B257" s="245"/>
      <c r="C257" s="247"/>
      <c r="D257" s="248"/>
      <c r="E257" s="248"/>
      <c r="F257" s="249"/>
      <c r="G257" s="249"/>
      <c r="H257" s="250"/>
    </row>
    <row r="258" spans="2:8" ht="18" customHeight="1" x14ac:dyDescent="0.25">
      <c r="B258" s="245"/>
      <c r="C258" s="247"/>
      <c r="D258" s="248"/>
      <c r="E258" s="248"/>
      <c r="F258" s="249"/>
      <c r="G258" s="249"/>
      <c r="H258" s="250"/>
    </row>
    <row r="259" spans="2:8" ht="18" customHeight="1" x14ac:dyDescent="0.25">
      <c r="B259" s="245"/>
      <c r="C259" s="247"/>
      <c r="D259" s="248"/>
      <c r="E259" s="248"/>
      <c r="F259" s="249"/>
      <c r="G259" s="249"/>
      <c r="H259" s="250"/>
    </row>
    <row r="260" spans="2:8" ht="18" customHeight="1" x14ac:dyDescent="0.25">
      <c r="B260" s="67"/>
      <c r="C260" s="39"/>
      <c r="D260" s="68"/>
      <c r="E260" s="68"/>
      <c r="F260" s="58"/>
      <c r="G260" s="58"/>
      <c r="H260" s="211"/>
    </row>
    <row r="261" spans="2:8" ht="18" customHeight="1" x14ac:dyDescent="0.25">
      <c r="B261" s="67"/>
      <c r="C261" s="39"/>
      <c r="D261" s="68"/>
      <c r="E261" s="68"/>
      <c r="F261" s="58"/>
      <c r="G261" s="58"/>
      <c r="H261" s="211"/>
    </row>
    <row r="262" spans="2:8" ht="18" customHeight="1" x14ac:dyDescent="0.25">
      <c r="B262" s="67"/>
      <c r="C262" s="39"/>
      <c r="D262" s="68"/>
      <c r="E262" s="68"/>
      <c r="F262" s="58"/>
      <c r="G262" s="58"/>
      <c r="H262" s="211"/>
    </row>
    <row r="263" spans="2:8" ht="18" customHeight="1" x14ac:dyDescent="0.25">
      <c r="B263" s="67"/>
      <c r="C263" s="39"/>
      <c r="D263" s="68"/>
      <c r="E263" s="68"/>
      <c r="F263" s="58"/>
      <c r="G263" s="58"/>
      <c r="H263" s="211"/>
    </row>
    <row r="264" spans="2:8" ht="18" customHeight="1" x14ac:dyDescent="0.25">
      <c r="B264" s="67"/>
      <c r="C264" s="39"/>
      <c r="D264" s="68"/>
      <c r="E264" s="68"/>
      <c r="F264" s="58"/>
      <c r="G264" s="58"/>
      <c r="H264" s="211"/>
    </row>
    <row r="265" spans="2:8" ht="18" customHeight="1" x14ac:dyDescent="0.25">
      <c r="B265" s="67"/>
      <c r="C265" s="39"/>
      <c r="D265" s="68"/>
      <c r="E265" s="68"/>
      <c r="F265" s="58"/>
      <c r="G265" s="58"/>
      <c r="H265" s="211"/>
    </row>
    <row r="266" spans="2:8" ht="18" customHeight="1" x14ac:dyDescent="0.25">
      <c r="B266" s="245"/>
      <c r="C266" s="247"/>
      <c r="D266" s="248"/>
      <c r="E266" s="248"/>
      <c r="F266" s="249"/>
      <c r="G266" s="249"/>
      <c r="H266" s="250"/>
    </row>
    <row r="267" spans="2:8" ht="18" customHeight="1" x14ac:dyDescent="0.25">
      <c r="B267" s="245"/>
      <c r="C267" s="247"/>
      <c r="D267" s="248"/>
      <c r="E267" s="248"/>
      <c r="F267" s="249"/>
      <c r="G267" s="249"/>
      <c r="H267" s="250"/>
    </row>
    <row r="268" spans="2:8" ht="18" customHeight="1" x14ac:dyDescent="0.25">
      <c r="B268" s="67"/>
      <c r="C268" s="39"/>
      <c r="D268" s="68"/>
      <c r="E268" s="68"/>
      <c r="F268" s="58"/>
      <c r="G268" s="58"/>
      <c r="H268" s="211"/>
    </row>
    <row r="269" spans="2:8" ht="18" customHeight="1" x14ac:dyDescent="0.25">
      <c r="B269" s="67"/>
      <c r="C269" s="39"/>
      <c r="D269" s="68"/>
      <c r="E269" s="68"/>
      <c r="F269" s="58"/>
      <c r="G269" s="58"/>
      <c r="H269" s="211"/>
    </row>
    <row r="270" spans="2:8" ht="18" customHeight="1" x14ac:dyDescent="0.25">
      <c r="B270" s="245"/>
      <c r="C270" s="247"/>
      <c r="D270" s="248"/>
      <c r="E270" s="248"/>
      <c r="F270" s="249"/>
      <c r="G270" s="249"/>
      <c r="H270" s="250"/>
    </row>
    <row r="271" spans="2:8" ht="18" customHeight="1" x14ac:dyDescent="0.25">
      <c r="B271" s="67"/>
      <c r="C271" s="39"/>
      <c r="D271" s="68"/>
      <c r="E271" s="68"/>
      <c r="F271" s="58"/>
      <c r="G271" s="58"/>
      <c r="H271" s="211"/>
    </row>
    <row r="272" spans="2:8" ht="18" customHeight="1" x14ac:dyDescent="0.25">
      <c r="B272" s="67"/>
      <c r="C272" s="39"/>
      <c r="D272" s="68"/>
      <c r="E272" s="68"/>
      <c r="F272" s="58"/>
      <c r="G272" s="58"/>
      <c r="H272" s="211"/>
    </row>
    <row r="273" spans="2:8" ht="18" customHeight="1" x14ac:dyDescent="0.25">
      <c r="B273" s="67"/>
      <c r="C273" s="39"/>
      <c r="D273" s="68"/>
      <c r="E273" s="68"/>
      <c r="F273" s="58"/>
      <c r="G273" s="58"/>
      <c r="H273" s="211"/>
    </row>
    <row r="274" spans="2:8" ht="18" customHeight="1" x14ac:dyDescent="0.25">
      <c r="B274" s="212"/>
      <c r="C274" s="213"/>
      <c r="D274" s="108"/>
      <c r="E274" s="108"/>
      <c r="F274" s="214"/>
      <c r="G274" s="214"/>
      <c r="H274" s="215"/>
    </row>
    <row r="275" spans="2:8" ht="18" customHeight="1" x14ac:dyDescent="0.25">
      <c r="B275" s="67"/>
      <c r="C275" s="39"/>
      <c r="D275" s="68"/>
      <c r="E275" s="68"/>
      <c r="F275" s="58"/>
      <c r="G275" s="58"/>
      <c r="H275" s="211"/>
    </row>
    <row r="276" spans="2:8" ht="18" customHeight="1" x14ac:dyDescent="0.25">
      <c r="B276" s="67"/>
      <c r="C276" s="39"/>
      <c r="D276" s="68"/>
      <c r="E276" s="68"/>
      <c r="F276" s="58"/>
      <c r="G276" s="58"/>
      <c r="H276" s="211"/>
    </row>
    <row r="277" spans="2:8" ht="18" customHeight="1" x14ac:dyDescent="0.25">
      <c r="B277" s="245"/>
      <c r="C277" s="247"/>
      <c r="D277" s="248"/>
      <c r="E277" s="248"/>
      <c r="F277" s="249"/>
      <c r="G277" s="249"/>
      <c r="H277" s="250"/>
    </row>
    <row r="278" spans="2:8" ht="18" customHeight="1" x14ac:dyDescent="0.25">
      <c r="B278" s="67"/>
      <c r="C278" s="39"/>
      <c r="D278" s="68"/>
      <c r="E278" s="68"/>
      <c r="F278" s="58"/>
      <c r="G278" s="58"/>
      <c r="H278" s="211"/>
    </row>
    <row r="279" spans="2:8" ht="18" customHeight="1" x14ac:dyDescent="0.25">
      <c r="B279" s="67"/>
      <c r="C279" s="39"/>
      <c r="D279" s="68"/>
      <c r="E279" s="68"/>
      <c r="F279" s="58"/>
      <c r="G279" s="58"/>
      <c r="H279" s="211"/>
    </row>
    <row r="280" spans="2:8" ht="18" customHeight="1" x14ac:dyDescent="0.25">
      <c r="B280" s="67"/>
      <c r="C280" s="39"/>
      <c r="D280" s="68"/>
      <c r="E280" s="68"/>
      <c r="F280" s="58"/>
      <c r="G280" s="58"/>
      <c r="H280" s="211"/>
    </row>
    <row r="281" spans="2:8" ht="18" customHeight="1" x14ac:dyDescent="0.25">
      <c r="B281" s="67"/>
      <c r="C281" s="39"/>
      <c r="D281" s="68"/>
      <c r="E281" s="68"/>
      <c r="F281" s="58"/>
      <c r="G281" s="58"/>
      <c r="H281" s="211"/>
    </row>
    <row r="282" spans="2:8" ht="18" customHeight="1" x14ac:dyDescent="0.25">
      <c r="B282" s="67"/>
      <c r="C282" s="39"/>
      <c r="D282" s="68"/>
      <c r="E282" s="68"/>
      <c r="F282" s="58"/>
      <c r="G282" s="58"/>
      <c r="H282" s="211"/>
    </row>
    <row r="283" spans="2:8" ht="18" customHeight="1" x14ac:dyDescent="0.25">
      <c r="B283" s="245"/>
      <c r="C283" s="247"/>
      <c r="D283" s="248"/>
      <c r="E283" s="248"/>
      <c r="F283" s="249"/>
      <c r="G283" s="249"/>
      <c r="H283" s="250"/>
    </row>
    <row r="284" spans="2:8" ht="18" customHeight="1" x14ac:dyDescent="0.25">
      <c r="B284" s="67"/>
      <c r="C284" s="39"/>
      <c r="D284" s="68"/>
      <c r="E284" s="68"/>
      <c r="F284" s="58"/>
      <c r="G284" s="58"/>
      <c r="H284" s="211"/>
    </row>
    <row r="285" spans="2:8" ht="18" customHeight="1" x14ac:dyDescent="0.25">
      <c r="B285" s="212"/>
      <c r="C285" s="213"/>
      <c r="D285" s="108"/>
      <c r="E285" s="108"/>
      <c r="F285" s="214"/>
      <c r="G285" s="214"/>
      <c r="H285" s="215"/>
    </row>
    <row r="286" spans="2:8" ht="18" customHeight="1" x14ac:dyDescent="0.25">
      <c r="B286" s="67"/>
      <c r="C286" s="39"/>
      <c r="D286" s="68"/>
      <c r="E286" s="68"/>
      <c r="F286" s="58"/>
      <c r="G286" s="58"/>
      <c r="H286" s="211"/>
    </row>
    <row r="287" spans="2:8" ht="18" customHeight="1" x14ac:dyDescent="0.25">
      <c r="B287" s="245"/>
      <c r="C287" s="247"/>
      <c r="D287" s="248"/>
      <c r="E287" s="248"/>
      <c r="F287" s="249"/>
      <c r="G287" s="249"/>
      <c r="H287" s="250"/>
    </row>
    <row r="288" spans="2:8" ht="18" customHeight="1" x14ac:dyDescent="0.25">
      <c r="B288" s="67"/>
      <c r="C288" s="39"/>
      <c r="D288" s="68"/>
      <c r="E288" s="68"/>
      <c r="F288" s="58"/>
      <c r="G288" s="58"/>
      <c r="H288" s="211"/>
    </row>
    <row r="289" spans="2:8" ht="18" customHeight="1" x14ac:dyDescent="0.25">
      <c r="B289" s="245"/>
      <c r="C289" s="247"/>
      <c r="D289" s="248"/>
      <c r="E289" s="248"/>
      <c r="F289" s="249"/>
      <c r="G289" s="249"/>
      <c r="H289" s="250"/>
    </row>
    <row r="290" spans="2:8" ht="18" customHeight="1" x14ac:dyDescent="0.25">
      <c r="B290" s="245"/>
      <c r="C290" s="247"/>
      <c r="D290" s="248"/>
      <c r="E290" s="248"/>
      <c r="F290" s="249"/>
      <c r="G290" s="249"/>
      <c r="H290" s="250"/>
    </row>
    <row r="291" spans="2:8" ht="18" customHeight="1" x14ac:dyDescent="0.25">
      <c r="B291" s="67"/>
      <c r="C291" s="39"/>
      <c r="D291" s="68"/>
      <c r="E291" s="68"/>
      <c r="F291" s="58"/>
      <c r="G291" s="58"/>
      <c r="H291" s="211"/>
    </row>
    <row r="292" spans="2:8" ht="18" customHeight="1" x14ac:dyDescent="0.25">
      <c r="B292" s="67"/>
      <c r="C292" s="39"/>
      <c r="D292" s="68"/>
      <c r="E292" s="68"/>
      <c r="F292" s="58"/>
      <c r="G292" s="58"/>
      <c r="H292" s="211"/>
    </row>
    <row r="293" spans="2:8" ht="18" customHeight="1" x14ac:dyDescent="0.25">
      <c r="B293" s="67"/>
      <c r="C293" s="39"/>
      <c r="D293" s="68"/>
      <c r="E293" s="68"/>
      <c r="F293" s="58"/>
      <c r="G293" s="58"/>
      <c r="H293" s="211"/>
    </row>
    <row r="294" spans="2:8" ht="18" customHeight="1" x14ac:dyDescent="0.25">
      <c r="B294" s="67"/>
      <c r="C294" s="39"/>
      <c r="D294" s="68"/>
      <c r="E294" s="68"/>
      <c r="F294" s="58"/>
      <c r="G294" s="58"/>
      <c r="H294" s="211"/>
    </row>
    <row r="295" spans="2:8" ht="18" customHeight="1" x14ac:dyDescent="0.25">
      <c r="B295" s="67"/>
      <c r="C295" s="39"/>
      <c r="D295" s="68"/>
      <c r="E295" s="68"/>
      <c r="F295" s="58"/>
      <c r="G295" s="58"/>
      <c r="H295" s="211"/>
    </row>
    <row r="296" spans="2:8" ht="18" customHeight="1" x14ac:dyDescent="0.25">
      <c r="B296" s="67"/>
      <c r="C296" s="39"/>
      <c r="D296" s="68"/>
      <c r="E296" s="68"/>
      <c r="F296" s="58"/>
      <c r="G296" s="58"/>
      <c r="H296" s="211"/>
    </row>
    <row r="297" spans="2:8" ht="18" customHeight="1" x14ac:dyDescent="0.25">
      <c r="B297" s="67"/>
      <c r="C297" s="39"/>
      <c r="D297" s="68"/>
      <c r="E297" s="68"/>
      <c r="F297" s="58"/>
      <c r="G297" s="58"/>
      <c r="H297" s="211"/>
    </row>
    <row r="298" spans="2:8" ht="18" customHeight="1" x14ac:dyDescent="0.25">
      <c r="B298" s="67"/>
      <c r="C298" s="39"/>
      <c r="D298" s="68"/>
      <c r="E298" s="68"/>
      <c r="F298" s="58"/>
      <c r="G298" s="58"/>
      <c r="H298" s="211"/>
    </row>
    <row r="299" spans="2:8" ht="18" customHeight="1" x14ac:dyDescent="0.25">
      <c r="B299" s="67"/>
      <c r="C299" s="39"/>
      <c r="D299" s="68"/>
      <c r="E299" s="68"/>
      <c r="F299" s="58"/>
      <c r="G299" s="58"/>
      <c r="H299" s="211"/>
    </row>
    <row r="300" spans="2:8" ht="18" customHeight="1" x14ac:dyDescent="0.25">
      <c r="B300" s="67"/>
      <c r="C300" s="39"/>
      <c r="D300" s="68"/>
      <c r="E300" s="68"/>
      <c r="F300" s="58"/>
      <c r="G300" s="58"/>
      <c r="H300" s="211"/>
    </row>
    <row r="301" spans="2:8" ht="18" customHeight="1" x14ac:dyDescent="0.25">
      <c r="B301" s="67"/>
      <c r="C301" s="39"/>
      <c r="D301" s="68"/>
      <c r="E301" s="68"/>
      <c r="F301" s="58"/>
      <c r="G301" s="58"/>
      <c r="H301" s="211"/>
    </row>
    <row r="302" spans="2:8" ht="18" customHeight="1" x14ac:dyDescent="0.25">
      <c r="B302" s="67"/>
      <c r="C302" s="39"/>
      <c r="D302" s="68"/>
      <c r="E302" s="68"/>
      <c r="F302" s="58"/>
      <c r="G302" s="58"/>
      <c r="H302" s="211"/>
    </row>
    <row r="303" spans="2:8" ht="18" customHeight="1" x14ac:dyDescent="0.25">
      <c r="B303" s="67"/>
      <c r="C303" s="39"/>
      <c r="D303" s="68"/>
      <c r="E303" s="68"/>
      <c r="F303" s="58"/>
      <c r="G303" s="58"/>
      <c r="H303" s="211"/>
    </row>
    <row r="304" spans="2:8" ht="18" customHeight="1" x14ac:dyDescent="0.25">
      <c r="B304" s="245"/>
      <c r="C304" s="247"/>
      <c r="D304" s="248"/>
      <c r="E304" s="248"/>
      <c r="F304" s="249"/>
      <c r="G304" s="249"/>
      <c r="H304" s="250"/>
    </row>
    <row r="305" spans="2:8" ht="18" customHeight="1" x14ac:dyDescent="0.25">
      <c r="B305" s="245"/>
      <c r="C305" s="247"/>
      <c r="D305" s="248"/>
      <c r="E305" s="248"/>
      <c r="F305" s="249"/>
      <c r="G305" s="249"/>
      <c r="H305" s="250"/>
    </row>
    <row r="306" spans="2:8" ht="18" customHeight="1" x14ac:dyDescent="0.25">
      <c r="B306" s="245"/>
      <c r="C306" s="247"/>
      <c r="D306" s="248"/>
      <c r="E306" s="248"/>
      <c r="F306" s="249"/>
      <c r="G306" s="249"/>
      <c r="H306" s="250"/>
    </row>
    <row r="307" spans="2:8" ht="18" customHeight="1" x14ac:dyDescent="0.25">
      <c r="B307" s="245"/>
      <c r="C307" s="247"/>
      <c r="D307" s="248"/>
      <c r="E307" s="248"/>
      <c r="F307" s="249"/>
      <c r="G307" s="249"/>
      <c r="H307" s="250"/>
    </row>
    <row r="308" spans="2:8" ht="18" customHeight="1" x14ac:dyDescent="0.25">
      <c r="B308" s="245"/>
      <c r="C308" s="247"/>
      <c r="D308" s="248"/>
      <c r="E308" s="248"/>
      <c r="F308" s="249"/>
      <c r="G308" s="249"/>
      <c r="H308" s="250"/>
    </row>
    <row r="309" spans="2:8" ht="18" customHeight="1" x14ac:dyDescent="0.25">
      <c r="B309" s="245"/>
      <c r="C309" s="247"/>
      <c r="D309" s="248"/>
      <c r="E309" s="248"/>
      <c r="F309" s="249"/>
      <c r="G309" s="249"/>
      <c r="H309" s="250"/>
    </row>
    <row r="310" spans="2:8" ht="18" customHeight="1" x14ac:dyDescent="0.25">
      <c r="B310" s="245"/>
      <c r="C310" s="247"/>
      <c r="D310" s="248"/>
      <c r="E310" s="248"/>
      <c r="F310" s="249"/>
      <c r="G310" s="249"/>
      <c r="H310" s="250"/>
    </row>
    <row r="311" spans="2:8" ht="18" customHeight="1" x14ac:dyDescent="0.25">
      <c r="B311" s="245"/>
      <c r="C311" s="247"/>
      <c r="D311" s="248"/>
      <c r="E311" s="248"/>
      <c r="F311" s="249"/>
      <c r="G311" s="249"/>
      <c r="H311" s="250"/>
    </row>
    <row r="312" spans="2:8" ht="18" customHeight="1" x14ac:dyDescent="0.25">
      <c r="B312" s="245"/>
      <c r="C312" s="247"/>
      <c r="D312" s="248"/>
      <c r="E312" s="248"/>
      <c r="F312" s="249"/>
      <c r="G312" s="249"/>
      <c r="H312" s="250"/>
    </row>
    <row r="313" spans="2:8" ht="18" customHeight="1" x14ac:dyDescent="0.25">
      <c r="B313" s="245"/>
      <c r="C313" s="247"/>
      <c r="D313" s="248"/>
      <c r="E313" s="248"/>
      <c r="F313" s="249"/>
      <c r="G313" s="249"/>
      <c r="H313" s="250"/>
    </row>
    <row r="314" spans="2:8" ht="18" customHeight="1" x14ac:dyDescent="0.25">
      <c r="B314" s="245"/>
      <c r="C314" s="247"/>
      <c r="D314" s="248"/>
      <c r="E314" s="248"/>
      <c r="F314" s="249"/>
      <c r="G314" s="249"/>
      <c r="H314" s="250"/>
    </row>
    <row r="315" spans="2:8" ht="18" customHeight="1" x14ac:dyDescent="0.25">
      <c r="B315" s="245"/>
      <c r="C315" s="247"/>
      <c r="D315" s="248"/>
      <c r="E315" s="248"/>
      <c r="F315" s="249"/>
      <c r="G315" s="249"/>
      <c r="H315" s="250"/>
    </row>
    <row r="316" spans="2:8" ht="18" customHeight="1" x14ac:dyDescent="0.25">
      <c r="B316" s="245"/>
      <c r="C316" s="247"/>
      <c r="D316" s="248"/>
      <c r="E316" s="248"/>
      <c r="F316" s="249"/>
      <c r="G316" s="249"/>
      <c r="H316" s="250"/>
    </row>
    <row r="317" spans="2:8" ht="18" customHeight="1" x14ac:dyDescent="0.25">
      <c r="B317" s="245"/>
      <c r="C317" s="247"/>
      <c r="D317" s="248"/>
      <c r="E317" s="248"/>
      <c r="F317" s="249"/>
      <c r="G317" s="249"/>
      <c r="H317" s="250"/>
    </row>
    <row r="318" spans="2:8" ht="18" customHeight="1" x14ac:dyDescent="0.25">
      <c r="B318" s="245"/>
      <c r="C318" s="247"/>
      <c r="D318" s="248"/>
      <c r="E318" s="248"/>
      <c r="F318" s="249"/>
      <c r="G318" s="249"/>
      <c r="H318" s="250"/>
    </row>
    <row r="319" spans="2:8" ht="18" customHeight="1" x14ac:dyDescent="0.25">
      <c r="B319" s="245"/>
      <c r="C319" s="247"/>
      <c r="D319" s="248"/>
      <c r="E319" s="248"/>
      <c r="F319" s="249"/>
      <c r="G319" s="249"/>
      <c r="H319" s="250"/>
    </row>
    <row r="320" spans="2:8" ht="18" customHeight="1" x14ac:dyDescent="0.25">
      <c r="B320" s="245"/>
      <c r="C320" s="247"/>
      <c r="D320" s="248"/>
      <c r="E320" s="248"/>
      <c r="F320" s="249"/>
      <c r="G320" s="249"/>
      <c r="H320" s="250"/>
    </row>
    <row r="321" spans="2:8" ht="18" customHeight="1" x14ac:dyDescent="0.25">
      <c r="B321" s="245"/>
      <c r="C321" s="247"/>
      <c r="D321" s="248"/>
      <c r="E321" s="248"/>
      <c r="F321" s="249"/>
      <c r="G321" s="249"/>
      <c r="H321" s="250"/>
    </row>
    <row r="322" spans="2:8" ht="18" customHeight="1" x14ac:dyDescent="0.25">
      <c r="B322" s="245"/>
      <c r="C322" s="247"/>
      <c r="D322" s="248"/>
      <c r="E322" s="248"/>
      <c r="F322" s="249"/>
      <c r="G322" s="249"/>
      <c r="H322" s="250"/>
    </row>
    <row r="323" spans="2:8" ht="18" customHeight="1" x14ac:dyDescent="0.25">
      <c r="B323" s="245"/>
      <c r="C323" s="247"/>
      <c r="D323" s="248"/>
      <c r="E323" s="248"/>
      <c r="F323" s="249"/>
      <c r="G323" s="249"/>
      <c r="H323" s="250"/>
    </row>
    <row r="324" spans="2:8" ht="18" customHeight="1" x14ac:dyDescent="0.25">
      <c r="B324" s="245"/>
      <c r="C324" s="247"/>
      <c r="D324" s="248"/>
      <c r="E324" s="248"/>
      <c r="F324" s="249"/>
      <c r="G324" s="249"/>
      <c r="H324" s="250"/>
    </row>
    <row r="325" spans="2:8" ht="18" customHeight="1" x14ac:dyDescent="0.25">
      <c r="B325" s="245"/>
      <c r="C325" s="247"/>
      <c r="D325" s="248"/>
      <c r="E325" s="248"/>
      <c r="F325" s="249"/>
      <c r="G325" s="249"/>
      <c r="H325" s="250"/>
    </row>
    <row r="326" spans="2:8" ht="18" customHeight="1" x14ac:dyDescent="0.25">
      <c r="B326" s="245"/>
      <c r="C326" s="247"/>
      <c r="D326" s="248"/>
      <c r="E326" s="248"/>
      <c r="F326" s="249"/>
      <c r="G326" s="249"/>
      <c r="H326" s="250"/>
    </row>
    <row r="327" spans="2:8" ht="18" customHeight="1" x14ac:dyDescent="0.25">
      <c r="B327" s="245"/>
      <c r="C327" s="247"/>
      <c r="D327" s="248"/>
      <c r="E327" s="248"/>
      <c r="F327" s="249"/>
      <c r="G327" s="249"/>
      <c r="H327" s="250"/>
    </row>
    <row r="328" spans="2:8" ht="18" customHeight="1" x14ac:dyDescent="0.25">
      <c r="B328" s="245"/>
      <c r="C328" s="247"/>
      <c r="D328" s="248"/>
      <c r="E328" s="248"/>
      <c r="F328" s="249"/>
      <c r="G328" s="249"/>
      <c r="H328" s="250"/>
    </row>
    <row r="329" spans="2:8" ht="18" customHeight="1" x14ac:dyDescent="0.25">
      <c r="B329" s="245"/>
      <c r="C329" s="247"/>
      <c r="D329" s="248"/>
      <c r="E329" s="248"/>
      <c r="F329" s="249"/>
      <c r="G329" s="249"/>
      <c r="H329" s="250"/>
    </row>
    <row r="330" spans="2:8" ht="18" customHeight="1" x14ac:dyDescent="0.25">
      <c r="B330" s="245"/>
      <c r="C330" s="247"/>
      <c r="D330" s="248"/>
      <c r="E330" s="248"/>
      <c r="F330" s="249"/>
      <c r="G330" s="249"/>
      <c r="H330" s="250"/>
    </row>
    <row r="331" spans="2:8" ht="18" customHeight="1" x14ac:dyDescent="0.25">
      <c r="B331" s="245"/>
      <c r="C331" s="247"/>
      <c r="D331" s="248"/>
      <c r="E331" s="248"/>
      <c r="F331" s="249"/>
      <c r="G331" s="249"/>
      <c r="H331" s="250"/>
    </row>
    <row r="332" spans="2:8" ht="18" customHeight="1" x14ac:dyDescent="0.25">
      <c r="B332" s="245"/>
      <c r="C332" s="247"/>
      <c r="D332" s="248"/>
      <c r="E332" s="248"/>
      <c r="F332" s="249"/>
      <c r="G332" s="249"/>
      <c r="H332" s="250"/>
    </row>
    <row r="333" spans="2:8" ht="18" customHeight="1" x14ac:dyDescent="0.25">
      <c r="B333" s="245"/>
      <c r="C333" s="247"/>
      <c r="D333" s="248"/>
      <c r="E333" s="248"/>
      <c r="F333" s="249"/>
      <c r="G333" s="249"/>
      <c r="H333" s="250"/>
    </row>
    <row r="334" spans="2:8" ht="18" customHeight="1" x14ac:dyDescent="0.25">
      <c r="B334" s="245"/>
      <c r="C334" s="247"/>
      <c r="D334" s="248"/>
      <c r="E334" s="248"/>
      <c r="F334" s="249"/>
      <c r="G334" s="249"/>
      <c r="H334" s="250"/>
    </row>
    <row r="335" spans="2:8" ht="18" customHeight="1" x14ac:dyDescent="0.25">
      <c r="B335" s="245"/>
      <c r="C335" s="247"/>
      <c r="D335" s="248"/>
      <c r="E335" s="248"/>
      <c r="F335" s="249"/>
      <c r="G335" s="249"/>
      <c r="H335" s="250"/>
    </row>
    <row r="336" spans="2:8" ht="18" customHeight="1" x14ac:dyDescent="0.25">
      <c r="B336" s="245"/>
      <c r="C336" s="247"/>
      <c r="D336" s="248"/>
      <c r="E336" s="248"/>
      <c r="F336" s="249"/>
      <c r="G336" s="249"/>
      <c r="H336" s="250"/>
    </row>
    <row r="337" spans="2:8" ht="18" customHeight="1" x14ac:dyDescent="0.25">
      <c r="B337" s="67"/>
      <c r="C337" s="39"/>
      <c r="D337" s="68"/>
      <c r="E337" s="68"/>
      <c r="F337" s="58"/>
      <c r="G337" s="58"/>
      <c r="H337" s="211"/>
    </row>
    <row r="338" spans="2:8" ht="18" customHeight="1" x14ac:dyDescent="0.25">
      <c r="B338" s="67"/>
      <c r="C338" s="39"/>
      <c r="D338" s="68"/>
      <c r="E338" s="68"/>
      <c r="F338" s="58"/>
      <c r="G338" s="58"/>
      <c r="H338" s="211"/>
    </row>
    <row r="339" spans="2:8" ht="18" customHeight="1" x14ac:dyDescent="0.25">
      <c r="B339" s="245"/>
      <c r="C339" s="247"/>
      <c r="D339" s="248"/>
      <c r="E339" s="248"/>
      <c r="F339" s="249"/>
      <c r="G339" s="249"/>
      <c r="H339" s="250"/>
    </row>
    <row r="340" spans="2:8" ht="18" customHeight="1" x14ac:dyDescent="0.25">
      <c r="B340" s="245"/>
      <c r="C340" s="247"/>
      <c r="D340" s="248"/>
      <c r="E340" s="248"/>
      <c r="F340" s="249"/>
      <c r="G340" s="249"/>
      <c r="H340" s="250"/>
    </row>
    <row r="341" spans="2:8" ht="18" customHeight="1" x14ac:dyDescent="0.25">
      <c r="B341" s="245"/>
      <c r="C341" s="247"/>
      <c r="D341" s="248"/>
      <c r="E341" s="248"/>
      <c r="F341" s="249"/>
      <c r="G341" s="249"/>
      <c r="H341" s="250"/>
    </row>
    <row r="342" spans="2:8" ht="18" customHeight="1" x14ac:dyDescent="0.25">
      <c r="B342" s="245"/>
      <c r="C342" s="247"/>
      <c r="D342" s="248"/>
      <c r="E342" s="248"/>
      <c r="F342" s="249"/>
      <c r="G342" s="249"/>
      <c r="H342" s="250"/>
    </row>
    <row r="343" spans="2:8" ht="18" customHeight="1" x14ac:dyDescent="0.25">
      <c r="B343" s="245"/>
      <c r="C343" s="247"/>
      <c r="D343" s="248"/>
      <c r="E343" s="248"/>
      <c r="F343" s="249"/>
      <c r="G343" s="249"/>
      <c r="H343" s="250"/>
    </row>
    <row r="344" spans="2:8" ht="18" customHeight="1" x14ac:dyDescent="0.25">
      <c r="B344" s="245"/>
      <c r="C344" s="247"/>
      <c r="D344" s="248"/>
      <c r="E344" s="248"/>
      <c r="F344" s="249"/>
      <c r="G344" s="249"/>
      <c r="H344" s="250"/>
    </row>
    <row r="345" spans="2:8" ht="18" customHeight="1" x14ac:dyDescent="0.25">
      <c r="B345" s="245"/>
      <c r="C345" s="247"/>
      <c r="D345" s="248"/>
      <c r="E345" s="248"/>
      <c r="F345" s="249"/>
      <c r="G345" s="249"/>
      <c r="H345" s="250"/>
    </row>
    <row r="346" spans="2:8" ht="18" customHeight="1" x14ac:dyDescent="0.25">
      <c r="B346" s="67"/>
      <c r="C346" s="39"/>
      <c r="D346" s="68"/>
      <c r="E346" s="68"/>
      <c r="F346" s="58"/>
      <c r="G346" s="58"/>
      <c r="H346" s="211"/>
    </row>
    <row r="347" spans="2:8" ht="18" customHeight="1" x14ac:dyDescent="0.25">
      <c r="B347" s="245"/>
      <c r="C347" s="247"/>
      <c r="D347" s="248"/>
      <c r="E347" s="248"/>
      <c r="F347" s="249"/>
      <c r="G347" s="249"/>
      <c r="H347" s="250"/>
    </row>
    <row r="348" spans="2:8" ht="18" customHeight="1" x14ac:dyDescent="0.25">
      <c r="B348" s="245"/>
      <c r="C348" s="247"/>
      <c r="D348" s="248"/>
      <c r="E348" s="248"/>
      <c r="F348" s="249"/>
      <c r="G348" s="249"/>
      <c r="H348" s="250"/>
    </row>
    <row r="349" spans="2:8" ht="18" customHeight="1" x14ac:dyDescent="0.25">
      <c r="B349" s="245"/>
      <c r="C349" s="247"/>
      <c r="D349" s="248"/>
      <c r="E349" s="248"/>
      <c r="F349" s="249"/>
      <c r="G349" s="249"/>
      <c r="H349" s="250"/>
    </row>
    <row r="350" spans="2:8" ht="18" customHeight="1" x14ac:dyDescent="0.25">
      <c r="B350" s="67"/>
      <c r="C350" s="39"/>
      <c r="D350" s="68"/>
      <c r="E350" s="68"/>
      <c r="F350" s="58"/>
      <c r="G350" s="58"/>
      <c r="H350" s="211"/>
    </row>
    <row r="351" spans="2:8" ht="18" customHeight="1" x14ac:dyDescent="0.25">
      <c r="B351" s="245"/>
      <c r="C351" s="247"/>
      <c r="D351" s="248"/>
      <c r="E351" s="248"/>
      <c r="F351" s="249"/>
      <c r="G351" s="249"/>
      <c r="H351" s="250"/>
    </row>
    <row r="352" spans="2:8" ht="18" customHeight="1" x14ac:dyDescent="0.25">
      <c r="B352" s="67"/>
      <c r="C352" s="39"/>
      <c r="D352" s="68"/>
      <c r="E352" s="68"/>
      <c r="F352" s="58"/>
      <c r="G352" s="58"/>
      <c r="H352" s="211"/>
    </row>
    <row r="353" spans="2:8" ht="18" customHeight="1" x14ac:dyDescent="0.25">
      <c r="B353" s="67"/>
      <c r="C353" s="39"/>
      <c r="D353" s="68"/>
      <c r="E353" s="68"/>
      <c r="F353" s="58"/>
      <c r="G353" s="58"/>
      <c r="H353" s="211"/>
    </row>
    <row r="354" spans="2:8" ht="18" customHeight="1" x14ac:dyDescent="0.25">
      <c r="B354" s="67"/>
      <c r="C354" s="39"/>
      <c r="D354" s="68"/>
      <c r="E354" s="68"/>
      <c r="F354" s="58"/>
      <c r="G354" s="58"/>
      <c r="H354" s="211"/>
    </row>
    <row r="355" spans="2:8" ht="18" customHeight="1" x14ac:dyDescent="0.25">
      <c r="B355" s="67"/>
      <c r="C355" s="39"/>
      <c r="D355" s="68"/>
      <c r="E355" s="68"/>
      <c r="F355" s="58"/>
      <c r="G355" s="58"/>
      <c r="H355" s="211"/>
    </row>
    <row r="356" spans="2:8" ht="18" customHeight="1" x14ac:dyDescent="0.25">
      <c r="B356" s="67"/>
      <c r="C356" s="39"/>
      <c r="D356" s="68"/>
      <c r="E356" s="68"/>
      <c r="F356" s="58"/>
      <c r="G356" s="58"/>
      <c r="H356" s="211"/>
    </row>
    <row r="357" spans="2:8" ht="18" customHeight="1" x14ac:dyDescent="0.25">
      <c r="B357" s="67"/>
      <c r="C357" s="39"/>
      <c r="D357" s="68"/>
      <c r="E357" s="68"/>
      <c r="F357" s="58"/>
      <c r="G357" s="58"/>
      <c r="H357" s="211"/>
    </row>
    <row r="358" spans="2:8" ht="18" customHeight="1" x14ac:dyDescent="0.25">
      <c r="B358" s="67"/>
      <c r="C358" s="39"/>
      <c r="D358" s="68"/>
      <c r="E358" s="68"/>
      <c r="F358" s="58"/>
      <c r="G358" s="58"/>
      <c r="H358" s="211"/>
    </row>
    <row r="359" spans="2:8" ht="18" customHeight="1" x14ac:dyDescent="0.25">
      <c r="B359" s="245"/>
      <c r="C359" s="247"/>
      <c r="D359" s="248"/>
      <c r="E359" s="248"/>
      <c r="F359" s="249"/>
      <c r="G359" s="249"/>
      <c r="H359" s="250"/>
    </row>
    <row r="360" spans="2:8" ht="18" customHeight="1" x14ac:dyDescent="0.25">
      <c r="B360" s="245"/>
      <c r="C360" s="247"/>
      <c r="D360" s="248"/>
      <c r="E360" s="248"/>
      <c r="F360" s="249"/>
      <c r="G360" s="249"/>
      <c r="H360" s="250"/>
    </row>
    <row r="361" spans="2:8" ht="18" customHeight="1" x14ac:dyDescent="0.25">
      <c r="B361" s="245"/>
      <c r="C361" s="247"/>
      <c r="D361" s="248"/>
      <c r="E361" s="248"/>
      <c r="F361" s="249"/>
      <c r="G361" s="249"/>
      <c r="H361" s="250"/>
    </row>
    <row r="362" spans="2:8" ht="18" customHeight="1" x14ac:dyDescent="0.25">
      <c r="B362" s="245"/>
      <c r="C362" s="247"/>
      <c r="D362" s="248"/>
      <c r="E362" s="248"/>
      <c r="F362" s="249"/>
      <c r="G362" s="249"/>
      <c r="H362" s="250"/>
    </row>
    <row r="363" spans="2:8" ht="18" customHeight="1" x14ac:dyDescent="0.25">
      <c r="B363" s="245"/>
      <c r="C363" s="247"/>
      <c r="D363" s="248"/>
      <c r="E363" s="248"/>
      <c r="F363" s="249"/>
      <c r="G363" s="249"/>
      <c r="H363" s="250"/>
    </row>
    <row r="364" spans="2:8" ht="18" customHeight="1" x14ac:dyDescent="0.25">
      <c r="B364" s="67"/>
      <c r="C364" s="39"/>
      <c r="D364" s="68"/>
      <c r="E364" s="68"/>
      <c r="F364" s="58"/>
      <c r="G364" s="58"/>
      <c r="H364" s="211"/>
    </row>
    <row r="365" spans="2:8" ht="18" customHeight="1" x14ac:dyDescent="0.25">
      <c r="B365" s="67"/>
      <c r="C365" s="39"/>
      <c r="D365" s="68"/>
      <c r="E365" s="68"/>
      <c r="F365" s="58"/>
      <c r="G365" s="58"/>
      <c r="H365" s="211"/>
    </row>
    <row r="366" spans="2:8" ht="18" customHeight="1" x14ac:dyDescent="0.25">
      <c r="B366" s="67"/>
      <c r="C366" s="39"/>
      <c r="D366" s="68"/>
      <c r="E366" s="68"/>
      <c r="F366" s="58"/>
      <c r="G366" s="58"/>
      <c r="H366" s="211"/>
    </row>
    <row r="367" spans="2:8" ht="18" customHeight="1" x14ac:dyDescent="0.25">
      <c r="B367" s="67"/>
      <c r="C367" s="39"/>
      <c r="D367" s="68"/>
      <c r="E367" s="68"/>
      <c r="F367" s="58"/>
      <c r="G367" s="58"/>
      <c r="H367" s="211"/>
    </row>
    <row r="368" spans="2:8" ht="18" customHeight="1" x14ac:dyDescent="0.25">
      <c r="B368" s="67"/>
      <c r="C368" s="39"/>
      <c r="D368" s="68"/>
      <c r="E368" s="68"/>
      <c r="F368" s="58"/>
      <c r="G368" s="58"/>
      <c r="H368" s="211"/>
    </row>
    <row r="369" spans="2:8" ht="18" customHeight="1" x14ac:dyDescent="0.25">
      <c r="B369" s="67"/>
      <c r="C369" s="39"/>
      <c r="D369" s="68"/>
      <c r="E369" s="68"/>
      <c r="F369" s="58"/>
      <c r="G369" s="58"/>
      <c r="H369" s="211"/>
    </row>
    <row r="370" spans="2:8" ht="18" customHeight="1" x14ac:dyDescent="0.25">
      <c r="B370" s="67"/>
      <c r="C370" s="39"/>
      <c r="D370" s="68"/>
      <c r="E370" s="68"/>
      <c r="F370" s="58"/>
      <c r="G370" s="58"/>
      <c r="H370" s="211"/>
    </row>
    <row r="371" spans="2:8" ht="18" customHeight="1" x14ac:dyDescent="0.25">
      <c r="B371" s="67"/>
      <c r="C371" s="39"/>
      <c r="D371" s="68"/>
      <c r="E371" s="68"/>
      <c r="F371" s="58"/>
      <c r="G371" s="58"/>
      <c r="H371" s="211"/>
    </row>
    <row r="372" spans="2:8" ht="18" customHeight="1" x14ac:dyDescent="0.25">
      <c r="B372" s="245"/>
      <c r="C372" s="247"/>
      <c r="D372" s="248"/>
      <c r="E372" s="248"/>
      <c r="F372" s="249"/>
      <c r="G372" s="249"/>
      <c r="H372" s="250"/>
    </row>
    <row r="373" spans="2:8" ht="18" customHeight="1" x14ac:dyDescent="0.25">
      <c r="B373" s="245"/>
      <c r="C373" s="247"/>
      <c r="D373" s="248"/>
      <c r="E373" s="248"/>
      <c r="F373" s="249"/>
      <c r="G373" s="249"/>
      <c r="H373" s="250"/>
    </row>
    <row r="374" spans="2:8" ht="18" customHeight="1" x14ac:dyDescent="0.25">
      <c r="B374" s="245"/>
      <c r="C374" s="247"/>
      <c r="D374" s="248"/>
      <c r="E374" s="248"/>
      <c r="F374" s="249"/>
      <c r="G374" s="249"/>
      <c r="H374" s="250"/>
    </row>
    <row r="375" spans="2:8" ht="18" customHeight="1" x14ac:dyDescent="0.25">
      <c r="B375" s="245"/>
      <c r="C375" s="247"/>
      <c r="D375" s="248"/>
      <c r="E375" s="248"/>
      <c r="F375" s="249"/>
      <c r="G375" s="249"/>
      <c r="H375" s="250"/>
    </row>
    <row r="376" spans="2:8" ht="18" customHeight="1" x14ac:dyDescent="0.25">
      <c r="B376" s="245"/>
      <c r="C376" s="247"/>
      <c r="D376" s="248"/>
      <c r="E376" s="248"/>
      <c r="F376" s="249"/>
      <c r="G376" s="249"/>
      <c r="H376" s="250"/>
    </row>
    <row r="377" spans="2:8" ht="18" customHeight="1" x14ac:dyDescent="0.25">
      <c r="B377" s="67"/>
      <c r="C377" s="39"/>
      <c r="D377" s="68"/>
      <c r="E377" s="68"/>
      <c r="F377" s="58"/>
      <c r="G377" s="58"/>
      <c r="H377" s="211"/>
    </row>
    <row r="378" spans="2:8" ht="18" customHeight="1" x14ac:dyDescent="0.25">
      <c r="B378" s="67"/>
      <c r="C378" s="39"/>
      <c r="D378" s="68"/>
      <c r="E378" s="68"/>
      <c r="F378" s="58"/>
      <c r="G378" s="58"/>
      <c r="H378" s="211"/>
    </row>
    <row r="379" spans="2:8" ht="18" customHeight="1" x14ac:dyDescent="0.25">
      <c r="B379" s="245"/>
      <c r="C379" s="247"/>
      <c r="D379" s="248"/>
      <c r="E379" s="248"/>
      <c r="F379" s="249"/>
      <c r="G379" s="249"/>
      <c r="H379" s="250"/>
    </row>
    <row r="380" spans="2:8" ht="18" customHeight="1" x14ac:dyDescent="0.25">
      <c r="B380" s="245"/>
      <c r="C380" s="247"/>
      <c r="D380" s="248"/>
      <c r="E380" s="248"/>
      <c r="F380" s="249"/>
      <c r="G380" s="249"/>
      <c r="H380" s="250"/>
    </row>
    <row r="381" spans="2:8" ht="18" customHeight="1" x14ac:dyDescent="0.25">
      <c r="B381" s="245"/>
      <c r="C381" s="247"/>
      <c r="D381" s="248"/>
      <c r="E381" s="248"/>
      <c r="F381" s="249"/>
      <c r="G381" s="249"/>
      <c r="H381" s="250"/>
    </row>
    <row r="382" spans="2:8" ht="18" customHeight="1" x14ac:dyDescent="0.25">
      <c r="B382" s="67"/>
      <c r="C382" s="39"/>
      <c r="D382" s="68"/>
      <c r="E382" s="68"/>
      <c r="F382" s="58"/>
      <c r="G382" s="58"/>
      <c r="H382" s="211"/>
    </row>
    <row r="383" spans="2:8" ht="18" customHeight="1" x14ac:dyDescent="0.25">
      <c r="B383" s="67"/>
      <c r="C383" s="39"/>
      <c r="D383" s="68"/>
      <c r="E383" s="68"/>
      <c r="F383" s="58"/>
      <c r="G383" s="58"/>
      <c r="H383" s="211"/>
    </row>
    <row r="384" spans="2:8" ht="18" customHeight="1" x14ac:dyDescent="0.25">
      <c r="B384" s="67"/>
      <c r="C384" s="39"/>
      <c r="D384" s="68"/>
      <c r="E384" s="68"/>
      <c r="F384" s="58"/>
      <c r="G384" s="58"/>
      <c r="H384" s="211"/>
    </row>
    <row r="385" spans="2:8" ht="18" customHeight="1" x14ac:dyDescent="0.25">
      <c r="B385" s="212"/>
      <c r="C385" s="213"/>
      <c r="D385" s="108"/>
      <c r="E385" s="108"/>
      <c r="F385" s="214"/>
      <c r="G385" s="214"/>
      <c r="H385" s="215"/>
    </row>
    <row r="386" spans="2:8" ht="18" customHeight="1" x14ac:dyDescent="0.25">
      <c r="B386" s="67"/>
      <c r="C386" s="39"/>
      <c r="D386" s="68"/>
      <c r="E386" s="68"/>
      <c r="F386" s="58"/>
      <c r="G386" s="58"/>
      <c r="H386" s="211"/>
    </row>
    <row r="387" spans="2:8" ht="18" customHeight="1" x14ac:dyDescent="0.25">
      <c r="B387" s="245"/>
      <c r="C387" s="247"/>
      <c r="D387" s="248"/>
      <c r="E387" s="248"/>
      <c r="F387" s="249"/>
      <c r="G387" s="249"/>
      <c r="H387" s="250"/>
    </row>
    <row r="388" spans="2:8" ht="18" customHeight="1" x14ac:dyDescent="0.25">
      <c r="B388" s="67"/>
      <c r="C388" s="39"/>
      <c r="D388" s="68"/>
      <c r="E388" s="68"/>
      <c r="F388" s="58"/>
      <c r="G388" s="58"/>
      <c r="H388" s="211"/>
    </row>
    <row r="389" spans="2:8" ht="18" customHeight="1" x14ac:dyDescent="0.25">
      <c r="B389" s="245"/>
      <c r="C389" s="247"/>
      <c r="D389" s="248"/>
      <c r="E389" s="248"/>
      <c r="F389" s="249"/>
      <c r="G389" s="249"/>
      <c r="H389" s="250"/>
    </row>
    <row r="390" spans="2:8" ht="18" customHeight="1" x14ac:dyDescent="0.25">
      <c r="B390" s="245"/>
      <c r="C390" s="247"/>
      <c r="D390" s="248"/>
      <c r="E390" s="248"/>
      <c r="F390" s="249"/>
      <c r="G390" s="249"/>
      <c r="H390" s="250"/>
    </row>
    <row r="391" spans="2:8" ht="18" customHeight="1" x14ac:dyDescent="0.25">
      <c r="B391" s="245"/>
      <c r="C391" s="247"/>
      <c r="D391" s="248"/>
      <c r="E391" s="248"/>
      <c r="F391" s="249"/>
      <c r="G391" s="249"/>
      <c r="H391" s="250"/>
    </row>
    <row r="392" spans="2:8" ht="18" customHeight="1" x14ac:dyDescent="0.25">
      <c r="B392" s="245"/>
      <c r="C392" s="247"/>
      <c r="D392" s="248"/>
      <c r="E392" s="248"/>
      <c r="F392" s="249"/>
      <c r="G392" s="249"/>
      <c r="H392" s="250"/>
    </row>
    <row r="393" spans="2:8" ht="18" customHeight="1" x14ac:dyDescent="0.25">
      <c r="B393" s="245"/>
      <c r="C393" s="247"/>
      <c r="D393" s="248"/>
      <c r="E393" s="248"/>
      <c r="F393" s="249"/>
      <c r="G393" s="249"/>
      <c r="H393" s="250"/>
    </row>
    <row r="394" spans="2:8" ht="18" customHeight="1" x14ac:dyDescent="0.25">
      <c r="B394" s="67"/>
      <c r="C394" s="39"/>
      <c r="D394" s="68"/>
      <c r="E394" s="68"/>
      <c r="F394" s="58"/>
      <c r="G394" s="58"/>
      <c r="H394" s="211"/>
    </row>
    <row r="395" spans="2:8" ht="18" customHeight="1" x14ac:dyDescent="0.25">
      <c r="B395" s="67"/>
      <c r="C395" s="39"/>
      <c r="D395" s="68"/>
      <c r="E395" s="68"/>
      <c r="F395" s="58"/>
      <c r="G395" s="58"/>
      <c r="H395" s="211"/>
    </row>
    <row r="396" spans="2:8" ht="18" customHeight="1" x14ac:dyDescent="0.25">
      <c r="B396" s="67"/>
      <c r="C396" s="39"/>
      <c r="D396" s="68"/>
      <c r="E396" s="68"/>
      <c r="F396" s="58"/>
      <c r="G396" s="58"/>
      <c r="H396" s="211"/>
    </row>
    <row r="397" spans="2:8" ht="18" customHeight="1" x14ac:dyDescent="0.25">
      <c r="B397" s="245"/>
      <c r="C397" s="247"/>
      <c r="D397" s="248"/>
      <c r="E397" s="248"/>
      <c r="F397" s="249"/>
      <c r="G397" s="249"/>
      <c r="H397" s="250"/>
    </row>
    <row r="398" spans="2:8" ht="18" customHeight="1" x14ac:dyDescent="0.25">
      <c r="B398" s="245"/>
      <c r="C398" s="247"/>
      <c r="D398" s="248"/>
      <c r="E398" s="248"/>
      <c r="F398" s="249"/>
      <c r="G398" s="249"/>
      <c r="H398" s="250"/>
    </row>
    <row r="399" spans="2:8" ht="18" customHeight="1" x14ac:dyDescent="0.25">
      <c r="B399" s="245"/>
      <c r="C399" s="247"/>
      <c r="D399" s="248"/>
      <c r="E399" s="248"/>
      <c r="F399" s="249"/>
      <c r="G399" s="249"/>
      <c r="H399" s="250"/>
    </row>
    <row r="400" spans="2:8" ht="18" customHeight="1" x14ac:dyDescent="0.25">
      <c r="B400" s="245"/>
      <c r="C400" s="247"/>
      <c r="D400" s="248"/>
      <c r="E400" s="248"/>
      <c r="F400" s="249"/>
      <c r="G400" s="249"/>
      <c r="H400" s="250"/>
    </row>
    <row r="401" spans="2:8" ht="18" customHeight="1" x14ac:dyDescent="0.25">
      <c r="B401" s="245"/>
      <c r="C401" s="247"/>
      <c r="D401" s="248"/>
      <c r="E401" s="248"/>
      <c r="F401" s="249"/>
      <c r="G401" s="249"/>
      <c r="H401" s="250"/>
    </row>
    <row r="402" spans="2:8" ht="18" customHeight="1" x14ac:dyDescent="0.25">
      <c r="B402" s="245"/>
      <c r="C402" s="247"/>
      <c r="D402" s="248"/>
      <c r="E402" s="248"/>
      <c r="F402" s="249"/>
      <c r="G402" s="249"/>
      <c r="H402" s="250"/>
    </row>
    <row r="403" spans="2:8" ht="18" customHeight="1" x14ac:dyDescent="0.25">
      <c r="B403" s="245"/>
      <c r="C403" s="247"/>
      <c r="D403" s="248"/>
      <c r="E403" s="248"/>
      <c r="F403" s="249"/>
      <c r="G403" s="249"/>
      <c r="H403" s="250"/>
    </row>
    <row r="404" spans="2:8" ht="18" customHeight="1" x14ac:dyDescent="0.25">
      <c r="B404" s="245"/>
      <c r="C404" s="247"/>
      <c r="D404" s="248"/>
      <c r="E404" s="248"/>
      <c r="F404" s="249"/>
      <c r="G404" s="249"/>
      <c r="H404" s="250"/>
    </row>
    <row r="405" spans="2:8" ht="18" customHeight="1" x14ac:dyDescent="0.25">
      <c r="B405" s="245"/>
      <c r="C405" s="247"/>
      <c r="D405" s="248"/>
      <c r="E405" s="248"/>
      <c r="F405" s="249"/>
      <c r="G405" s="249"/>
      <c r="H405" s="250"/>
    </row>
    <row r="406" spans="2:8" ht="18" customHeight="1" x14ac:dyDescent="0.25">
      <c r="B406" s="245"/>
      <c r="C406" s="247"/>
      <c r="D406" s="248"/>
      <c r="E406" s="248"/>
      <c r="F406" s="249"/>
      <c r="G406" s="249"/>
      <c r="H406" s="250"/>
    </row>
    <row r="407" spans="2:8" ht="18" customHeight="1" x14ac:dyDescent="0.25">
      <c r="B407" s="67"/>
      <c r="C407" s="39"/>
      <c r="D407" s="68"/>
      <c r="E407" s="68"/>
      <c r="F407" s="58"/>
      <c r="G407" s="58"/>
      <c r="H407" s="211"/>
    </row>
    <row r="408" spans="2:8" ht="18" customHeight="1" x14ac:dyDescent="0.25">
      <c r="B408" s="67"/>
      <c r="C408" s="39"/>
      <c r="D408" s="68"/>
      <c r="E408" s="68"/>
      <c r="F408" s="58"/>
      <c r="G408" s="58"/>
      <c r="H408" s="211"/>
    </row>
    <row r="409" spans="2:8" ht="18" customHeight="1" x14ac:dyDescent="0.25">
      <c r="B409" s="245"/>
      <c r="C409" s="247"/>
      <c r="D409" s="248"/>
      <c r="E409" s="248"/>
      <c r="F409" s="249"/>
      <c r="G409" s="249"/>
      <c r="H409" s="250"/>
    </row>
    <row r="410" spans="2:8" ht="18" customHeight="1" x14ac:dyDescent="0.25">
      <c r="B410" s="245"/>
      <c r="C410" s="246"/>
      <c r="D410" s="248"/>
      <c r="E410" s="248"/>
      <c r="F410" s="249"/>
      <c r="G410" s="249"/>
      <c r="H410" s="250"/>
    </row>
    <row r="411" spans="2:8" ht="18" customHeight="1" x14ac:dyDescent="0.25">
      <c r="B411" s="245"/>
      <c r="C411" s="247"/>
      <c r="D411" s="248"/>
      <c r="E411" s="248"/>
      <c r="F411" s="249"/>
      <c r="G411" s="249"/>
      <c r="H411" s="250"/>
    </row>
    <row r="412" spans="2:8" ht="18" customHeight="1" x14ac:dyDescent="0.25">
      <c r="B412" s="67"/>
      <c r="C412" s="39"/>
      <c r="D412" s="68"/>
      <c r="E412" s="68"/>
      <c r="F412" s="58"/>
      <c r="G412" s="58"/>
      <c r="H412" s="211"/>
    </row>
    <row r="413" spans="2:8" ht="18" customHeight="1" x14ac:dyDescent="0.25">
      <c r="B413" s="67"/>
      <c r="C413" s="39"/>
      <c r="D413" s="68"/>
      <c r="E413" s="68"/>
      <c r="F413" s="58"/>
      <c r="G413" s="58"/>
      <c r="H413" s="211"/>
    </row>
    <row r="414" spans="2:8" ht="18" customHeight="1" x14ac:dyDescent="0.25">
      <c r="B414" s="245"/>
      <c r="C414" s="247"/>
      <c r="D414" s="248"/>
      <c r="E414" s="248"/>
      <c r="F414" s="249"/>
      <c r="G414" s="249"/>
      <c r="H414" s="250"/>
    </row>
    <row r="415" spans="2:8" ht="18" customHeight="1" x14ac:dyDescent="0.25">
      <c r="B415" s="67"/>
      <c r="C415" s="39"/>
      <c r="D415" s="68"/>
      <c r="E415" s="68"/>
      <c r="F415" s="58"/>
      <c r="G415" s="58"/>
      <c r="H415" s="211"/>
    </row>
    <row r="416" spans="2:8" ht="18" customHeight="1" x14ac:dyDescent="0.25">
      <c r="B416" s="245"/>
      <c r="C416" s="247"/>
      <c r="D416" s="248"/>
      <c r="E416" s="248"/>
      <c r="F416" s="249"/>
      <c r="G416" s="249"/>
      <c r="H416" s="250"/>
    </row>
    <row r="417" spans="2:8" ht="18" customHeight="1" x14ac:dyDescent="0.25">
      <c r="B417" s="67"/>
      <c r="C417" s="39"/>
      <c r="D417" s="68"/>
      <c r="E417" s="68"/>
      <c r="F417" s="58"/>
      <c r="G417" s="58"/>
      <c r="H417" s="211"/>
    </row>
    <row r="418" spans="2:8" ht="18" customHeight="1" x14ac:dyDescent="0.25">
      <c r="B418" s="67"/>
      <c r="C418" s="39"/>
      <c r="D418" s="68"/>
      <c r="E418" s="68"/>
      <c r="F418" s="58"/>
      <c r="G418" s="58"/>
      <c r="H418" s="211"/>
    </row>
    <row r="419" spans="2:8" ht="18" customHeight="1" x14ac:dyDescent="0.25">
      <c r="B419" s="67"/>
      <c r="C419" s="39"/>
      <c r="D419" s="68"/>
      <c r="E419" s="68"/>
      <c r="F419" s="58"/>
      <c r="G419" s="58"/>
      <c r="H419" s="211"/>
    </row>
    <row r="420" spans="2:8" ht="18" customHeight="1" x14ac:dyDescent="0.25">
      <c r="B420" s="67"/>
      <c r="C420" s="39"/>
      <c r="D420" s="68"/>
      <c r="E420" s="68"/>
      <c r="F420" s="58"/>
      <c r="G420" s="58"/>
      <c r="H420" s="211"/>
    </row>
    <row r="421" spans="2:8" ht="18" customHeight="1" x14ac:dyDescent="0.25">
      <c r="B421" s="67"/>
      <c r="C421" s="39"/>
      <c r="D421" s="68"/>
      <c r="E421" s="68"/>
      <c r="F421" s="58"/>
      <c r="G421" s="58"/>
      <c r="H421" s="211"/>
    </row>
    <row r="422" spans="2:8" ht="18" customHeight="1" x14ac:dyDescent="0.25">
      <c r="B422" s="67"/>
      <c r="C422" s="39"/>
      <c r="D422" s="68"/>
      <c r="E422" s="68"/>
      <c r="F422" s="58"/>
      <c r="G422" s="58"/>
      <c r="H422" s="211"/>
    </row>
    <row r="423" spans="2:8" ht="18" customHeight="1" x14ac:dyDescent="0.25">
      <c r="B423" s="245"/>
      <c r="C423" s="247"/>
      <c r="D423" s="248"/>
      <c r="E423" s="248"/>
      <c r="F423" s="249"/>
      <c r="G423" s="249"/>
      <c r="H423" s="250"/>
    </row>
    <row r="424" spans="2:8" ht="18" customHeight="1" x14ac:dyDescent="0.25">
      <c r="B424" s="245"/>
      <c r="C424" s="247"/>
      <c r="D424" s="248"/>
      <c r="E424" s="248"/>
      <c r="F424" s="249"/>
      <c r="G424" s="249"/>
      <c r="H424" s="250"/>
    </row>
    <row r="425" spans="2:8" ht="18" customHeight="1" x14ac:dyDescent="0.25">
      <c r="B425" s="245"/>
      <c r="C425" s="247"/>
      <c r="D425" s="248"/>
      <c r="E425" s="248"/>
      <c r="F425" s="249"/>
      <c r="G425" s="249"/>
      <c r="H425" s="250"/>
    </row>
    <row r="426" spans="2:8" ht="18" customHeight="1" x14ac:dyDescent="0.25">
      <c r="B426" s="245"/>
      <c r="C426" s="247"/>
      <c r="D426" s="248"/>
      <c r="E426" s="248"/>
      <c r="F426" s="249"/>
      <c r="G426" s="249"/>
      <c r="H426" s="250"/>
    </row>
    <row r="427" spans="2:8" ht="18" customHeight="1" x14ac:dyDescent="0.25">
      <c r="B427" s="245"/>
      <c r="C427" s="247"/>
      <c r="D427" s="248"/>
      <c r="E427" s="248"/>
      <c r="F427" s="249"/>
      <c r="G427" s="249"/>
      <c r="H427" s="250"/>
    </row>
    <row r="428" spans="2:8" ht="18" customHeight="1" x14ac:dyDescent="0.25">
      <c r="B428" s="245"/>
      <c r="C428" s="247"/>
      <c r="D428" s="248"/>
      <c r="E428" s="248"/>
      <c r="F428" s="249"/>
      <c r="G428" s="249"/>
      <c r="H428" s="250"/>
    </row>
    <row r="429" spans="2:8" ht="18" customHeight="1" x14ac:dyDescent="0.25">
      <c r="B429" s="245"/>
      <c r="C429" s="247"/>
      <c r="D429" s="248"/>
      <c r="E429" s="248"/>
      <c r="F429" s="249"/>
      <c r="G429" s="249"/>
      <c r="H429" s="250"/>
    </row>
    <row r="430" spans="2:8" ht="18" customHeight="1" x14ac:dyDescent="0.25">
      <c r="B430" s="245"/>
      <c r="C430" s="247"/>
      <c r="D430" s="248"/>
      <c r="E430" s="248"/>
      <c r="F430" s="249"/>
      <c r="G430" s="249"/>
      <c r="H430" s="250"/>
    </row>
    <row r="431" spans="2:8" ht="18" customHeight="1" x14ac:dyDescent="0.25">
      <c r="B431" s="245"/>
      <c r="C431" s="247"/>
      <c r="D431" s="248"/>
      <c r="E431" s="248"/>
      <c r="F431" s="249"/>
      <c r="G431" s="249"/>
      <c r="H431" s="250"/>
    </row>
    <row r="432" spans="2:8" ht="18" customHeight="1" x14ac:dyDescent="0.25">
      <c r="B432" s="245"/>
      <c r="C432" s="247"/>
      <c r="D432" s="248"/>
      <c r="E432" s="248"/>
      <c r="F432" s="249"/>
      <c r="G432" s="249"/>
      <c r="H432" s="250"/>
    </row>
    <row r="433" spans="2:8" ht="18" customHeight="1" x14ac:dyDescent="0.25">
      <c r="B433" s="245"/>
      <c r="C433" s="247"/>
      <c r="D433" s="248"/>
      <c r="E433" s="248"/>
      <c r="F433" s="249"/>
      <c r="G433" s="249"/>
      <c r="H433" s="250"/>
    </row>
    <row r="434" spans="2:8" ht="18" customHeight="1" x14ac:dyDescent="0.25">
      <c r="B434" s="67"/>
      <c r="C434" s="39"/>
      <c r="D434" s="68"/>
      <c r="E434" s="68"/>
      <c r="F434" s="58"/>
      <c r="G434" s="58"/>
      <c r="H434" s="211"/>
    </row>
    <row r="435" spans="2:8" ht="18" customHeight="1" x14ac:dyDescent="0.25">
      <c r="B435" s="67"/>
      <c r="C435" s="39"/>
      <c r="D435" s="68"/>
      <c r="E435" s="68"/>
      <c r="F435" s="58"/>
      <c r="G435" s="58"/>
      <c r="H435" s="211"/>
    </row>
    <row r="436" spans="2:8" ht="18" customHeight="1" x14ac:dyDescent="0.25">
      <c r="B436" s="67"/>
      <c r="C436" s="39"/>
      <c r="D436" s="68"/>
      <c r="E436" s="68"/>
      <c r="F436" s="58"/>
      <c r="G436" s="58"/>
      <c r="H436" s="211"/>
    </row>
    <row r="437" spans="2:8" ht="18" customHeight="1" x14ac:dyDescent="0.25">
      <c r="B437" s="245"/>
      <c r="C437" s="247"/>
      <c r="D437" s="248"/>
      <c r="E437" s="248"/>
      <c r="F437" s="249"/>
      <c r="G437" s="249"/>
      <c r="H437" s="250"/>
    </row>
    <row r="438" spans="2:8" ht="18" customHeight="1" x14ac:dyDescent="0.25">
      <c r="B438" s="245"/>
      <c r="C438" s="247"/>
      <c r="D438" s="248"/>
      <c r="E438" s="248"/>
      <c r="F438" s="249"/>
      <c r="G438" s="249"/>
      <c r="H438" s="250"/>
    </row>
    <row r="439" spans="2:8" ht="18" customHeight="1" x14ac:dyDescent="0.25">
      <c r="B439" s="67"/>
      <c r="C439" s="39"/>
      <c r="D439" s="68"/>
      <c r="E439" s="68"/>
      <c r="F439" s="58"/>
      <c r="G439" s="58"/>
      <c r="H439" s="211"/>
    </row>
    <row r="440" spans="2:8" ht="18" customHeight="1" x14ac:dyDescent="0.25">
      <c r="B440" s="67"/>
      <c r="C440" s="39"/>
      <c r="D440" s="68"/>
      <c r="E440" s="68"/>
      <c r="F440" s="58"/>
      <c r="G440" s="58"/>
      <c r="H440" s="211"/>
    </row>
    <row r="441" spans="2:8" ht="18" customHeight="1" x14ac:dyDescent="0.25">
      <c r="B441" s="67"/>
      <c r="C441" s="39"/>
      <c r="D441" s="68"/>
      <c r="E441" s="68"/>
      <c r="F441" s="58"/>
      <c r="G441" s="58"/>
      <c r="H441" s="211"/>
    </row>
    <row r="442" spans="2:8" ht="18" customHeight="1" x14ac:dyDescent="0.25">
      <c r="B442" s="67"/>
      <c r="C442" s="39"/>
      <c r="D442" s="68"/>
      <c r="E442" s="68"/>
      <c r="F442" s="58"/>
      <c r="G442" s="58"/>
      <c r="H442" s="211"/>
    </row>
    <row r="443" spans="2:8" ht="18" customHeight="1" x14ac:dyDescent="0.25">
      <c r="B443" s="245"/>
      <c r="C443" s="247"/>
      <c r="D443" s="248"/>
      <c r="E443" s="248"/>
      <c r="F443" s="249"/>
      <c r="G443" s="249"/>
      <c r="H443" s="250"/>
    </row>
    <row r="444" spans="2:8" ht="18" customHeight="1" x14ac:dyDescent="0.25">
      <c r="B444" s="245"/>
      <c r="C444" s="247"/>
      <c r="D444" s="248"/>
      <c r="E444" s="248"/>
      <c r="F444" s="249"/>
      <c r="G444" s="249"/>
      <c r="H444" s="250"/>
    </row>
    <row r="445" spans="2:8" ht="18" customHeight="1" x14ac:dyDescent="0.25">
      <c r="B445" s="245"/>
      <c r="C445" s="247"/>
      <c r="D445" s="248"/>
      <c r="E445" s="248"/>
      <c r="F445" s="249"/>
      <c r="G445" s="249"/>
      <c r="H445" s="250"/>
    </row>
    <row r="446" spans="2:8" ht="18" customHeight="1" x14ac:dyDescent="0.25">
      <c r="B446" s="67"/>
      <c r="C446" s="39"/>
      <c r="D446" s="68"/>
      <c r="E446" s="68"/>
      <c r="F446" s="58"/>
      <c r="G446" s="58"/>
      <c r="H446" s="211"/>
    </row>
    <row r="447" spans="2:8" ht="18" customHeight="1" x14ac:dyDescent="0.25">
      <c r="B447" s="67"/>
      <c r="C447" s="39"/>
      <c r="D447" s="68"/>
      <c r="E447" s="68"/>
      <c r="F447" s="58"/>
      <c r="G447" s="58"/>
      <c r="H447" s="211"/>
    </row>
    <row r="448" spans="2:8" ht="18" customHeight="1" x14ac:dyDescent="0.25">
      <c r="B448" s="67"/>
      <c r="C448" s="39"/>
      <c r="D448" s="68"/>
      <c r="E448" s="68"/>
      <c r="F448" s="58"/>
      <c r="G448" s="58"/>
      <c r="H448" s="211"/>
    </row>
    <row r="449" spans="2:8" ht="18" customHeight="1" x14ac:dyDescent="0.25">
      <c r="B449" s="245"/>
      <c r="C449" s="247"/>
      <c r="D449" s="248"/>
      <c r="E449" s="248"/>
      <c r="F449" s="249"/>
      <c r="G449" s="249"/>
      <c r="H449" s="250"/>
    </row>
    <row r="450" spans="2:8" ht="18" customHeight="1" x14ac:dyDescent="0.25">
      <c r="B450" s="67"/>
      <c r="C450" s="39"/>
      <c r="D450" s="68"/>
      <c r="E450" s="68"/>
      <c r="F450" s="58"/>
      <c r="G450" s="58"/>
      <c r="H450" s="211"/>
    </row>
    <row r="451" spans="2:8" ht="18" customHeight="1" x14ac:dyDescent="0.25">
      <c r="B451" s="245"/>
      <c r="C451" s="247"/>
      <c r="D451" s="248"/>
      <c r="E451" s="248"/>
      <c r="F451" s="249"/>
      <c r="G451" s="249"/>
      <c r="H451" s="250"/>
    </row>
    <row r="452" spans="2:8" ht="18" customHeight="1" x14ac:dyDescent="0.25">
      <c r="B452" s="67"/>
      <c r="C452" s="39"/>
      <c r="D452" s="68"/>
      <c r="E452" s="68"/>
      <c r="F452" s="58"/>
      <c r="G452" s="58"/>
      <c r="H452" s="211"/>
    </row>
    <row r="453" spans="2:8" ht="18" customHeight="1" x14ac:dyDescent="0.25">
      <c r="B453" s="67"/>
      <c r="C453" s="39"/>
      <c r="D453" s="68"/>
      <c r="E453" s="68"/>
      <c r="F453" s="58"/>
      <c r="G453" s="58"/>
      <c r="H453" s="211"/>
    </row>
    <row r="454" spans="2:8" ht="18" customHeight="1" x14ac:dyDescent="0.25">
      <c r="B454" s="245"/>
      <c r="C454" s="247"/>
      <c r="D454" s="248"/>
      <c r="E454" s="248"/>
      <c r="F454" s="249"/>
      <c r="G454" s="249"/>
      <c r="H454" s="250"/>
    </row>
    <row r="455" spans="2:8" ht="18" customHeight="1" x14ac:dyDescent="0.25">
      <c r="B455" s="67"/>
      <c r="C455" s="39"/>
      <c r="D455" s="68"/>
      <c r="E455" s="68"/>
      <c r="F455" s="58"/>
      <c r="G455" s="58"/>
      <c r="H455" s="211"/>
    </row>
    <row r="456" spans="2:8" ht="18" customHeight="1" x14ac:dyDescent="0.25">
      <c r="B456" s="67"/>
      <c r="C456" s="39"/>
      <c r="D456" s="68"/>
      <c r="E456" s="68"/>
      <c r="F456" s="58"/>
      <c r="G456" s="58"/>
      <c r="H456" s="211"/>
    </row>
    <row r="457" spans="2:8" ht="18" customHeight="1" x14ac:dyDescent="0.25">
      <c r="B457" s="245"/>
      <c r="C457" s="247"/>
      <c r="D457" s="248"/>
      <c r="E457" s="248"/>
      <c r="F457" s="249"/>
      <c r="G457" s="249"/>
      <c r="H457" s="250"/>
    </row>
    <row r="458" spans="2:8" ht="18" customHeight="1" x14ac:dyDescent="0.25">
      <c r="B458" s="67"/>
      <c r="C458" s="39"/>
      <c r="D458" s="68"/>
      <c r="E458" s="68"/>
      <c r="F458" s="58"/>
      <c r="G458" s="58"/>
      <c r="H458" s="211"/>
    </row>
    <row r="459" spans="2:8" ht="18" customHeight="1" x14ac:dyDescent="0.25">
      <c r="B459" s="67"/>
      <c r="C459" s="39"/>
      <c r="D459" s="68"/>
      <c r="E459" s="68"/>
      <c r="F459" s="58"/>
      <c r="G459" s="58"/>
      <c r="H459" s="211"/>
    </row>
    <row r="460" spans="2:8" ht="18" customHeight="1" x14ac:dyDescent="0.25">
      <c r="B460" s="67"/>
      <c r="C460" s="39"/>
      <c r="D460" s="68"/>
      <c r="E460" s="68"/>
      <c r="F460" s="58"/>
      <c r="G460" s="58"/>
      <c r="H460" s="211"/>
    </row>
    <row r="461" spans="2:8" ht="18" customHeight="1" x14ac:dyDescent="0.25">
      <c r="B461" s="245"/>
      <c r="C461" s="247"/>
      <c r="D461" s="248"/>
      <c r="E461" s="248"/>
      <c r="F461" s="249"/>
      <c r="G461" s="249"/>
      <c r="H461" s="250"/>
    </row>
    <row r="462" spans="2:8" ht="18" customHeight="1" x14ac:dyDescent="0.25">
      <c r="B462" s="67"/>
      <c r="C462" s="39"/>
      <c r="D462" s="68"/>
      <c r="E462" s="68"/>
      <c r="F462" s="58"/>
      <c r="G462" s="58"/>
      <c r="H462" s="211"/>
    </row>
    <row r="463" spans="2:8" ht="18" customHeight="1" x14ac:dyDescent="0.25">
      <c r="B463" s="245"/>
      <c r="C463" s="247"/>
      <c r="D463" s="248"/>
      <c r="E463" s="248"/>
      <c r="F463" s="249"/>
      <c r="G463" s="249"/>
      <c r="H463" s="250"/>
    </row>
    <row r="464" spans="2:8" ht="18" customHeight="1" x14ac:dyDescent="0.25">
      <c r="B464" s="245"/>
      <c r="C464" s="247"/>
      <c r="D464" s="248"/>
      <c r="E464" s="248"/>
      <c r="F464" s="249"/>
      <c r="G464" s="249"/>
      <c r="H464" s="250"/>
    </row>
    <row r="465" spans="2:8" ht="18" customHeight="1" x14ac:dyDescent="0.25">
      <c r="B465" s="212"/>
      <c r="C465" s="213"/>
      <c r="D465" s="108"/>
      <c r="E465" s="108"/>
      <c r="F465" s="214"/>
      <c r="G465" s="214"/>
      <c r="H465" s="215"/>
    </row>
    <row r="466" spans="2:8" ht="18" customHeight="1" x14ac:dyDescent="0.25">
      <c r="B466" s="67"/>
      <c r="C466" s="39"/>
      <c r="D466" s="68"/>
      <c r="E466" s="68"/>
      <c r="F466" s="58"/>
      <c r="G466" s="58"/>
      <c r="H466" s="211"/>
    </row>
    <row r="467" spans="2:8" ht="18" customHeight="1" x14ac:dyDescent="0.25">
      <c r="B467" s="67"/>
      <c r="C467" s="39"/>
      <c r="D467" s="68"/>
      <c r="E467" s="68"/>
      <c r="F467" s="58"/>
      <c r="G467" s="58"/>
      <c r="H467" s="211"/>
    </row>
    <row r="468" spans="2:8" ht="18" customHeight="1" x14ac:dyDescent="0.25">
      <c r="B468" s="67"/>
      <c r="C468" s="39"/>
      <c r="D468" s="68"/>
      <c r="E468" s="68"/>
      <c r="F468" s="58"/>
      <c r="G468" s="58"/>
      <c r="H468" s="211"/>
    </row>
    <row r="469" spans="2:8" ht="18" customHeight="1" x14ac:dyDescent="0.25">
      <c r="B469" s="212"/>
      <c r="C469" s="213"/>
      <c r="D469" s="108"/>
      <c r="E469" s="108"/>
      <c r="F469" s="214"/>
      <c r="G469" s="214"/>
      <c r="H469" s="215"/>
    </row>
    <row r="470" spans="2:8" ht="18" customHeight="1" x14ac:dyDescent="0.25">
      <c r="B470" s="67"/>
      <c r="C470" s="39"/>
      <c r="D470" s="68"/>
      <c r="E470" s="68"/>
      <c r="F470" s="58"/>
      <c r="G470" s="58"/>
      <c r="H470" s="211"/>
    </row>
    <row r="471" spans="2:8" ht="18" customHeight="1" x14ac:dyDescent="0.25">
      <c r="B471" s="67"/>
      <c r="C471" s="39"/>
      <c r="D471" s="68"/>
      <c r="E471" s="68"/>
      <c r="F471" s="58"/>
      <c r="G471" s="58"/>
      <c r="H471" s="211"/>
    </row>
    <row r="472" spans="2:8" ht="18" customHeight="1" x14ac:dyDescent="0.25">
      <c r="B472" s="67"/>
      <c r="C472" s="39"/>
      <c r="D472" s="68"/>
      <c r="E472" s="68"/>
      <c r="F472" s="58"/>
      <c r="G472" s="58"/>
      <c r="H472" s="211"/>
    </row>
    <row r="473" spans="2:8" ht="18" customHeight="1" x14ac:dyDescent="0.25">
      <c r="B473" s="67"/>
      <c r="C473" s="39"/>
      <c r="D473" s="68"/>
      <c r="E473" s="68"/>
      <c r="F473" s="58"/>
      <c r="G473" s="58"/>
      <c r="H473" s="211"/>
    </row>
    <row r="474" spans="2:8" ht="18" customHeight="1" x14ac:dyDescent="0.25">
      <c r="B474" s="67"/>
      <c r="C474" s="39"/>
      <c r="D474" s="68"/>
      <c r="E474" s="68"/>
      <c r="F474" s="58"/>
      <c r="G474" s="58"/>
      <c r="H474" s="211"/>
    </row>
    <row r="475" spans="2:8" ht="18" customHeight="1" x14ac:dyDescent="0.25">
      <c r="B475" s="67"/>
      <c r="C475" s="39"/>
      <c r="D475" s="68"/>
      <c r="E475" s="68"/>
      <c r="F475" s="58"/>
      <c r="G475" s="58"/>
      <c r="H475" s="211"/>
    </row>
    <row r="476" spans="2:8" ht="18" customHeight="1" x14ac:dyDescent="0.25">
      <c r="B476" s="67"/>
      <c r="C476" s="39"/>
      <c r="D476" s="68"/>
      <c r="E476" s="68"/>
      <c r="F476" s="58"/>
      <c r="G476" s="58"/>
      <c r="H476" s="211"/>
    </row>
    <row r="477" spans="2:8" ht="18" customHeight="1" x14ac:dyDescent="0.25">
      <c r="B477" s="245"/>
      <c r="C477" s="247"/>
      <c r="D477" s="248"/>
      <c r="E477" s="248"/>
      <c r="F477" s="249"/>
      <c r="G477" s="249"/>
      <c r="H477" s="250"/>
    </row>
    <row r="478" spans="2:8" ht="18" customHeight="1" x14ac:dyDescent="0.25">
      <c r="B478" s="212"/>
      <c r="C478" s="213"/>
      <c r="D478" s="108"/>
      <c r="E478" s="108"/>
      <c r="F478" s="214"/>
      <c r="G478" s="214"/>
      <c r="H478" s="215"/>
    </row>
    <row r="479" spans="2:8" ht="18" customHeight="1" x14ac:dyDescent="0.25">
      <c r="B479" s="67"/>
      <c r="C479" s="39"/>
      <c r="D479" s="68"/>
      <c r="E479" s="68"/>
      <c r="F479" s="58"/>
      <c r="G479" s="58"/>
      <c r="H479" s="211"/>
    </row>
    <row r="480" spans="2:8" ht="18" customHeight="1" x14ac:dyDescent="0.25">
      <c r="B480" s="67"/>
      <c r="C480" s="39"/>
      <c r="D480" s="68"/>
      <c r="E480" s="68"/>
      <c r="F480" s="58"/>
      <c r="G480" s="58"/>
      <c r="H480" s="211"/>
    </row>
    <row r="481" spans="2:8" ht="18" customHeight="1" x14ac:dyDescent="0.25">
      <c r="B481" s="245"/>
      <c r="C481" s="247"/>
      <c r="D481" s="248"/>
      <c r="E481" s="248"/>
      <c r="F481" s="249"/>
      <c r="G481" s="249"/>
      <c r="H481" s="250"/>
    </row>
    <row r="482" spans="2:8" ht="18" customHeight="1" x14ac:dyDescent="0.25">
      <c r="B482" s="67"/>
      <c r="C482" s="39"/>
      <c r="D482" s="68"/>
      <c r="E482" s="68"/>
      <c r="F482" s="58"/>
      <c r="G482" s="58"/>
      <c r="H482" s="211"/>
    </row>
    <row r="483" spans="2:8" ht="18" customHeight="1" x14ac:dyDescent="0.25">
      <c r="B483" s="245"/>
      <c r="C483" s="247"/>
      <c r="D483" s="248"/>
      <c r="E483" s="248"/>
      <c r="F483" s="249"/>
      <c r="G483" s="249"/>
      <c r="H483" s="250"/>
    </row>
    <row r="484" spans="2:8" ht="18" customHeight="1" x14ac:dyDescent="0.25">
      <c r="B484" s="67"/>
      <c r="C484" s="39"/>
      <c r="D484" s="68"/>
      <c r="E484" s="68"/>
      <c r="F484" s="58"/>
      <c r="G484" s="58"/>
      <c r="H484" s="211"/>
    </row>
    <row r="485" spans="2:8" ht="18" customHeight="1" x14ac:dyDescent="0.25">
      <c r="B485" s="67"/>
      <c r="C485" s="39"/>
      <c r="D485" s="68"/>
      <c r="E485" s="68"/>
      <c r="F485" s="58"/>
      <c r="G485" s="58"/>
      <c r="H485" s="211"/>
    </row>
    <row r="486" spans="2:8" ht="18" customHeight="1" x14ac:dyDescent="0.25">
      <c r="B486" s="67"/>
      <c r="C486" s="39"/>
      <c r="D486" s="68"/>
      <c r="E486" s="68"/>
      <c r="F486" s="58"/>
      <c r="G486" s="58"/>
      <c r="H486" s="211"/>
    </row>
    <row r="487" spans="2:8" ht="18" customHeight="1" x14ac:dyDescent="0.25">
      <c r="B487" s="67"/>
      <c r="C487" s="39"/>
      <c r="D487" s="68"/>
      <c r="E487" s="68"/>
      <c r="F487" s="58"/>
      <c r="G487" s="58"/>
      <c r="H487" s="211"/>
    </row>
    <row r="488" spans="2:8" ht="18" customHeight="1" x14ac:dyDescent="0.25">
      <c r="B488" s="67"/>
      <c r="C488" s="39"/>
      <c r="D488" s="68"/>
      <c r="E488" s="68"/>
      <c r="F488" s="58"/>
      <c r="G488" s="58"/>
      <c r="H488" s="211"/>
    </row>
    <row r="489" spans="2:8" ht="18" customHeight="1" x14ac:dyDescent="0.25">
      <c r="B489" s="67"/>
      <c r="C489" s="39"/>
      <c r="D489" s="68"/>
      <c r="E489" s="68"/>
      <c r="F489" s="58"/>
      <c r="G489" s="58"/>
      <c r="H489" s="211"/>
    </row>
    <row r="490" spans="2:8" ht="18" customHeight="1" x14ac:dyDescent="0.25">
      <c r="B490" s="245"/>
      <c r="C490" s="247"/>
      <c r="D490" s="248"/>
      <c r="E490" s="248"/>
      <c r="F490" s="249"/>
      <c r="G490" s="249"/>
      <c r="H490" s="250"/>
    </row>
    <row r="491" spans="2:8" ht="18" customHeight="1" x14ac:dyDescent="0.25">
      <c r="B491" s="245"/>
      <c r="C491" s="247"/>
      <c r="D491" s="248"/>
      <c r="E491" s="248"/>
      <c r="F491" s="249"/>
      <c r="G491" s="249"/>
      <c r="H491" s="250"/>
    </row>
    <row r="492" spans="2:8" ht="18" customHeight="1" x14ac:dyDescent="0.25">
      <c r="B492" s="67"/>
      <c r="C492" s="39"/>
      <c r="D492" s="68"/>
      <c r="E492" s="68"/>
      <c r="F492" s="58"/>
      <c r="G492" s="58"/>
      <c r="H492" s="211"/>
    </row>
    <row r="493" spans="2:8" ht="18" customHeight="1" x14ac:dyDescent="0.25">
      <c r="B493" s="67"/>
      <c r="C493" s="39"/>
      <c r="D493" s="68"/>
      <c r="E493" s="68"/>
      <c r="F493" s="58"/>
      <c r="G493" s="58"/>
      <c r="H493" s="211"/>
    </row>
    <row r="494" spans="2:8" ht="18" customHeight="1" x14ac:dyDescent="0.25">
      <c r="B494" s="67"/>
      <c r="C494" s="39"/>
      <c r="D494" s="68"/>
      <c r="E494" s="68"/>
      <c r="F494" s="58"/>
      <c r="G494" s="58"/>
      <c r="H494" s="211"/>
    </row>
    <row r="495" spans="2:8" ht="18" customHeight="1" x14ac:dyDescent="0.25">
      <c r="B495" s="67"/>
      <c r="C495" s="39"/>
      <c r="D495" s="68"/>
      <c r="E495" s="68"/>
      <c r="F495" s="58"/>
      <c r="G495" s="58"/>
      <c r="H495" s="211"/>
    </row>
    <row r="496" spans="2:8" ht="18" customHeight="1" x14ac:dyDescent="0.25">
      <c r="B496" s="245"/>
      <c r="C496" s="247"/>
      <c r="D496" s="248"/>
      <c r="E496" s="248"/>
      <c r="F496" s="249"/>
      <c r="G496" s="249"/>
      <c r="H496" s="250"/>
    </row>
    <row r="497" spans="2:8" ht="18" customHeight="1" x14ac:dyDescent="0.25">
      <c r="B497" s="67"/>
      <c r="C497" s="39"/>
      <c r="D497" s="68"/>
      <c r="E497" s="68"/>
      <c r="F497" s="58"/>
      <c r="G497" s="58"/>
      <c r="H497" s="211"/>
    </row>
    <row r="498" spans="2:8" ht="18" customHeight="1" x14ac:dyDescent="0.25">
      <c r="B498" s="212"/>
      <c r="C498" s="216"/>
      <c r="D498" s="108"/>
      <c r="E498" s="108"/>
      <c r="F498" s="214"/>
      <c r="G498" s="214"/>
      <c r="H498" s="215"/>
    </row>
    <row r="499" spans="2:8" ht="18" customHeight="1" x14ac:dyDescent="0.25">
      <c r="B499" s="67"/>
      <c r="C499" s="39"/>
      <c r="D499" s="68"/>
      <c r="E499" s="68"/>
      <c r="F499" s="58"/>
      <c r="G499" s="58"/>
      <c r="H499" s="211"/>
    </row>
    <row r="500" spans="2:8" ht="18" customHeight="1" x14ac:dyDescent="0.25">
      <c r="B500" s="245"/>
      <c r="C500" s="247"/>
      <c r="D500" s="248"/>
      <c r="E500" s="248"/>
      <c r="F500" s="249"/>
      <c r="G500" s="249"/>
      <c r="H500" s="250"/>
    </row>
    <row r="501" spans="2:8" ht="18" customHeight="1" x14ac:dyDescent="0.25">
      <c r="B501" s="67"/>
      <c r="C501" s="39"/>
      <c r="D501" s="68"/>
      <c r="E501" s="68"/>
      <c r="F501" s="58"/>
      <c r="G501" s="58"/>
      <c r="H501" s="211"/>
    </row>
    <row r="502" spans="2:8" ht="18" customHeight="1" x14ac:dyDescent="0.25">
      <c r="B502" s="67"/>
      <c r="C502" s="39"/>
      <c r="D502" s="68"/>
      <c r="E502" s="68"/>
      <c r="F502" s="58"/>
      <c r="G502" s="58"/>
      <c r="H502" s="211"/>
    </row>
    <row r="503" spans="2:8" ht="18" customHeight="1" x14ac:dyDescent="0.25">
      <c r="B503" s="67"/>
      <c r="C503" s="39"/>
      <c r="D503" s="68"/>
      <c r="E503" s="68"/>
      <c r="F503" s="58"/>
      <c r="G503" s="58"/>
      <c r="H503" s="211"/>
    </row>
    <row r="504" spans="2:8" ht="18" customHeight="1" x14ac:dyDescent="0.25">
      <c r="B504" s="67"/>
      <c r="C504" s="39"/>
      <c r="D504" s="68"/>
      <c r="E504" s="68"/>
      <c r="F504" s="58"/>
      <c r="G504" s="58"/>
      <c r="H504" s="211"/>
    </row>
    <row r="505" spans="2:8" ht="18" customHeight="1" x14ac:dyDescent="0.25">
      <c r="B505" s="245"/>
      <c r="C505" s="247"/>
      <c r="D505" s="248"/>
      <c r="E505" s="248"/>
      <c r="F505" s="249"/>
      <c r="G505" s="249"/>
      <c r="H505" s="250"/>
    </row>
    <row r="506" spans="2:8" ht="18" customHeight="1" x14ac:dyDescent="0.25">
      <c r="B506" s="245"/>
      <c r="C506" s="247"/>
      <c r="D506" s="248"/>
      <c r="E506" s="248"/>
      <c r="F506" s="249"/>
      <c r="G506" s="249"/>
      <c r="H506" s="250"/>
    </row>
    <row r="507" spans="2:8" ht="18" customHeight="1" x14ac:dyDescent="0.25">
      <c r="B507" s="67"/>
      <c r="C507" s="39"/>
      <c r="D507" s="68"/>
      <c r="E507" s="68"/>
      <c r="F507" s="58"/>
      <c r="G507" s="58"/>
      <c r="H507" s="211"/>
    </row>
    <row r="508" spans="2:8" ht="18" customHeight="1" x14ac:dyDescent="0.25">
      <c r="B508" s="67"/>
      <c r="C508" s="39"/>
      <c r="D508" s="68"/>
      <c r="E508" s="68"/>
      <c r="F508" s="58"/>
      <c r="G508" s="58"/>
      <c r="H508" s="211"/>
    </row>
    <row r="509" spans="2:8" ht="18" customHeight="1" x14ac:dyDescent="0.25">
      <c r="B509" s="245"/>
      <c r="C509" s="247"/>
      <c r="D509" s="248"/>
      <c r="E509" s="248"/>
      <c r="F509" s="249"/>
      <c r="G509" s="249"/>
      <c r="H509" s="250"/>
    </row>
    <row r="510" spans="2:8" ht="18" customHeight="1" x14ac:dyDescent="0.25">
      <c r="B510" s="67"/>
      <c r="C510" s="39"/>
      <c r="D510" s="68"/>
      <c r="E510" s="68"/>
      <c r="F510" s="58"/>
      <c r="G510" s="58"/>
      <c r="H510" s="211"/>
    </row>
    <row r="511" spans="2:8" ht="18" customHeight="1" x14ac:dyDescent="0.25">
      <c r="B511" s="67"/>
      <c r="C511" s="39"/>
      <c r="D511" s="68"/>
      <c r="E511" s="68"/>
      <c r="F511" s="58"/>
      <c r="G511" s="58"/>
      <c r="H511" s="211"/>
    </row>
    <row r="512" spans="2:8" ht="18" customHeight="1" x14ac:dyDescent="0.25">
      <c r="B512" s="245"/>
      <c r="C512" s="247"/>
      <c r="D512" s="248"/>
      <c r="E512" s="248"/>
      <c r="F512" s="249"/>
      <c r="G512" s="249"/>
      <c r="H512" s="250"/>
    </row>
    <row r="513" spans="2:8" ht="18" customHeight="1" x14ac:dyDescent="0.25">
      <c r="B513" s="67"/>
      <c r="C513" s="39"/>
      <c r="D513" s="68"/>
      <c r="E513" s="68"/>
      <c r="F513" s="58"/>
      <c r="G513" s="58"/>
      <c r="H513" s="211"/>
    </row>
    <row r="514" spans="2:8" ht="18" customHeight="1" x14ac:dyDescent="0.25">
      <c r="B514" s="245"/>
      <c r="C514" s="247"/>
      <c r="D514" s="248"/>
      <c r="E514" s="248"/>
      <c r="F514" s="249"/>
      <c r="G514" s="249"/>
      <c r="H514" s="250"/>
    </row>
    <row r="515" spans="2:8" ht="18" customHeight="1" x14ac:dyDescent="0.25">
      <c r="B515" s="67"/>
      <c r="C515" s="39"/>
      <c r="D515" s="68"/>
      <c r="E515" s="68"/>
      <c r="F515" s="58"/>
      <c r="G515" s="58"/>
      <c r="H515" s="211"/>
    </row>
    <row r="516" spans="2:8" ht="18" customHeight="1" x14ac:dyDescent="0.25">
      <c r="B516" s="67"/>
      <c r="C516" s="39"/>
      <c r="D516" s="68"/>
      <c r="E516" s="68"/>
      <c r="F516" s="58"/>
      <c r="G516" s="58"/>
      <c r="H516" s="211"/>
    </row>
    <row r="517" spans="2:8" ht="18" customHeight="1" x14ac:dyDescent="0.25">
      <c r="B517" s="245"/>
      <c r="C517" s="247"/>
      <c r="D517" s="248"/>
      <c r="E517" s="248"/>
      <c r="F517" s="249"/>
      <c r="G517" s="249"/>
      <c r="H517" s="250"/>
    </row>
    <row r="518" spans="2:8" ht="18" customHeight="1" x14ac:dyDescent="0.25">
      <c r="B518" s="245"/>
      <c r="C518" s="247"/>
      <c r="D518" s="248"/>
      <c r="E518" s="248"/>
      <c r="F518" s="249"/>
      <c r="G518" s="249"/>
      <c r="H518" s="250"/>
    </row>
    <row r="519" spans="2:8" ht="18" customHeight="1" x14ac:dyDescent="0.25">
      <c r="B519" s="67"/>
      <c r="C519" s="39"/>
      <c r="D519" s="68"/>
      <c r="E519" s="68"/>
      <c r="F519" s="58"/>
      <c r="G519" s="58"/>
      <c r="H519" s="211"/>
    </row>
    <row r="520" spans="2:8" ht="18" customHeight="1" x14ac:dyDescent="0.25">
      <c r="B520" s="245"/>
      <c r="C520" s="247"/>
      <c r="D520" s="248"/>
      <c r="E520" s="248"/>
      <c r="F520" s="249"/>
      <c r="G520" s="249"/>
      <c r="H520" s="250"/>
    </row>
    <row r="521" spans="2:8" ht="18" customHeight="1" x14ac:dyDescent="0.25">
      <c r="B521" s="67"/>
      <c r="C521" s="39"/>
      <c r="D521" s="68"/>
      <c r="E521" s="68"/>
      <c r="F521" s="58"/>
      <c r="G521" s="58"/>
      <c r="H521" s="211"/>
    </row>
    <row r="522" spans="2:8" ht="18" customHeight="1" x14ac:dyDescent="0.25">
      <c r="B522" s="245"/>
      <c r="C522" s="247"/>
      <c r="D522" s="248"/>
      <c r="E522" s="248"/>
      <c r="F522" s="249"/>
      <c r="G522" s="249"/>
      <c r="H522" s="250"/>
    </row>
    <row r="523" spans="2:8" ht="18" customHeight="1" x14ac:dyDescent="0.25">
      <c r="B523" s="67"/>
      <c r="C523" s="39"/>
      <c r="D523" s="68"/>
      <c r="E523" s="68"/>
      <c r="F523" s="58"/>
      <c r="G523" s="58"/>
      <c r="H523" s="211"/>
    </row>
    <row r="524" spans="2:8" ht="18" customHeight="1" x14ac:dyDescent="0.25">
      <c r="B524" s="245"/>
      <c r="C524" s="247"/>
      <c r="D524" s="248"/>
      <c r="E524" s="248"/>
      <c r="F524" s="249"/>
      <c r="G524" s="249"/>
      <c r="H524" s="250"/>
    </row>
    <row r="525" spans="2:8" ht="18" customHeight="1" x14ac:dyDescent="0.25">
      <c r="B525" s="245"/>
      <c r="C525" s="247"/>
      <c r="D525" s="248"/>
      <c r="E525" s="248"/>
      <c r="F525" s="249"/>
      <c r="G525" s="249"/>
      <c r="H525" s="250"/>
    </row>
    <row r="526" spans="2:8" ht="18" customHeight="1" x14ac:dyDescent="0.25">
      <c r="B526" s="245"/>
      <c r="C526" s="247"/>
      <c r="D526" s="248"/>
      <c r="E526" s="248"/>
      <c r="F526" s="249"/>
      <c r="G526" s="249"/>
      <c r="H526" s="250"/>
    </row>
    <row r="527" spans="2:8" ht="18" customHeight="1" x14ac:dyDescent="0.25">
      <c r="B527" s="67"/>
      <c r="C527" s="39"/>
      <c r="D527" s="68"/>
      <c r="E527" s="68"/>
      <c r="F527" s="58"/>
      <c r="G527" s="58"/>
      <c r="H527" s="211"/>
    </row>
    <row r="528" spans="2:8" ht="18" customHeight="1" x14ac:dyDescent="0.25">
      <c r="B528" s="67"/>
      <c r="C528" s="39"/>
      <c r="D528" s="68"/>
      <c r="E528" s="68"/>
      <c r="F528" s="58"/>
      <c r="G528" s="58"/>
      <c r="H528" s="211"/>
    </row>
    <row r="529" spans="2:8" ht="18" customHeight="1" x14ac:dyDescent="0.25">
      <c r="B529" s="67"/>
      <c r="C529" s="39"/>
      <c r="D529" s="68"/>
      <c r="E529" s="68"/>
      <c r="F529" s="58"/>
      <c r="G529" s="58"/>
      <c r="H529" s="211"/>
    </row>
    <row r="530" spans="2:8" ht="18" customHeight="1" x14ac:dyDescent="0.25">
      <c r="B530" s="245"/>
      <c r="C530" s="247"/>
      <c r="D530" s="248"/>
      <c r="E530" s="248"/>
      <c r="F530" s="249"/>
      <c r="G530" s="249"/>
      <c r="H530" s="250"/>
    </row>
    <row r="531" spans="2:8" ht="18" customHeight="1" x14ac:dyDescent="0.25">
      <c r="B531" s="245"/>
      <c r="C531" s="247"/>
      <c r="D531" s="248"/>
      <c r="E531" s="248"/>
      <c r="F531" s="249"/>
      <c r="G531" s="249"/>
      <c r="H531" s="250"/>
    </row>
    <row r="532" spans="2:8" ht="18" customHeight="1" x14ac:dyDescent="0.25">
      <c r="B532" s="67"/>
      <c r="C532" s="39"/>
      <c r="D532" s="68"/>
      <c r="E532" s="68"/>
      <c r="F532" s="58"/>
      <c r="G532" s="58"/>
      <c r="H532" s="211"/>
    </row>
    <row r="533" spans="2:8" ht="18" customHeight="1" x14ac:dyDescent="0.25">
      <c r="B533" s="67"/>
      <c r="C533" s="39"/>
      <c r="D533" s="68"/>
      <c r="E533" s="68"/>
      <c r="F533" s="58"/>
      <c r="G533" s="58"/>
      <c r="H533" s="211"/>
    </row>
    <row r="534" spans="2:8" ht="18" customHeight="1" x14ac:dyDescent="0.25">
      <c r="B534" s="67"/>
      <c r="C534" s="39"/>
      <c r="D534" s="68"/>
      <c r="E534" s="68"/>
      <c r="F534" s="58"/>
      <c r="G534" s="58"/>
      <c r="H534" s="211"/>
    </row>
    <row r="535" spans="2:8" ht="18" customHeight="1" x14ac:dyDescent="0.25">
      <c r="B535" s="67"/>
      <c r="C535" s="39"/>
      <c r="D535" s="68"/>
      <c r="E535" s="68"/>
      <c r="F535" s="58"/>
      <c r="G535" s="58"/>
      <c r="H535" s="211"/>
    </row>
    <row r="536" spans="2:8" ht="18" customHeight="1" x14ac:dyDescent="0.25">
      <c r="B536" s="245"/>
      <c r="C536" s="247"/>
      <c r="D536" s="248"/>
      <c r="E536" s="248"/>
      <c r="F536" s="249"/>
      <c r="G536" s="249"/>
      <c r="H536" s="250"/>
    </row>
    <row r="537" spans="2:8" ht="18" customHeight="1" x14ac:dyDescent="0.25">
      <c r="B537" s="67"/>
      <c r="C537" s="39"/>
      <c r="D537" s="68"/>
      <c r="E537" s="68"/>
      <c r="F537" s="58"/>
      <c r="G537" s="58"/>
      <c r="H537" s="211"/>
    </row>
    <row r="538" spans="2:8" ht="18" customHeight="1" x14ac:dyDescent="0.25">
      <c r="B538" s="245"/>
      <c r="C538" s="247"/>
      <c r="D538" s="248"/>
      <c r="E538" s="248"/>
      <c r="F538" s="249"/>
      <c r="G538" s="249"/>
      <c r="H538" s="250"/>
    </row>
    <row r="539" spans="2:8" ht="18" customHeight="1" x14ac:dyDescent="0.25">
      <c r="B539" s="67"/>
      <c r="C539" s="39"/>
      <c r="D539" s="68"/>
      <c r="E539" s="68"/>
      <c r="F539" s="58"/>
      <c r="G539" s="58"/>
      <c r="H539" s="211"/>
    </row>
    <row r="540" spans="2:8" ht="18" customHeight="1" x14ac:dyDescent="0.25">
      <c r="B540" s="67"/>
      <c r="C540" s="39"/>
      <c r="D540" s="68"/>
      <c r="E540" s="68"/>
      <c r="F540" s="58"/>
      <c r="G540" s="58"/>
      <c r="H540" s="211"/>
    </row>
    <row r="541" spans="2:8" ht="18" customHeight="1" x14ac:dyDescent="0.25">
      <c r="B541" s="245"/>
      <c r="C541" s="247"/>
      <c r="D541" s="248"/>
      <c r="E541" s="248"/>
      <c r="F541" s="249"/>
      <c r="G541" s="249"/>
      <c r="H541" s="250"/>
    </row>
    <row r="542" spans="2:8" ht="18" customHeight="1" x14ac:dyDescent="0.25">
      <c r="B542" s="245"/>
      <c r="C542" s="247"/>
      <c r="D542" s="248"/>
      <c r="E542" s="248"/>
      <c r="F542" s="249"/>
      <c r="G542" s="249"/>
      <c r="H542" s="250"/>
    </row>
    <row r="543" spans="2:8" ht="18" customHeight="1" x14ac:dyDescent="0.25">
      <c r="B543" s="245"/>
      <c r="C543" s="247"/>
      <c r="D543" s="248"/>
      <c r="E543" s="248"/>
      <c r="F543" s="249"/>
      <c r="G543" s="249"/>
      <c r="H543" s="250"/>
    </row>
    <row r="544" spans="2:8" ht="18" customHeight="1" x14ac:dyDescent="0.25">
      <c r="B544" s="245"/>
      <c r="C544" s="247"/>
      <c r="D544" s="248"/>
      <c r="E544" s="248"/>
      <c r="F544" s="249"/>
      <c r="G544" s="249"/>
      <c r="H544" s="250"/>
    </row>
    <row r="545" spans="2:8" ht="18" customHeight="1" x14ac:dyDescent="0.25">
      <c r="B545" s="67"/>
      <c r="C545" s="39"/>
      <c r="D545" s="68"/>
      <c r="E545" s="68"/>
      <c r="F545" s="58"/>
      <c r="G545" s="58"/>
      <c r="H545" s="211"/>
    </row>
    <row r="546" spans="2:8" ht="18" customHeight="1" x14ac:dyDescent="0.25">
      <c r="B546" s="67"/>
      <c r="C546" s="39"/>
      <c r="D546" s="68"/>
      <c r="E546" s="68"/>
      <c r="F546" s="58"/>
      <c r="G546" s="58"/>
      <c r="H546" s="211"/>
    </row>
    <row r="547" spans="2:8" ht="18" customHeight="1" x14ac:dyDescent="0.25">
      <c r="B547" s="245"/>
      <c r="C547" s="247"/>
      <c r="D547" s="248"/>
      <c r="E547" s="248"/>
      <c r="F547" s="249"/>
      <c r="G547" s="249"/>
      <c r="H547" s="250"/>
    </row>
    <row r="548" spans="2:8" ht="18" customHeight="1" x14ac:dyDescent="0.25">
      <c r="B548" s="67"/>
      <c r="C548" s="39"/>
      <c r="D548" s="68"/>
      <c r="E548" s="68"/>
      <c r="F548" s="58"/>
      <c r="G548" s="58"/>
      <c r="H548" s="211"/>
    </row>
    <row r="549" spans="2:8" ht="18" customHeight="1" x14ac:dyDescent="0.25">
      <c r="B549" s="67"/>
      <c r="C549" s="39"/>
      <c r="D549" s="68"/>
      <c r="E549" s="68"/>
      <c r="F549" s="58"/>
      <c r="G549" s="58"/>
      <c r="H549" s="211"/>
    </row>
    <row r="550" spans="2:8" ht="18" customHeight="1" x14ac:dyDescent="0.25">
      <c r="B550" s="67"/>
      <c r="C550" s="39"/>
      <c r="D550" s="68"/>
      <c r="E550" s="68"/>
      <c r="F550" s="58"/>
      <c r="G550" s="58"/>
      <c r="H550" s="211"/>
    </row>
    <row r="551" spans="2:8" ht="18" customHeight="1" x14ac:dyDescent="0.25">
      <c r="B551" s="67"/>
      <c r="C551" s="39"/>
      <c r="D551" s="68"/>
      <c r="E551" s="68"/>
      <c r="F551" s="58"/>
      <c r="G551" s="58"/>
      <c r="H551" s="211"/>
    </row>
    <row r="552" spans="2:8" ht="18" customHeight="1" x14ac:dyDescent="0.25">
      <c r="B552" s="245"/>
      <c r="C552" s="247"/>
      <c r="D552" s="248"/>
      <c r="E552" s="248"/>
      <c r="F552" s="249"/>
      <c r="G552" s="249"/>
      <c r="H552" s="250"/>
    </row>
    <row r="553" spans="2:8" ht="18" customHeight="1" x14ac:dyDescent="0.25">
      <c r="B553" s="67"/>
      <c r="C553" s="39"/>
      <c r="D553" s="68"/>
      <c r="E553" s="68"/>
      <c r="F553" s="58"/>
      <c r="G553" s="58"/>
      <c r="H553" s="211"/>
    </row>
    <row r="554" spans="2:8" ht="18" customHeight="1" x14ac:dyDescent="0.25">
      <c r="B554" s="67"/>
      <c r="C554" s="39"/>
      <c r="D554" s="68"/>
      <c r="E554" s="68"/>
      <c r="F554" s="58"/>
      <c r="G554" s="58"/>
      <c r="H554" s="211"/>
    </row>
    <row r="555" spans="2:8" ht="18" customHeight="1" x14ac:dyDescent="0.25">
      <c r="B555" s="67"/>
      <c r="C555" s="39"/>
      <c r="D555" s="68"/>
      <c r="E555" s="68"/>
      <c r="F555" s="58"/>
      <c r="G555" s="58"/>
      <c r="H555" s="211"/>
    </row>
    <row r="556" spans="2:8" ht="18" customHeight="1" x14ac:dyDescent="0.25">
      <c r="B556" s="67"/>
      <c r="C556" s="39"/>
      <c r="D556" s="68"/>
      <c r="E556" s="68"/>
      <c r="F556" s="58"/>
      <c r="G556" s="58"/>
      <c r="H556" s="211"/>
    </row>
    <row r="557" spans="2:8" ht="18" customHeight="1" x14ac:dyDescent="0.25">
      <c r="B557" s="245"/>
      <c r="C557" s="247"/>
      <c r="D557" s="248"/>
      <c r="E557" s="248"/>
      <c r="F557" s="249"/>
      <c r="G557" s="249"/>
      <c r="H557" s="250"/>
    </row>
    <row r="558" spans="2:8" ht="18" customHeight="1" x14ac:dyDescent="0.25">
      <c r="B558" s="245"/>
      <c r="C558" s="247"/>
      <c r="D558" s="248"/>
      <c r="E558" s="248"/>
      <c r="F558" s="249"/>
      <c r="G558" s="249"/>
      <c r="H558" s="250"/>
    </row>
    <row r="559" spans="2:8" ht="18" customHeight="1" x14ac:dyDescent="0.25">
      <c r="B559" s="67"/>
      <c r="C559" s="39"/>
      <c r="D559" s="68"/>
      <c r="E559" s="68"/>
      <c r="F559" s="58"/>
      <c r="G559" s="58"/>
      <c r="H559" s="211"/>
    </row>
    <row r="560" spans="2:8" ht="18" customHeight="1" x14ac:dyDescent="0.25">
      <c r="B560" s="245"/>
      <c r="C560" s="247"/>
      <c r="D560" s="248"/>
      <c r="E560" s="248"/>
      <c r="F560" s="249"/>
      <c r="G560" s="249"/>
      <c r="H560" s="250"/>
    </row>
    <row r="561" spans="2:8" ht="18" customHeight="1" x14ac:dyDescent="0.25">
      <c r="B561" s="245"/>
      <c r="C561" s="247"/>
      <c r="D561" s="248"/>
      <c r="E561" s="248"/>
      <c r="F561" s="249"/>
      <c r="G561" s="249"/>
      <c r="H561" s="250"/>
    </row>
    <row r="562" spans="2:8" ht="18" customHeight="1" x14ac:dyDescent="0.25">
      <c r="B562" s="67"/>
      <c r="C562" s="39"/>
      <c r="D562" s="68"/>
      <c r="E562" s="68"/>
      <c r="F562" s="58"/>
      <c r="G562" s="58"/>
      <c r="H562" s="211"/>
    </row>
    <row r="563" spans="2:8" ht="18" customHeight="1" x14ac:dyDescent="0.25">
      <c r="B563" s="67"/>
      <c r="C563" s="39"/>
      <c r="D563" s="68"/>
      <c r="E563" s="68"/>
      <c r="F563" s="58"/>
      <c r="G563" s="58"/>
      <c r="H563" s="211"/>
    </row>
    <row r="564" spans="2:8" ht="18" customHeight="1" x14ac:dyDescent="0.25">
      <c r="B564" s="67"/>
      <c r="C564" s="39"/>
      <c r="D564" s="68"/>
      <c r="E564" s="68"/>
      <c r="F564" s="58"/>
      <c r="G564" s="58"/>
      <c r="H564" s="211"/>
    </row>
    <row r="565" spans="2:8" ht="18" customHeight="1" x14ac:dyDescent="0.25">
      <c r="B565" s="67"/>
      <c r="C565" s="39"/>
      <c r="D565" s="68"/>
      <c r="E565" s="68"/>
      <c r="F565" s="58"/>
      <c r="G565" s="58"/>
      <c r="H565" s="211"/>
    </row>
    <row r="566" spans="2:8" ht="18" customHeight="1" x14ac:dyDescent="0.25">
      <c r="B566" s="67"/>
      <c r="C566" s="39"/>
      <c r="D566" s="68"/>
      <c r="E566" s="68"/>
      <c r="F566" s="58"/>
      <c r="G566" s="58"/>
      <c r="H566" s="211"/>
    </row>
    <row r="567" spans="2:8" ht="18" customHeight="1" x14ac:dyDescent="0.25">
      <c r="B567" s="245"/>
      <c r="C567" s="247"/>
      <c r="D567" s="248"/>
      <c r="E567" s="248"/>
      <c r="F567" s="249"/>
      <c r="G567" s="249"/>
      <c r="H567" s="250"/>
    </row>
    <row r="568" spans="2:8" ht="18" customHeight="1" x14ac:dyDescent="0.25">
      <c r="B568" s="245"/>
      <c r="C568" s="247"/>
      <c r="D568" s="248"/>
      <c r="E568" s="248"/>
      <c r="F568" s="249"/>
      <c r="G568" s="249"/>
      <c r="H568" s="250"/>
    </row>
    <row r="569" spans="2:8" ht="18" customHeight="1" x14ac:dyDescent="0.25">
      <c r="B569" s="67"/>
      <c r="C569" s="39"/>
      <c r="D569" s="68"/>
      <c r="E569" s="68"/>
      <c r="F569" s="58"/>
      <c r="G569" s="58"/>
      <c r="H569" s="211"/>
    </row>
    <row r="570" spans="2:8" ht="18" customHeight="1" x14ac:dyDescent="0.25">
      <c r="B570" s="245"/>
      <c r="C570" s="247"/>
      <c r="D570" s="248"/>
      <c r="E570" s="248"/>
      <c r="F570" s="249"/>
      <c r="G570" s="249"/>
      <c r="H570" s="250"/>
    </row>
    <row r="571" spans="2:8" ht="18" customHeight="1" x14ac:dyDescent="0.25">
      <c r="B571" s="67"/>
      <c r="C571" s="39"/>
      <c r="D571" s="68"/>
      <c r="E571" s="68"/>
      <c r="F571" s="58"/>
      <c r="G571" s="58"/>
      <c r="H571" s="211"/>
    </row>
    <row r="572" spans="2:8" ht="18" customHeight="1" x14ac:dyDescent="0.25">
      <c r="B572" s="67"/>
      <c r="C572" s="39"/>
      <c r="D572" s="68"/>
      <c r="E572" s="68"/>
      <c r="F572" s="58"/>
      <c r="G572" s="58"/>
      <c r="H572" s="211"/>
    </row>
    <row r="573" spans="2:8" ht="18" customHeight="1" x14ac:dyDescent="0.25">
      <c r="B573" s="67"/>
      <c r="C573" s="39"/>
      <c r="D573" s="68"/>
      <c r="E573" s="68"/>
      <c r="F573" s="58"/>
      <c r="G573" s="58"/>
      <c r="H573" s="211"/>
    </row>
    <row r="574" spans="2:8" ht="18" customHeight="1" x14ac:dyDescent="0.25">
      <c r="B574" s="67"/>
      <c r="C574" s="39"/>
      <c r="D574" s="68"/>
      <c r="E574" s="68"/>
      <c r="F574" s="58"/>
      <c r="G574" s="58"/>
      <c r="H574" s="211"/>
    </row>
    <row r="575" spans="2:8" ht="18" customHeight="1" x14ac:dyDescent="0.25">
      <c r="B575" s="67"/>
      <c r="C575" s="39"/>
      <c r="D575" s="68"/>
      <c r="E575" s="68"/>
      <c r="F575" s="58"/>
      <c r="G575" s="58"/>
      <c r="H575" s="211"/>
    </row>
    <row r="576" spans="2:8" ht="18" customHeight="1" x14ac:dyDescent="0.25">
      <c r="B576" s="245"/>
      <c r="C576" s="247"/>
      <c r="D576" s="248"/>
      <c r="E576" s="248"/>
      <c r="F576" s="249"/>
      <c r="G576" s="249"/>
      <c r="H576" s="250"/>
    </row>
    <row r="577" spans="2:8" ht="18" customHeight="1" x14ac:dyDescent="0.25">
      <c r="B577" s="67"/>
      <c r="C577" s="39"/>
      <c r="D577" s="68"/>
      <c r="E577" s="68"/>
      <c r="F577" s="58"/>
      <c r="G577" s="58"/>
      <c r="H577" s="211"/>
    </row>
    <row r="578" spans="2:8" ht="18" customHeight="1" x14ac:dyDescent="0.25">
      <c r="B578" s="212"/>
      <c r="C578" s="213"/>
      <c r="D578" s="108"/>
      <c r="E578" s="108"/>
      <c r="F578" s="214"/>
      <c r="G578" s="214"/>
      <c r="H578" s="215"/>
    </row>
    <row r="579" spans="2:8" ht="18" customHeight="1" x14ac:dyDescent="0.25">
      <c r="B579" s="67"/>
      <c r="C579" s="39"/>
      <c r="D579" s="68"/>
      <c r="E579" s="68"/>
      <c r="F579" s="58"/>
      <c r="G579" s="58"/>
      <c r="H579" s="211"/>
    </row>
    <row r="580" spans="2:8" ht="18" customHeight="1" x14ac:dyDescent="0.25">
      <c r="B580" s="245"/>
      <c r="C580" s="247"/>
      <c r="D580" s="248"/>
      <c r="E580" s="248"/>
      <c r="F580" s="249"/>
      <c r="G580" s="249"/>
      <c r="H580" s="250"/>
    </row>
    <row r="581" spans="2:8" ht="18" customHeight="1" x14ac:dyDescent="0.25">
      <c r="B581" s="212"/>
      <c r="C581" s="216"/>
      <c r="D581" s="108"/>
      <c r="E581" s="108"/>
      <c r="F581" s="214"/>
      <c r="G581" s="214"/>
      <c r="H581" s="215"/>
    </row>
    <row r="582" spans="2:8" ht="18" customHeight="1" x14ac:dyDescent="0.25">
      <c r="B582" s="67"/>
      <c r="C582" s="39"/>
      <c r="D582" s="68"/>
      <c r="E582" s="68"/>
      <c r="F582" s="58"/>
      <c r="G582" s="58"/>
      <c r="H582" s="211"/>
    </row>
    <row r="583" spans="2:8" ht="18" customHeight="1" x14ac:dyDescent="0.25">
      <c r="B583" s="67"/>
      <c r="C583" s="39"/>
      <c r="D583" s="68"/>
      <c r="E583" s="68"/>
      <c r="F583" s="58"/>
      <c r="G583" s="58"/>
      <c r="H583" s="211"/>
    </row>
    <row r="584" spans="2:8" ht="18" customHeight="1" x14ac:dyDescent="0.25">
      <c r="B584" s="245"/>
      <c r="C584" s="247"/>
      <c r="D584" s="248"/>
      <c r="E584" s="248"/>
      <c r="F584" s="249"/>
      <c r="G584" s="249"/>
      <c r="H584" s="250"/>
    </row>
    <row r="585" spans="2:8" ht="18" customHeight="1" x14ac:dyDescent="0.25">
      <c r="B585" s="67"/>
      <c r="C585" s="39"/>
      <c r="D585" s="68"/>
      <c r="E585" s="68"/>
      <c r="F585" s="58"/>
      <c r="G585" s="58"/>
      <c r="H585" s="211"/>
    </row>
    <row r="586" spans="2:8" ht="18" customHeight="1" x14ac:dyDescent="0.25">
      <c r="B586" s="67"/>
      <c r="C586" s="39"/>
      <c r="D586" s="68"/>
      <c r="E586" s="68"/>
      <c r="F586" s="58"/>
      <c r="G586" s="58"/>
      <c r="H586" s="211"/>
    </row>
    <row r="587" spans="2:8" ht="18" customHeight="1" x14ac:dyDescent="0.25">
      <c r="B587" s="67"/>
      <c r="C587" s="39"/>
      <c r="D587" s="68"/>
      <c r="E587" s="68"/>
      <c r="F587" s="58"/>
      <c r="G587" s="58"/>
      <c r="H587" s="211"/>
    </row>
    <row r="588" spans="2:8" ht="18" customHeight="1" x14ac:dyDescent="0.25">
      <c r="B588" s="67"/>
      <c r="C588" s="39"/>
      <c r="D588" s="68"/>
      <c r="E588" s="68"/>
      <c r="F588" s="58"/>
      <c r="G588" s="58"/>
      <c r="H588" s="211"/>
    </row>
    <row r="589" spans="2:8" ht="18" customHeight="1" x14ac:dyDescent="0.25">
      <c r="B589" s="67"/>
      <c r="C589" s="39"/>
      <c r="D589" s="68"/>
      <c r="E589" s="68"/>
      <c r="F589" s="58"/>
      <c r="G589" s="58"/>
      <c r="H589" s="211"/>
    </row>
    <row r="590" spans="2:8" ht="18" customHeight="1" x14ac:dyDescent="0.25">
      <c r="B590" s="67"/>
      <c r="C590" s="39"/>
      <c r="D590" s="68"/>
      <c r="E590" s="68"/>
      <c r="F590" s="58"/>
      <c r="G590" s="58"/>
      <c r="H590" s="211"/>
    </row>
    <row r="591" spans="2:8" ht="18" customHeight="1" x14ac:dyDescent="0.25">
      <c r="B591" s="67"/>
      <c r="C591" s="39"/>
      <c r="D591" s="68"/>
      <c r="E591" s="68"/>
      <c r="F591" s="58"/>
      <c r="G591" s="58"/>
      <c r="H591" s="211"/>
    </row>
    <row r="592" spans="2:8" ht="18" customHeight="1" x14ac:dyDescent="0.25">
      <c r="B592" s="67"/>
      <c r="C592" s="39"/>
      <c r="D592" s="68"/>
      <c r="E592" s="68"/>
      <c r="F592" s="58"/>
      <c r="G592" s="58"/>
      <c r="H592" s="211"/>
    </row>
    <row r="593" spans="2:8" ht="18" customHeight="1" x14ac:dyDescent="0.25">
      <c r="B593" s="212"/>
      <c r="C593" s="213"/>
      <c r="D593" s="108"/>
      <c r="E593" s="108"/>
      <c r="F593" s="214"/>
      <c r="G593" s="214"/>
      <c r="H593" s="215"/>
    </row>
    <row r="594" spans="2:8" ht="18" customHeight="1" x14ac:dyDescent="0.25">
      <c r="B594" s="245"/>
      <c r="C594" s="247"/>
      <c r="D594" s="248"/>
      <c r="E594" s="248"/>
      <c r="F594" s="249"/>
      <c r="G594" s="249"/>
      <c r="H594" s="250"/>
    </row>
    <row r="595" spans="2:8" ht="18" customHeight="1" x14ac:dyDescent="0.25">
      <c r="B595" s="245"/>
      <c r="C595" s="247"/>
      <c r="D595" s="248"/>
      <c r="E595" s="248"/>
      <c r="F595" s="249"/>
      <c r="G595" s="249"/>
      <c r="H595" s="250"/>
    </row>
    <row r="596" spans="2:8" ht="18" customHeight="1" x14ac:dyDescent="0.25">
      <c r="B596" s="245"/>
      <c r="C596" s="247"/>
      <c r="D596" s="248"/>
      <c r="E596" s="248"/>
      <c r="F596" s="249"/>
      <c r="G596" s="249"/>
      <c r="H596" s="250"/>
    </row>
    <row r="597" spans="2:8" ht="18" customHeight="1" x14ac:dyDescent="0.25">
      <c r="B597" s="245"/>
      <c r="C597" s="247"/>
      <c r="D597" s="248"/>
      <c r="E597" s="248"/>
      <c r="F597" s="249"/>
      <c r="G597" s="249"/>
      <c r="H597" s="250"/>
    </row>
    <row r="598" spans="2:8" ht="18" customHeight="1" x14ac:dyDescent="0.25">
      <c r="B598" s="245"/>
      <c r="C598" s="247"/>
      <c r="D598" s="248"/>
      <c r="E598" s="248"/>
      <c r="F598" s="249"/>
      <c r="G598" s="249"/>
      <c r="H598" s="250"/>
    </row>
    <row r="599" spans="2:8" ht="18" customHeight="1" x14ac:dyDescent="0.25">
      <c r="B599" s="245"/>
      <c r="C599" s="247"/>
      <c r="D599" s="248"/>
      <c r="E599" s="248"/>
      <c r="F599" s="249"/>
      <c r="G599" s="249"/>
      <c r="H599" s="250"/>
    </row>
    <row r="600" spans="2:8" ht="18" customHeight="1" x14ac:dyDescent="0.25">
      <c r="B600" s="245"/>
      <c r="C600" s="247"/>
      <c r="D600" s="248"/>
      <c r="E600" s="248"/>
      <c r="F600" s="249"/>
      <c r="G600" s="249"/>
      <c r="H600" s="250"/>
    </row>
    <row r="601" spans="2:8" ht="18" customHeight="1" x14ac:dyDescent="0.25">
      <c r="B601" s="245"/>
      <c r="C601" s="247"/>
      <c r="D601" s="248"/>
      <c r="E601" s="248"/>
      <c r="F601" s="249"/>
      <c r="G601" s="249"/>
      <c r="H601" s="250"/>
    </row>
    <row r="602" spans="2:8" ht="18" customHeight="1" x14ac:dyDescent="0.25">
      <c r="B602" s="245"/>
      <c r="C602" s="247"/>
      <c r="D602" s="248"/>
      <c r="E602" s="248"/>
      <c r="F602" s="249"/>
      <c r="G602" s="249"/>
      <c r="H602" s="250"/>
    </row>
    <row r="603" spans="2:8" ht="18" customHeight="1" x14ac:dyDescent="0.25">
      <c r="B603" s="245"/>
      <c r="C603" s="247"/>
      <c r="D603" s="248"/>
      <c r="E603" s="248"/>
      <c r="F603" s="249"/>
      <c r="G603" s="249"/>
      <c r="H603" s="250"/>
    </row>
    <row r="604" spans="2:8" ht="18" customHeight="1" x14ac:dyDescent="0.25">
      <c r="B604" s="245"/>
      <c r="C604" s="247"/>
      <c r="D604" s="248"/>
      <c r="E604" s="248"/>
      <c r="F604" s="249"/>
      <c r="G604" s="249"/>
      <c r="H604" s="250"/>
    </row>
    <row r="605" spans="2:8" ht="18" customHeight="1" x14ac:dyDescent="0.25">
      <c r="B605" s="245"/>
      <c r="C605" s="247"/>
      <c r="D605" s="248"/>
      <c r="E605" s="248"/>
      <c r="F605" s="249"/>
      <c r="G605" s="249"/>
      <c r="H605" s="250"/>
    </row>
    <row r="606" spans="2:8" ht="18" customHeight="1" x14ac:dyDescent="0.25">
      <c r="B606" s="245"/>
      <c r="C606" s="247"/>
      <c r="D606" s="248"/>
      <c r="E606" s="248"/>
      <c r="F606" s="249"/>
      <c r="G606" s="249"/>
      <c r="H606" s="250"/>
    </row>
    <row r="607" spans="2:8" ht="18" customHeight="1" x14ac:dyDescent="0.25">
      <c r="B607" s="245"/>
      <c r="C607" s="247"/>
      <c r="D607" s="248"/>
      <c r="E607" s="248"/>
      <c r="F607" s="249"/>
      <c r="G607" s="249"/>
      <c r="H607" s="250"/>
    </row>
    <row r="608" spans="2:8" ht="18" customHeight="1" x14ac:dyDescent="0.25">
      <c r="B608" s="245"/>
      <c r="C608" s="247"/>
      <c r="D608" s="248"/>
      <c r="E608" s="248"/>
      <c r="F608" s="249"/>
      <c r="G608" s="249"/>
      <c r="H608" s="250"/>
    </row>
    <row r="609" spans="2:8" ht="18" customHeight="1" x14ac:dyDescent="0.25">
      <c r="B609" s="245"/>
      <c r="C609" s="247"/>
      <c r="D609" s="248"/>
      <c r="E609" s="248"/>
      <c r="F609" s="249"/>
      <c r="G609" s="249"/>
      <c r="H609" s="250"/>
    </row>
    <row r="610" spans="2:8" ht="18" customHeight="1" x14ac:dyDescent="0.25">
      <c r="B610" s="245"/>
      <c r="C610" s="247"/>
      <c r="D610" s="248"/>
      <c r="E610" s="248"/>
      <c r="F610" s="249"/>
      <c r="G610" s="249"/>
      <c r="H610" s="250"/>
    </row>
    <row r="611" spans="2:8" ht="18" customHeight="1" x14ac:dyDescent="0.25">
      <c r="B611" s="67"/>
      <c r="C611" s="39"/>
      <c r="D611" s="68"/>
      <c r="E611" s="68"/>
      <c r="F611" s="58"/>
      <c r="G611" s="58"/>
      <c r="H611" s="211"/>
    </row>
    <row r="612" spans="2:8" ht="18" customHeight="1" x14ac:dyDescent="0.25">
      <c r="B612" s="245"/>
      <c r="C612" s="247"/>
      <c r="D612" s="248"/>
      <c r="E612" s="248"/>
      <c r="F612" s="249"/>
      <c r="G612" s="249"/>
      <c r="H612" s="250"/>
    </row>
    <row r="613" spans="2:8" ht="18" customHeight="1" x14ac:dyDescent="0.25">
      <c r="B613" s="245"/>
      <c r="C613" s="247"/>
      <c r="D613" s="248"/>
      <c r="E613" s="248"/>
      <c r="F613" s="249"/>
      <c r="G613" s="249"/>
      <c r="H613" s="250"/>
    </row>
    <row r="614" spans="2:8" ht="18" customHeight="1" x14ac:dyDescent="0.25">
      <c r="B614" s="245"/>
      <c r="C614" s="247"/>
      <c r="D614" s="248"/>
      <c r="E614" s="248"/>
      <c r="F614" s="249"/>
      <c r="G614" s="249"/>
      <c r="H614" s="250"/>
    </row>
    <row r="615" spans="2:8" ht="18" customHeight="1" x14ac:dyDescent="0.25">
      <c r="B615" s="67"/>
      <c r="C615" s="39"/>
      <c r="D615" s="68"/>
      <c r="E615" s="68"/>
      <c r="F615" s="58"/>
      <c r="G615" s="58"/>
      <c r="H615" s="211"/>
    </row>
    <row r="616" spans="2:8" ht="18" customHeight="1" x14ac:dyDescent="0.25">
      <c r="B616" s="212"/>
      <c r="C616" s="213"/>
      <c r="D616" s="108"/>
      <c r="E616" s="108"/>
      <c r="F616" s="214"/>
      <c r="G616" s="214"/>
      <c r="H616" s="215"/>
    </row>
    <row r="617" spans="2:8" ht="18" customHeight="1" x14ac:dyDescent="0.25">
      <c r="B617" s="245"/>
      <c r="C617" s="247"/>
      <c r="D617" s="248"/>
      <c r="E617" s="248"/>
      <c r="F617" s="249"/>
      <c r="G617" s="249"/>
      <c r="H617" s="250"/>
    </row>
    <row r="618" spans="2:8" ht="18" customHeight="1" x14ac:dyDescent="0.25">
      <c r="B618" s="245"/>
      <c r="C618" s="247"/>
      <c r="D618" s="248"/>
      <c r="E618" s="248"/>
      <c r="F618" s="249"/>
      <c r="G618" s="249"/>
      <c r="H618" s="250"/>
    </row>
    <row r="619" spans="2:8" ht="18" customHeight="1" x14ac:dyDescent="0.25">
      <c r="B619" s="67"/>
      <c r="C619" s="39"/>
      <c r="D619" s="68"/>
      <c r="E619" s="68"/>
      <c r="F619" s="58"/>
      <c r="G619" s="58"/>
      <c r="H619" s="211"/>
    </row>
    <row r="620" spans="2:8" ht="18" customHeight="1" x14ac:dyDescent="0.25">
      <c r="B620" s="67"/>
      <c r="C620" s="39"/>
      <c r="D620" s="68"/>
      <c r="E620" s="68"/>
      <c r="F620" s="58"/>
      <c r="G620" s="58"/>
      <c r="H620" s="211"/>
    </row>
    <row r="621" spans="2:8" ht="18" customHeight="1" x14ac:dyDescent="0.25">
      <c r="B621" s="67"/>
      <c r="C621" s="39"/>
      <c r="D621" s="68"/>
      <c r="E621" s="68"/>
      <c r="F621" s="58"/>
      <c r="G621" s="58"/>
      <c r="H621" s="211"/>
    </row>
    <row r="622" spans="2:8" ht="18" customHeight="1" x14ac:dyDescent="0.25">
      <c r="B622" s="67"/>
      <c r="C622" s="39"/>
      <c r="D622" s="68"/>
      <c r="E622" s="68"/>
      <c r="F622" s="58"/>
      <c r="G622" s="58"/>
      <c r="H622" s="211"/>
    </row>
    <row r="623" spans="2:8" ht="18" customHeight="1" x14ac:dyDescent="0.25">
      <c r="B623" s="245"/>
      <c r="C623" s="247"/>
      <c r="D623" s="248"/>
      <c r="E623" s="248"/>
      <c r="F623" s="249"/>
      <c r="G623" s="249"/>
      <c r="H623" s="250"/>
    </row>
    <row r="624" spans="2:8" ht="18" customHeight="1" x14ac:dyDescent="0.25">
      <c r="B624" s="245"/>
      <c r="C624" s="247"/>
      <c r="D624" s="248"/>
      <c r="E624" s="248"/>
      <c r="F624" s="249"/>
      <c r="G624" s="249"/>
      <c r="H624" s="250"/>
    </row>
    <row r="625" spans="2:8" ht="18" customHeight="1" x14ac:dyDescent="0.25">
      <c r="B625" s="245"/>
      <c r="C625" s="247"/>
      <c r="D625" s="248"/>
      <c r="E625" s="248"/>
      <c r="F625" s="249"/>
      <c r="G625" s="249"/>
      <c r="H625" s="250"/>
    </row>
    <row r="626" spans="2:8" ht="18" customHeight="1" x14ac:dyDescent="0.25">
      <c r="B626" s="67"/>
      <c r="C626" s="39"/>
      <c r="D626" s="68"/>
      <c r="E626" s="68"/>
      <c r="F626" s="58"/>
      <c r="G626" s="58"/>
      <c r="H626" s="211"/>
    </row>
    <row r="627" spans="2:8" ht="18" customHeight="1" x14ac:dyDescent="0.25">
      <c r="B627" s="245"/>
      <c r="C627" s="247"/>
      <c r="D627" s="248"/>
      <c r="E627" s="248"/>
      <c r="F627" s="249"/>
      <c r="G627" s="249"/>
      <c r="H627" s="250"/>
    </row>
    <row r="628" spans="2:8" ht="18" customHeight="1" x14ac:dyDescent="0.25">
      <c r="B628" s="245"/>
      <c r="C628" s="247"/>
      <c r="D628" s="248"/>
      <c r="E628" s="248"/>
      <c r="F628" s="249"/>
      <c r="G628" s="249"/>
      <c r="H628" s="250"/>
    </row>
    <row r="629" spans="2:8" ht="18" customHeight="1" x14ac:dyDescent="0.25">
      <c r="B629" s="245"/>
      <c r="C629" s="247"/>
      <c r="D629" s="248"/>
      <c r="E629" s="248"/>
      <c r="F629" s="249"/>
      <c r="G629" s="249"/>
      <c r="H629" s="250"/>
    </row>
    <row r="630" spans="2:8" ht="18" customHeight="1" x14ac:dyDescent="0.25">
      <c r="B630" s="245"/>
      <c r="C630" s="247"/>
      <c r="D630" s="248"/>
      <c r="E630" s="248"/>
      <c r="F630" s="249"/>
      <c r="G630" s="249"/>
      <c r="H630" s="250"/>
    </row>
    <row r="631" spans="2:8" ht="18" customHeight="1" x14ac:dyDescent="0.25">
      <c r="B631" s="212"/>
      <c r="C631" s="213"/>
      <c r="D631" s="108"/>
      <c r="E631" s="108"/>
      <c r="F631" s="214"/>
      <c r="G631" s="214"/>
      <c r="H631" s="215"/>
    </row>
    <row r="632" spans="2:8" ht="18" customHeight="1" x14ac:dyDescent="0.25">
      <c r="B632" s="245"/>
      <c r="C632" s="247"/>
      <c r="D632" s="248"/>
      <c r="E632" s="248"/>
      <c r="F632" s="249"/>
      <c r="G632" s="249"/>
      <c r="H632" s="250"/>
    </row>
    <row r="633" spans="2:8" ht="18" customHeight="1" x14ac:dyDescent="0.25">
      <c r="B633" s="245"/>
      <c r="C633" s="247"/>
      <c r="D633" s="248"/>
      <c r="E633" s="248"/>
      <c r="F633" s="249"/>
      <c r="G633" s="249"/>
      <c r="H633" s="250"/>
    </row>
    <row r="634" spans="2:8" ht="18" customHeight="1" x14ac:dyDescent="0.25">
      <c r="B634" s="212"/>
      <c r="C634" s="213"/>
      <c r="D634" s="108"/>
      <c r="E634" s="108"/>
      <c r="F634" s="214"/>
      <c r="G634" s="214"/>
      <c r="H634" s="215"/>
    </row>
    <row r="635" spans="2:8" ht="18" customHeight="1" x14ac:dyDescent="0.25">
      <c r="B635" s="245"/>
      <c r="C635" s="247"/>
      <c r="D635" s="248"/>
      <c r="E635" s="248"/>
      <c r="F635" s="249"/>
      <c r="G635" s="249"/>
      <c r="H635" s="250"/>
    </row>
    <row r="636" spans="2:8" ht="18" customHeight="1" x14ac:dyDescent="0.25">
      <c r="B636" s="67"/>
      <c r="C636" s="39"/>
      <c r="D636" s="68"/>
      <c r="E636" s="68"/>
      <c r="F636" s="58"/>
      <c r="G636" s="58"/>
      <c r="H636" s="211"/>
    </row>
    <row r="637" spans="2:8" ht="18" customHeight="1" x14ac:dyDescent="0.25">
      <c r="B637" s="67"/>
      <c r="C637" s="39"/>
      <c r="D637" s="68"/>
      <c r="E637" s="68"/>
      <c r="F637" s="58"/>
      <c r="G637" s="58"/>
      <c r="H637" s="211"/>
    </row>
    <row r="638" spans="2:8" ht="18" customHeight="1" x14ac:dyDescent="0.25">
      <c r="B638" s="245"/>
      <c r="C638" s="247"/>
      <c r="D638" s="248"/>
      <c r="E638" s="248"/>
      <c r="F638" s="249"/>
      <c r="G638" s="249"/>
      <c r="H638" s="250"/>
    </row>
    <row r="639" spans="2:8" ht="18" customHeight="1" x14ac:dyDescent="0.25">
      <c r="B639" s="245"/>
      <c r="C639" s="247"/>
      <c r="D639" s="248"/>
      <c r="E639" s="248"/>
      <c r="F639" s="249"/>
      <c r="G639" s="249"/>
      <c r="H639" s="250"/>
    </row>
    <row r="640" spans="2:8" ht="18" customHeight="1" x14ac:dyDescent="0.25">
      <c r="B640" s="67"/>
      <c r="C640" s="39"/>
      <c r="D640" s="68"/>
      <c r="E640" s="68"/>
      <c r="F640" s="58"/>
      <c r="G640" s="58"/>
      <c r="H640" s="211"/>
    </row>
    <row r="641" spans="2:8" ht="18" customHeight="1" x14ac:dyDescent="0.25">
      <c r="B641" s="245"/>
      <c r="C641" s="247"/>
      <c r="D641" s="248"/>
      <c r="E641" s="248"/>
      <c r="F641" s="249"/>
      <c r="G641" s="249"/>
      <c r="H641" s="250"/>
    </row>
    <row r="642" spans="2:8" ht="18" customHeight="1" x14ac:dyDescent="0.25">
      <c r="B642" s="245"/>
      <c r="C642" s="247"/>
      <c r="D642" s="248"/>
      <c r="E642" s="248"/>
      <c r="F642" s="249"/>
      <c r="G642" s="249"/>
      <c r="H642" s="250"/>
    </row>
    <row r="643" spans="2:8" ht="18" customHeight="1" x14ac:dyDescent="0.25">
      <c r="B643" s="245"/>
      <c r="C643" s="247"/>
      <c r="D643" s="248"/>
      <c r="E643" s="248"/>
      <c r="F643" s="249"/>
      <c r="G643" s="249"/>
      <c r="H643" s="250"/>
    </row>
    <row r="644" spans="2:8" ht="18" customHeight="1" x14ac:dyDescent="0.25">
      <c r="B644" s="245"/>
      <c r="C644" s="247"/>
      <c r="D644" s="248"/>
      <c r="E644" s="248"/>
      <c r="F644" s="249"/>
      <c r="G644" s="249"/>
      <c r="H644" s="250"/>
    </row>
    <row r="645" spans="2:8" ht="18" customHeight="1" x14ac:dyDescent="0.25">
      <c r="B645" s="67"/>
      <c r="C645" s="39"/>
      <c r="D645" s="68"/>
      <c r="E645" s="68"/>
      <c r="F645" s="58"/>
      <c r="G645" s="58"/>
      <c r="H645" s="211"/>
    </row>
    <row r="646" spans="2:8" ht="18" customHeight="1" x14ac:dyDescent="0.25">
      <c r="B646" s="245"/>
      <c r="C646" s="247"/>
      <c r="D646" s="248"/>
      <c r="E646" s="248"/>
      <c r="F646" s="249"/>
      <c r="G646" s="249"/>
      <c r="H646" s="250"/>
    </row>
    <row r="647" spans="2:8" ht="18" customHeight="1" x14ac:dyDescent="0.25">
      <c r="B647" s="67"/>
      <c r="C647" s="39"/>
      <c r="D647" s="68"/>
      <c r="E647" s="68"/>
      <c r="F647" s="58"/>
      <c r="G647" s="58"/>
      <c r="H647" s="211"/>
    </row>
    <row r="648" spans="2:8" ht="18" customHeight="1" x14ac:dyDescent="0.25">
      <c r="B648" s="67"/>
      <c r="C648" s="39"/>
      <c r="D648" s="68"/>
      <c r="E648" s="68"/>
      <c r="F648" s="58"/>
      <c r="G648" s="58"/>
      <c r="H648" s="211"/>
    </row>
    <row r="649" spans="2:8" ht="18" customHeight="1" x14ac:dyDescent="0.25">
      <c r="B649" s="245"/>
      <c r="C649" s="247"/>
      <c r="D649" s="248"/>
      <c r="E649" s="248"/>
      <c r="F649" s="249"/>
      <c r="G649" s="249"/>
      <c r="H649" s="250"/>
    </row>
    <row r="650" spans="2:8" ht="18" customHeight="1" x14ac:dyDescent="0.25">
      <c r="B650" s="67"/>
      <c r="C650" s="39"/>
      <c r="D650" s="68"/>
      <c r="E650" s="68"/>
      <c r="F650" s="58"/>
      <c r="G650" s="58"/>
      <c r="H650" s="211"/>
    </row>
    <row r="651" spans="2:8" ht="18" customHeight="1" x14ac:dyDescent="0.25">
      <c r="B651" s="245"/>
      <c r="C651" s="247"/>
      <c r="D651" s="248"/>
      <c r="E651" s="248"/>
      <c r="F651" s="249"/>
      <c r="G651" s="249"/>
      <c r="H651" s="250"/>
    </row>
    <row r="652" spans="2:8" ht="18" customHeight="1" x14ac:dyDescent="0.25">
      <c r="B652" s="67"/>
      <c r="C652" s="39"/>
      <c r="D652" s="68"/>
      <c r="E652" s="68"/>
      <c r="F652" s="58"/>
      <c r="G652" s="58"/>
      <c r="H652" s="211"/>
    </row>
    <row r="653" spans="2:8" ht="18" customHeight="1" x14ac:dyDescent="0.25">
      <c r="B653" s="67"/>
      <c r="C653" s="39"/>
      <c r="D653" s="68"/>
      <c r="E653" s="68"/>
      <c r="F653" s="58"/>
      <c r="G653" s="58"/>
      <c r="H653" s="211"/>
    </row>
    <row r="654" spans="2:8" ht="18" customHeight="1" x14ac:dyDescent="0.25">
      <c r="B654" s="245"/>
      <c r="C654" s="247"/>
      <c r="D654" s="248"/>
      <c r="E654" s="248"/>
      <c r="F654" s="249"/>
      <c r="G654" s="249"/>
      <c r="H654" s="250"/>
    </row>
    <row r="655" spans="2:8" ht="18" customHeight="1" x14ac:dyDescent="0.25">
      <c r="B655" s="245"/>
      <c r="C655" s="247"/>
      <c r="D655" s="248"/>
      <c r="E655" s="248"/>
      <c r="F655" s="249"/>
      <c r="G655" s="249"/>
      <c r="H655" s="250"/>
    </row>
    <row r="656" spans="2:8" ht="18" customHeight="1" x14ac:dyDescent="0.25">
      <c r="B656" s="67"/>
      <c r="C656" s="39"/>
      <c r="D656" s="68"/>
      <c r="E656" s="68"/>
      <c r="F656" s="58"/>
      <c r="G656" s="58"/>
      <c r="H656" s="211"/>
    </row>
    <row r="657" spans="2:8" ht="18" customHeight="1" x14ac:dyDescent="0.25">
      <c r="B657" s="67"/>
      <c r="C657" s="39"/>
      <c r="D657" s="68"/>
      <c r="E657" s="68"/>
      <c r="F657" s="58"/>
      <c r="G657" s="58"/>
      <c r="H657" s="211"/>
    </row>
    <row r="658" spans="2:8" ht="18" customHeight="1" x14ac:dyDescent="0.25">
      <c r="B658" s="67"/>
      <c r="C658" s="39"/>
      <c r="D658" s="68"/>
      <c r="E658" s="68"/>
      <c r="F658" s="58"/>
      <c r="G658" s="58"/>
      <c r="H658" s="211"/>
    </row>
    <row r="659" spans="2:8" ht="18" customHeight="1" x14ac:dyDescent="0.25">
      <c r="B659" s="245"/>
      <c r="C659" s="247"/>
      <c r="D659" s="248"/>
      <c r="E659" s="248"/>
      <c r="F659" s="249"/>
      <c r="G659" s="249"/>
      <c r="H659" s="250"/>
    </row>
    <row r="660" spans="2:8" ht="18" customHeight="1" x14ac:dyDescent="0.25">
      <c r="B660" s="245"/>
      <c r="C660" s="247"/>
      <c r="D660" s="248"/>
      <c r="E660" s="248"/>
      <c r="F660" s="249"/>
      <c r="G660" s="249"/>
      <c r="H660" s="250"/>
    </row>
    <row r="661" spans="2:8" ht="18" customHeight="1" x14ac:dyDescent="0.25">
      <c r="B661" s="245"/>
      <c r="C661" s="247"/>
      <c r="D661" s="248"/>
      <c r="E661" s="248"/>
      <c r="F661" s="249"/>
      <c r="G661" s="249"/>
      <c r="H661" s="250"/>
    </row>
    <row r="662" spans="2:8" ht="18" customHeight="1" x14ac:dyDescent="0.25">
      <c r="B662" s="245"/>
      <c r="C662" s="247"/>
      <c r="D662" s="248"/>
      <c r="E662" s="248"/>
      <c r="F662" s="249"/>
      <c r="G662" s="249"/>
      <c r="H662" s="250"/>
    </row>
    <row r="663" spans="2:8" ht="18" customHeight="1" x14ac:dyDescent="0.25">
      <c r="B663" s="245"/>
      <c r="C663" s="247"/>
      <c r="D663" s="248"/>
      <c r="E663" s="248"/>
      <c r="F663" s="249"/>
      <c r="G663" s="249"/>
      <c r="H663" s="250"/>
    </row>
    <row r="664" spans="2:8" ht="18" customHeight="1" x14ac:dyDescent="0.25">
      <c r="B664" s="245"/>
      <c r="C664" s="246"/>
      <c r="D664" s="248"/>
      <c r="E664" s="248"/>
      <c r="F664" s="249"/>
      <c r="G664" s="249"/>
      <c r="H664" s="250"/>
    </row>
    <row r="665" spans="2:8" ht="18" customHeight="1" x14ac:dyDescent="0.25">
      <c r="B665" s="245"/>
      <c r="C665" s="247"/>
      <c r="D665" s="248"/>
      <c r="E665" s="248"/>
      <c r="F665" s="249"/>
      <c r="G665" s="249"/>
      <c r="H665" s="250"/>
    </row>
    <row r="666" spans="2:8" ht="18" customHeight="1" x14ac:dyDescent="0.25">
      <c r="B666" s="245"/>
      <c r="C666" s="247"/>
      <c r="D666" s="248"/>
      <c r="E666" s="248"/>
      <c r="F666" s="249"/>
      <c r="G666" s="249"/>
      <c r="H666" s="250"/>
    </row>
    <row r="667" spans="2:8" ht="18" customHeight="1" x14ac:dyDescent="0.25">
      <c r="B667" s="245"/>
      <c r="C667" s="247"/>
      <c r="D667" s="248"/>
      <c r="E667" s="248"/>
      <c r="F667" s="249"/>
      <c r="G667" s="249"/>
      <c r="H667" s="250"/>
    </row>
    <row r="668" spans="2:8" ht="18" customHeight="1" x14ac:dyDescent="0.25">
      <c r="B668" s="67"/>
      <c r="C668" s="39"/>
      <c r="D668" s="68"/>
      <c r="E668" s="68"/>
      <c r="F668" s="58"/>
      <c r="G668" s="58"/>
      <c r="H668" s="211"/>
    </row>
    <row r="669" spans="2:8" ht="18" customHeight="1" x14ac:dyDescent="0.25">
      <c r="B669" s="245"/>
      <c r="C669" s="247"/>
      <c r="D669" s="248"/>
      <c r="E669" s="248"/>
      <c r="F669" s="249"/>
      <c r="G669" s="249"/>
      <c r="H669" s="250"/>
    </row>
    <row r="670" spans="2:8" ht="18" customHeight="1" x14ac:dyDescent="0.25">
      <c r="B670" s="212"/>
      <c r="C670" s="213"/>
      <c r="D670" s="108"/>
      <c r="E670" s="108"/>
      <c r="F670" s="214"/>
      <c r="G670" s="214"/>
      <c r="H670" s="215"/>
    </row>
    <row r="671" spans="2:8" ht="18" customHeight="1" x14ac:dyDescent="0.25">
      <c r="B671" s="67"/>
      <c r="C671" s="39"/>
      <c r="D671" s="68"/>
      <c r="E671" s="68"/>
      <c r="F671" s="58"/>
      <c r="G671" s="58"/>
      <c r="H671" s="211"/>
    </row>
    <row r="672" spans="2:8" ht="18" customHeight="1" x14ac:dyDescent="0.25">
      <c r="B672" s="67"/>
      <c r="C672" s="39"/>
      <c r="D672" s="68"/>
      <c r="E672" s="68"/>
      <c r="F672" s="58"/>
      <c r="G672" s="58"/>
      <c r="H672" s="211"/>
    </row>
    <row r="673" spans="2:8" ht="18" customHeight="1" x14ac:dyDescent="0.25">
      <c r="B673" s="67"/>
      <c r="C673" s="39"/>
      <c r="D673" s="68"/>
      <c r="E673" s="68"/>
      <c r="F673" s="58"/>
      <c r="G673" s="58"/>
      <c r="H673" s="211"/>
    </row>
    <row r="674" spans="2:8" ht="18" customHeight="1" x14ac:dyDescent="0.25">
      <c r="B674" s="67"/>
      <c r="C674" s="39"/>
      <c r="D674" s="68"/>
      <c r="E674" s="68"/>
      <c r="F674" s="58"/>
      <c r="G674" s="58"/>
      <c r="H674" s="211"/>
    </row>
    <row r="675" spans="2:8" ht="18" customHeight="1" x14ac:dyDescent="0.25">
      <c r="B675" s="67"/>
      <c r="C675" s="39"/>
      <c r="D675" s="68"/>
      <c r="E675" s="68"/>
      <c r="F675" s="58"/>
      <c r="G675" s="58"/>
      <c r="H675" s="211"/>
    </row>
    <row r="676" spans="2:8" ht="18" customHeight="1" x14ac:dyDescent="0.25">
      <c r="B676" s="67"/>
      <c r="C676" s="39"/>
      <c r="D676" s="68"/>
      <c r="E676" s="68"/>
      <c r="F676" s="58"/>
      <c r="G676" s="58"/>
      <c r="H676" s="211"/>
    </row>
    <row r="677" spans="2:8" ht="18" customHeight="1" x14ac:dyDescent="0.25">
      <c r="B677" s="245"/>
      <c r="C677" s="247"/>
      <c r="D677" s="248"/>
      <c r="E677" s="248"/>
      <c r="F677" s="249"/>
      <c r="G677" s="249"/>
      <c r="H677" s="250"/>
    </row>
    <row r="678" spans="2:8" ht="18" customHeight="1" x14ac:dyDescent="0.25">
      <c r="B678" s="67"/>
      <c r="C678" s="39"/>
      <c r="D678" s="68"/>
      <c r="E678" s="68"/>
      <c r="F678" s="58"/>
      <c r="G678" s="58"/>
      <c r="H678" s="211"/>
    </row>
    <row r="679" spans="2:8" ht="18" customHeight="1" x14ac:dyDescent="0.25">
      <c r="B679" s="67"/>
      <c r="C679" s="39"/>
      <c r="D679" s="68"/>
      <c r="E679" s="68"/>
      <c r="F679" s="58"/>
      <c r="G679" s="58"/>
      <c r="H679" s="211"/>
    </row>
    <row r="680" spans="2:8" ht="18" customHeight="1" x14ac:dyDescent="0.25">
      <c r="B680" s="212"/>
      <c r="C680" s="213"/>
      <c r="D680" s="108"/>
      <c r="E680" s="108"/>
      <c r="F680" s="214"/>
      <c r="G680" s="214"/>
      <c r="H680" s="215"/>
    </row>
    <row r="681" spans="2:8" ht="18" customHeight="1" x14ac:dyDescent="0.25">
      <c r="B681" s="67"/>
      <c r="C681" s="39"/>
      <c r="D681" s="68"/>
      <c r="E681" s="68"/>
      <c r="F681" s="58"/>
      <c r="G681" s="58"/>
      <c r="H681" s="211"/>
    </row>
    <row r="682" spans="2:8" ht="18" customHeight="1" x14ac:dyDescent="0.25">
      <c r="B682" s="245"/>
      <c r="C682" s="247"/>
      <c r="D682" s="248"/>
      <c r="E682" s="248"/>
      <c r="F682" s="249"/>
      <c r="G682" s="249"/>
      <c r="H682" s="250"/>
    </row>
    <row r="683" spans="2:8" ht="18" customHeight="1" x14ac:dyDescent="0.25">
      <c r="B683" s="67"/>
      <c r="C683" s="39"/>
      <c r="D683" s="68"/>
      <c r="E683" s="68"/>
      <c r="F683" s="58"/>
      <c r="G683" s="58"/>
      <c r="H683" s="211"/>
    </row>
    <row r="684" spans="2:8" ht="18" customHeight="1" x14ac:dyDescent="0.25">
      <c r="B684" s="212"/>
      <c r="C684" s="213"/>
      <c r="D684" s="108"/>
      <c r="E684" s="108"/>
      <c r="F684" s="214"/>
      <c r="G684" s="214"/>
      <c r="H684" s="215"/>
    </row>
    <row r="685" spans="2:8" ht="18" customHeight="1" x14ac:dyDescent="0.25">
      <c r="B685" s="67"/>
      <c r="C685" s="39"/>
      <c r="D685" s="68"/>
      <c r="E685" s="68"/>
      <c r="F685" s="58"/>
      <c r="G685" s="58"/>
      <c r="H685" s="211"/>
    </row>
    <row r="686" spans="2:8" ht="18" customHeight="1" x14ac:dyDescent="0.25">
      <c r="B686" s="245"/>
      <c r="C686" s="247"/>
      <c r="D686" s="248"/>
      <c r="E686" s="248"/>
      <c r="F686" s="249"/>
      <c r="G686" s="249"/>
      <c r="H686" s="250"/>
    </row>
    <row r="687" spans="2:8" ht="18" customHeight="1" x14ac:dyDescent="0.25">
      <c r="B687" s="67"/>
      <c r="C687" s="39"/>
      <c r="D687" s="68"/>
      <c r="E687" s="68"/>
      <c r="F687" s="58"/>
      <c r="G687" s="58"/>
      <c r="H687" s="211"/>
    </row>
    <row r="688" spans="2:8" ht="18" customHeight="1" x14ac:dyDescent="0.25">
      <c r="B688" s="67"/>
      <c r="C688" s="39"/>
      <c r="D688" s="68"/>
      <c r="E688" s="68"/>
      <c r="F688" s="58"/>
      <c r="G688" s="58"/>
      <c r="H688" s="211"/>
    </row>
    <row r="689" spans="2:8" ht="18" customHeight="1" x14ac:dyDescent="0.25">
      <c r="B689" s="67"/>
      <c r="C689" s="39"/>
      <c r="D689" s="68"/>
      <c r="E689" s="68"/>
      <c r="F689" s="58"/>
      <c r="G689" s="58"/>
      <c r="H689" s="211"/>
    </row>
    <row r="690" spans="2:8" ht="18" customHeight="1" x14ac:dyDescent="0.25">
      <c r="B690" s="67"/>
      <c r="C690" s="39"/>
      <c r="D690" s="68"/>
      <c r="E690" s="68"/>
      <c r="F690" s="58"/>
      <c r="G690" s="58"/>
      <c r="H690" s="211"/>
    </row>
    <row r="691" spans="2:8" ht="18" customHeight="1" x14ac:dyDescent="0.25">
      <c r="B691" s="212"/>
      <c r="C691" s="213"/>
      <c r="D691" s="108"/>
      <c r="E691" s="108"/>
      <c r="F691" s="214"/>
      <c r="G691" s="214"/>
      <c r="H691" s="215"/>
    </row>
    <row r="692" spans="2:8" ht="18" customHeight="1" x14ac:dyDescent="0.25">
      <c r="B692" s="67"/>
      <c r="C692" s="39"/>
      <c r="D692" s="68"/>
      <c r="E692" s="68"/>
      <c r="F692" s="58"/>
      <c r="G692" s="58"/>
      <c r="H692" s="211"/>
    </row>
    <row r="693" spans="2:8" ht="18" customHeight="1" x14ac:dyDescent="0.25">
      <c r="B693" s="67"/>
      <c r="C693" s="39"/>
      <c r="D693" s="68"/>
      <c r="E693" s="68"/>
      <c r="F693" s="58"/>
      <c r="G693" s="58"/>
      <c r="H693" s="211"/>
    </row>
    <row r="694" spans="2:8" ht="18" customHeight="1" x14ac:dyDescent="0.25">
      <c r="B694" s="67"/>
      <c r="C694" s="39"/>
      <c r="D694" s="68"/>
      <c r="E694" s="68"/>
      <c r="F694" s="58"/>
      <c r="G694" s="58"/>
      <c r="H694" s="211"/>
    </row>
    <row r="695" spans="2:8" ht="18" customHeight="1" x14ac:dyDescent="0.25">
      <c r="B695" s="67"/>
      <c r="C695" s="39"/>
      <c r="D695" s="68"/>
      <c r="E695" s="68"/>
      <c r="F695" s="58"/>
      <c r="G695" s="58"/>
      <c r="H695" s="211"/>
    </row>
    <row r="696" spans="2:8" ht="18" customHeight="1" x14ac:dyDescent="0.25">
      <c r="B696" s="245"/>
      <c r="C696" s="247"/>
      <c r="D696" s="248"/>
      <c r="E696" s="248"/>
      <c r="F696" s="249"/>
      <c r="G696" s="249"/>
      <c r="H696" s="250"/>
    </row>
    <row r="697" spans="2:8" ht="18" customHeight="1" x14ac:dyDescent="0.25">
      <c r="B697" s="67"/>
      <c r="C697" s="39"/>
      <c r="D697" s="68"/>
      <c r="E697" s="68"/>
      <c r="F697" s="58"/>
      <c r="G697" s="58"/>
      <c r="H697" s="211"/>
    </row>
    <row r="698" spans="2:8" ht="18" customHeight="1" x14ac:dyDescent="0.25">
      <c r="B698" s="67"/>
      <c r="C698" s="39"/>
      <c r="D698" s="68"/>
      <c r="E698" s="68"/>
      <c r="F698" s="58"/>
      <c r="G698" s="58"/>
      <c r="H698" s="211"/>
    </row>
    <row r="699" spans="2:8" ht="18" customHeight="1" x14ac:dyDescent="0.25">
      <c r="B699" s="67"/>
      <c r="C699" s="39"/>
      <c r="D699" s="68"/>
      <c r="E699" s="68"/>
      <c r="F699" s="58"/>
      <c r="G699" s="58"/>
      <c r="H699" s="211"/>
    </row>
    <row r="700" spans="2:8" ht="18" customHeight="1" x14ac:dyDescent="0.25">
      <c r="B700" s="67"/>
      <c r="C700" s="39"/>
      <c r="D700" s="68"/>
      <c r="E700" s="68"/>
      <c r="F700" s="58"/>
      <c r="G700" s="58"/>
      <c r="H700" s="211"/>
    </row>
    <row r="701" spans="2:8" ht="18" customHeight="1" x14ac:dyDescent="0.25">
      <c r="B701" s="67"/>
      <c r="C701" s="39"/>
      <c r="D701" s="68"/>
      <c r="E701" s="68"/>
      <c r="F701" s="58"/>
      <c r="G701" s="58"/>
      <c r="H701" s="211"/>
    </row>
    <row r="702" spans="2:8" ht="18" customHeight="1" x14ac:dyDescent="0.25">
      <c r="B702" s="67"/>
      <c r="C702" s="39"/>
      <c r="D702" s="68"/>
      <c r="E702" s="68"/>
      <c r="F702" s="58"/>
      <c r="G702" s="58"/>
      <c r="H702" s="211"/>
    </row>
    <row r="703" spans="2:8" ht="18" customHeight="1" x14ac:dyDescent="0.25">
      <c r="B703" s="67"/>
      <c r="C703" s="39"/>
      <c r="D703" s="68"/>
      <c r="E703" s="68"/>
      <c r="F703" s="58"/>
      <c r="G703" s="58"/>
      <c r="H703" s="211"/>
    </row>
    <row r="704" spans="2:8" ht="18" customHeight="1" x14ac:dyDescent="0.25">
      <c r="B704" s="67"/>
      <c r="C704" s="39"/>
      <c r="D704" s="68"/>
      <c r="E704" s="68"/>
      <c r="F704" s="58"/>
      <c r="G704" s="58"/>
      <c r="H704" s="211"/>
    </row>
    <row r="705" spans="2:8" ht="18" customHeight="1" x14ac:dyDescent="0.25">
      <c r="B705" s="245"/>
      <c r="C705" s="247"/>
      <c r="D705" s="248"/>
      <c r="E705" s="248"/>
      <c r="F705" s="249"/>
      <c r="G705" s="249"/>
      <c r="H705" s="250"/>
    </row>
    <row r="706" spans="2:8" ht="18" customHeight="1" x14ac:dyDescent="0.25">
      <c r="B706" s="67"/>
      <c r="C706" s="39"/>
      <c r="D706" s="68"/>
      <c r="E706" s="68"/>
      <c r="F706" s="58"/>
      <c r="G706" s="58"/>
      <c r="H706" s="211"/>
    </row>
    <row r="707" spans="2:8" ht="18" customHeight="1" x14ac:dyDescent="0.25">
      <c r="B707" s="67"/>
      <c r="C707" s="39"/>
      <c r="D707" s="68"/>
      <c r="E707" s="68"/>
      <c r="F707" s="58"/>
      <c r="G707" s="58"/>
      <c r="H707" s="211"/>
    </row>
    <row r="708" spans="2:8" ht="18" customHeight="1" x14ac:dyDescent="0.25">
      <c r="B708" s="67"/>
      <c r="C708" s="39"/>
      <c r="D708" s="68"/>
      <c r="E708" s="68"/>
      <c r="F708" s="58"/>
      <c r="G708" s="58"/>
      <c r="H708" s="211"/>
    </row>
    <row r="709" spans="2:8" ht="18" customHeight="1" x14ac:dyDescent="0.25">
      <c r="B709" s="67"/>
      <c r="C709" s="39"/>
      <c r="D709" s="68"/>
      <c r="E709" s="68"/>
      <c r="F709" s="58"/>
      <c r="G709" s="58"/>
      <c r="H709" s="211"/>
    </row>
    <row r="710" spans="2:8" ht="18" customHeight="1" x14ac:dyDescent="0.25">
      <c r="B710" s="67"/>
      <c r="C710" s="39"/>
      <c r="D710" s="68"/>
      <c r="E710" s="68"/>
      <c r="F710" s="58"/>
      <c r="G710" s="58"/>
      <c r="H710" s="211"/>
    </row>
    <row r="711" spans="2:8" ht="18" customHeight="1" x14ac:dyDescent="0.25">
      <c r="B711" s="245"/>
      <c r="C711" s="247"/>
      <c r="D711" s="248"/>
      <c r="E711" s="248"/>
      <c r="F711" s="249"/>
      <c r="G711" s="249"/>
      <c r="H711" s="250"/>
    </row>
    <row r="712" spans="2:8" ht="18" customHeight="1" x14ac:dyDescent="0.25">
      <c r="B712" s="67"/>
      <c r="C712" s="39"/>
      <c r="D712" s="68"/>
      <c r="E712" s="68"/>
      <c r="F712" s="58"/>
      <c r="G712" s="58"/>
      <c r="H712" s="211"/>
    </row>
    <row r="713" spans="2:8" ht="18" customHeight="1" x14ac:dyDescent="0.25">
      <c r="B713" s="245"/>
      <c r="C713" s="247"/>
      <c r="D713" s="248"/>
      <c r="E713" s="248"/>
      <c r="F713" s="249"/>
      <c r="G713" s="249"/>
      <c r="H713" s="250"/>
    </row>
    <row r="714" spans="2:8" ht="18" customHeight="1" x14ac:dyDescent="0.25">
      <c r="B714" s="67"/>
      <c r="C714" s="39"/>
      <c r="D714" s="68"/>
      <c r="E714" s="68"/>
      <c r="F714" s="58"/>
      <c r="G714" s="58"/>
      <c r="H714" s="211"/>
    </row>
    <row r="715" spans="2:8" ht="18" customHeight="1" x14ac:dyDescent="0.25">
      <c r="B715" s="67"/>
      <c r="C715" s="39"/>
      <c r="D715" s="68"/>
      <c r="E715" s="68"/>
      <c r="F715" s="58"/>
      <c r="G715" s="58"/>
      <c r="H715" s="211"/>
    </row>
    <row r="716" spans="2:8" ht="18" customHeight="1" x14ac:dyDescent="0.25">
      <c r="B716" s="212"/>
      <c r="C716" s="213"/>
      <c r="D716" s="108"/>
      <c r="E716" s="108"/>
      <c r="F716" s="214"/>
      <c r="G716" s="214"/>
      <c r="H716" s="215"/>
    </row>
    <row r="717" spans="2:8" ht="18" customHeight="1" x14ac:dyDescent="0.25">
      <c r="B717" s="245"/>
      <c r="C717" s="247"/>
      <c r="D717" s="248"/>
      <c r="E717" s="248"/>
      <c r="F717" s="249"/>
      <c r="G717" s="249"/>
      <c r="H717" s="250"/>
    </row>
    <row r="718" spans="2:8" ht="18" customHeight="1" x14ac:dyDescent="0.25">
      <c r="B718" s="67"/>
      <c r="C718" s="39"/>
      <c r="D718" s="68"/>
      <c r="E718" s="68"/>
      <c r="F718" s="58"/>
      <c r="G718" s="58"/>
      <c r="H718" s="211"/>
    </row>
    <row r="719" spans="2:8" ht="18" customHeight="1" x14ac:dyDescent="0.25">
      <c r="B719" s="67"/>
      <c r="C719" s="39"/>
      <c r="D719" s="68"/>
      <c r="E719" s="68"/>
      <c r="F719" s="58"/>
      <c r="G719" s="58"/>
      <c r="H719" s="211"/>
    </row>
    <row r="720" spans="2:8" ht="18" customHeight="1" x14ac:dyDescent="0.25">
      <c r="B720" s="67"/>
      <c r="C720" s="39"/>
      <c r="D720" s="68"/>
      <c r="E720" s="68"/>
      <c r="F720" s="58"/>
      <c r="G720" s="58"/>
      <c r="H720" s="211"/>
    </row>
    <row r="721" spans="2:8" ht="18" customHeight="1" x14ac:dyDescent="0.25">
      <c r="B721" s="67"/>
      <c r="C721" s="39"/>
      <c r="D721" s="68"/>
      <c r="E721" s="68"/>
      <c r="F721" s="58"/>
      <c r="G721" s="58"/>
      <c r="H721" s="211"/>
    </row>
    <row r="722" spans="2:8" ht="18" customHeight="1" x14ac:dyDescent="0.25">
      <c r="B722" s="67"/>
      <c r="C722" s="39"/>
      <c r="D722" s="68"/>
      <c r="E722" s="68"/>
      <c r="F722" s="58"/>
      <c r="G722" s="58"/>
      <c r="H722" s="211"/>
    </row>
    <row r="723" spans="2:8" ht="18" customHeight="1" x14ac:dyDescent="0.25">
      <c r="B723" s="245"/>
      <c r="C723" s="247"/>
      <c r="D723" s="248"/>
      <c r="E723" s="248"/>
      <c r="F723" s="249"/>
      <c r="G723" s="249"/>
      <c r="H723" s="250"/>
    </row>
    <row r="724" spans="2:8" ht="18" customHeight="1" x14ac:dyDescent="0.25">
      <c r="B724" s="67"/>
      <c r="C724" s="39"/>
      <c r="D724" s="68"/>
      <c r="E724" s="68"/>
      <c r="F724" s="58"/>
      <c r="G724" s="58"/>
      <c r="H724" s="211"/>
    </row>
    <row r="725" spans="2:8" ht="18" customHeight="1" x14ac:dyDescent="0.25">
      <c r="B725" s="67"/>
      <c r="C725" s="39"/>
      <c r="D725" s="68"/>
      <c r="E725" s="68"/>
      <c r="F725" s="58"/>
      <c r="G725" s="58"/>
      <c r="H725" s="211"/>
    </row>
    <row r="726" spans="2:8" ht="18" customHeight="1" x14ac:dyDescent="0.25">
      <c r="B726" s="67"/>
      <c r="C726" s="39"/>
      <c r="D726" s="68"/>
      <c r="E726" s="68"/>
      <c r="F726" s="58"/>
      <c r="G726" s="58"/>
      <c r="H726" s="211"/>
    </row>
    <row r="727" spans="2:8" ht="18" customHeight="1" x14ac:dyDescent="0.25">
      <c r="B727" s="245"/>
      <c r="C727" s="247"/>
      <c r="D727" s="248"/>
      <c r="E727" s="248"/>
      <c r="F727" s="249"/>
      <c r="G727" s="249"/>
      <c r="H727" s="250"/>
    </row>
    <row r="728" spans="2:8" ht="18" customHeight="1" x14ac:dyDescent="0.25">
      <c r="B728" s="245"/>
      <c r="C728" s="247"/>
      <c r="D728" s="248"/>
      <c r="E728" s="248"/>
      <c r="F728" s="249"/>
      <c r="G728" s="249"/>
      <c r="H728" s="250"/>
    </row>
    <row r="729" spans="2:8" ht="18" customHeight="1" x14ac:dyDescent="0.25">
      <c r="B729" s="245"/>
      <c r="C729" s="247"/>
      <c r="D729" s="248"/>
      <c r="E729" s="248"/>
      <c r="F729" s="249"/>
      <c r="G729" s="249"/>
      <c r="H729" s="250"/>
    </row>
    <row r="730" spans="2:8" ht="18" customHeight="1" x14ac:dyDescent="0.25">
      <c r="B730" s="67"/>
      <c r="C730" s="39"/>
      <c r="D730" s="68"/>
      <c r="E730" s="68"/>
      <c r="F730" s="58"/>
      <c r="G730" s="58"/>
      <c r="H730" s="211"/>
    </row>
    <row r="731" spans="2:8" ht="18" customHeight="1" x14ac:dyDescent="0.25">
      <c r="B731" s="212"/>
      <c r="C731" s="213"/>
      <c r="D731" s="108"/>
      <c r="E731" s="108"/>
      <c r="F731" s="214"/>
      <c r="G731" s="214"/>
      <c r="H731" s="215"/>
    </row>
    <row r="732" spans="2:8" ht="18" customHeight="1" x14ac:dyDescent="0.25">
      <c r="B732" s="245"/>
      <c r="C732" s="247"/>
      <c r="D732" s="248"/>
      <c r="E732" s="248"/>
      <c r="F732" s="249"/>
      <c r="G732" s="249"/>
      <c r="H732" s="250"/>
    </row>
    <row r="733" spans="2:8" ht="18" customHeight="1" x14ac:dyDescent="0.25">
      <c r="B733" s="67"/>
      <c r="C733" s="39"/>
      <c r="D733" s="68"/>
      <c r="E733" s="68"/>
      <c r="F733" s="58"/>
      <c r="G733" s="58"/>
      <c r="H733" s="211"/>
    </row>
    <row r="734" spans="2:8" ht="18" customHeight="1" x14ac:dyDescent="0.25">
      <c r="B734" s="67"/>
      <c r="C734" s="39"/>
      <c r="D734" s="68"/>
      <c r="E734" s="68"/>
      <c r="F734" s="58"/>
      <c r="G734" s="58"/>
      <c r="H734" s="211"/>
    </row>
    <row r="735" spans="2:8" ht="18" customHeight="1" x14ac:dyDescent="0.25">
      <c r="B735" s="67"/>
      <c r="C735" s="39"/>
      <c r="D735" s="68"/>
      <c r="E735" s="68"/>
      <c r="F735" s="58"/>
      <c r="G735" s="58"/>
      <c r="H735" s="211"/>
    </row>
    <row r="736" spans="2:8" ht="18" customHeight="1" x14ac:dyDescent="0.25">
      <c r="B736" s="245"/>
      <c r="C736" s="247"/>
      <c r="D736" s="248"/>
      <c r="E736" s="248"/>
      <c r="F736" s="249"/>
      <c r="G736" s="249"/>
      <c r="H736" s="250"/>
    </row>
    <row r="737" spans="2:8" ht="18" customHeight="1" x14ac:dyDescent="0.25">
      <c r="B737" s="245"/>
      <c r="C737" s="247"/>
      <c r="D737" s="248"/>
      <c r="E737" s="248"/>
      <c r="F737" s="249"/>
      <c r="G737" s="249"/>
      <c r="H737" s="250"/>
    </row>
    <row r="738" spans="2:8" ht="18" customHeight="1" x14ac:dyDescent="0.25">
      <c r="B738" s="245"/>
      <c r="C738" s="247"/>
      <c r="D738" s="248"/>
      <c r="E738" s="248"/>
      <c r="F738" s="249"/>
      <c r="G738" s="249"/>
      <c r="H738" s="250"/>
    </row>
    <row r="739" spans="2:8" ht="18" customHeight="1" x14ac:dyDescent="0.25">
      <c r="B739" s="67"/>
      <c r="C739" s="39"/>
      <c r="D739" s="68"/>
      <c r="E739" s="68"/>
      <c r="F739" s="58"/>
      <c r="G739" s="58"/>
      <c r="H739" s="211"/>
    </row>
    <row r="740" spans="2:8" ht="18" customHeight="1" x14ac:dyDescent="0.25">
      <c r="B740" s="245"/>
      <c r="C740" s="247"/>
      <c r="D740" s="248"/>
      <c r="E740" s="248"/>
      <c r="F740" s="249"/>
      <c r="G740" s="249"/>
      <c r="H740" s="250"/>
    </row>
    <row r="741" spans="2:8" ht="18" customHeight="1" x14ac:dyDescent="0.25">
      <c r="B741" s="245"/>
      <c r="C741" s="247"/>
      <c r="D741" s="248"/>
      <c r="E741" s="248"/>
      <c r="F741" s="249"/>
      <c r="G741" s="249"/>
      <c r="H741" s="250"/>
    </row>
    <row r="742" spans="2:8" ht="18" customHeight="1" x14ac:dyDescent="0.25">
      <c r="B742" s="212"/>
      <c r="C742" s="213"/>
      <c r="D742" s="108"/>
      <c r="E742" s="108"/>
      <c r="F742" s="214"/>
      <c r="G742" s="214"/>
      <c r="H742" s="215"/>
    </row>
    <row r="743" spans="2:8" ht="18" customHeight="1" x14ac:dyDescent="0.25">
      <c r="B743" s="67"/>
      <c r="C743" s="39"/>
      <c r="D743" s="68"/>
      <c r="E743" s="68"/>
      <c r="F743" s="58"/>
      <c r="G743" s="58"/>
      <c r="H743" s="211"/>
    </row>
    <row r="744" spans="2:8" ht="18" customHeight="1" x14ac:dyDescent="0.25">
      <c r="B744" s="67"/>
      <c r="C744" s="39"/>
      <c r="D744" s="68"/>
      <c r="E744" s="68"/>
      <c r="F744" s="58"/>
      <c r="G744" s="58"/>
      <c r="H744" s="211"/>
    </row>
    <row r="745" spans="2:8" ht="18" customHeight="1" x14ac:dyDescent="0.25">
      <c r="B745" s="67"/>
      <c r="C745" s="39"/>
      <c r="D745" s="68"/>
      <c r="E745" s="68"/>
      <c r="F745" s="58"/>
      <c r="G745" s="58"/>
      <c r="H745" s="211"/>
    </row>
    <row r="746" spans="2:8" ht="18" customHeight="1" x14ac:dyDescent="0.25">
      <c r="B746" s="67"/>
      <c r="C746" s="39"/>
      <c r="D746" s="68"/>
      <c r="E746" s="68"/>
      <c r="F746" s="58"/>
      <c r="G746" s="58"/>
      <c r="H746" s="211"/>
    </row>
    <row r="747" spans="2:8" ht="18" customHeight="1" x14ac:dyDescent="0.25">
      <c r="B747" s="245"/>
      <c r="C747" s="247"/>
      <c r="D747" s="248"/>
      <c r="E747" s="248"/>
      <c r="F747" s="249"/>
      <c r="G747" s="249"/>
      <c r="H747" s="250"/>
    </row>
    <row r="748" spans="2:8" ht="18" customHeight="1" x14ac:dyDescent="0.25">
      <c r="B748" s="67"/>
      <c r="C748" s="39"/>
      <c r="D748" s="68"/>
      <c r="E748" s="68"/>
      <c r="F748" s="58"/>
      <c r="G748" s="58"/>
      <c r="H748" s="211"/>
    </row>
    <row r="749" spans="2:8" ht="18" customHeight="1" x14ac:dyDescent="0.25">
      <c r="B749" s="245"/>
      <c r="C749" s="247"/>
      <c r="D749" s="248"/>
      <c r="E749" s="248"/>
      <c r="F749" s="249"/>
      <c r="G749" s="249"/>
      <c r="H749" s="250"/>
    </row>
    <row r="750" spans="2:8" ht="18" customHeight="1" x14ac:dyDescent="0.25">
      <c r="B750" s="212"/>
      <c r="C750" s="213"/>
      <c r="D750" s="108"/>
      <c r="E750" s="108"/>
      <c r="F750" s="214"/>
      <c r="G750" s="214"/>
      <c r="H750" s="215"/>
    </row>
    <row r="751" spans="2:8" ht="18" customHeight="1" x14ac:dyDescent="0.25">
      <c r="B751" s="67"/>
      <c r="C751" s="39"/>
      <c r="D751" s="68"/>
      <c r="E751" s="68"/>
      <c r="F751" s="58"/>
      <c r="G751" s="58"/>
      <c r="H751" s="211"/>
    </row>
    <row r="752" spans="2:8" ht="18" customHeight="1" x14ac:dyDescent="0.25">
      <c r="B752" s="212"/>
      <c r="C752" s="213"/>
      <c r="D752" s="108"/>
      <c r="E752" s="108"/>
      <c r="F752" s="214"/>
      <c r="G752" s="214"/>
      <c r="H752" s="215"/>
    </row>
    <row r="753" spans="2:8" ht="18" customHeight="1" x14ac:dyDescent="0.25">
      <c r="B753" s="67"/>
      <c r="C753" s="39"/>
      <c r="D753" s="68"/>
      <c r="E753" s="68"/>
      <c r="F753" s="58"/>
      <c r="G753" s="58"/>
      <c r="H753" s="211"/>
    </row>
    <row r="754" spans="2:8" ht="18" customHeight="1" x14ac:dyDescent="0.25">
      <c r="B754" s="245"/>
      <c r="C754" s="247"/>
      <c r="D754" s="248"/>
      <c r="E754" s="248"/>
      <c r="F754" s="249"/>
      <c r="G754" s="249"/>
      <c r="H754" s="250"/>
    </row>
    <row r="755" spans="2:8" ht="18" customHeight="1" x14ac:dyDescent="0.25">
      <c r="B755" s="67"/>
      <c r="C755" s="39"/>
      <c r="D755" s="68"/>
      <c r="E755" s="68"/>
      <c r="F755" s="58"/>
      <c r="G755" s="58"/>
      <c r="H755" s="211"/>
    </row>
    <row r="756" spans="2:8" ht="18" customHeight="1" x14ac:dyDescent="0.25">
      <c r="B756" s="67"/>
      <c r="C756" s="39"/>
      <c r="D756" s="68"/>
      <c r="E756" s="68"/>
      <c r="F756" s="58"/>
      <c r="G756" s="58"/>
      <c r="H756" s="211"/>
    </row>
    <row r="757" spans="2:8" ht="18" customHeight="1" x14ac:dyDescent="0.25">
      <c r="B757" s="67"/>
      <c r="C757" s="39"/>
      <c r="D757" s="68"/>
      <c r="E757" s="68"/>
      <c r="F757" s="58"/>
      <c r="G757" s="58"/>
      <c r="H757" s="211"/>
    </row>
    <row r="758" spans="2:8" ht="18" customHeight="1" x14ac:dyDescent="0.25">
      <c r="B758" s="67"/>
      <c r="C758" s="39"/>
      <c r="D758" s="68"/>
      <c r="E758" s="68"/>
      <c r="F758" s="58"/>
      <c r="G758" s="58"/>
      <c r="H758" s="211"/>
    </row>
    <row r="759" spans="2:8" ht="18" customHeight="1" x14ac:dyDescent="0.25">
      <c r="B759" s="67"/>
      <c r="C759" s="39"/>
      <c r="D759" s="68"/>
      <c r="E759" s="68"/>
      <c r="F759" s="58"/>
      <c r="G759" s="58"/>
      <c r="H759" s="211"/>
    </row>
    <row r="760" spans="2:8" ht="18" customHeight="1" x14ac:dyDescent="0.25">
      <c r="B760" s="67"/>
      <c r="C760" s="39"/>
      <c r="D760" s="68"/>
      <c r="E760" s="68"/>
      <c r="F760" s="58"/>
      <c r="G760" s="58"/>
      <c r="H760" s="211"/>
    </row>
    <row r="761" spans="2:8" ht="18" customHeight="1" x14ac:dyDescent="0.25">
      <c r="B761" s="67"/>
      <c r="C761" s="39"/>
      <c r="D761" s="68"/>
      <c r="E761" s="68"/>
      <c r="F761" s="58"/>
      <c r="G761" s="58"/>
      <c r="H761" s="211"/>
    </row>
    <row r="762" spans="2:8" ht="18" customHeight="1" x14ac:dyDescent="0.25">
      <c r="B762" s="67"/>
      <c r="C762" s="39"/>
      <c r="D762" s="68"/>
      <c r="E762" s="68"/>
      <c r="F762" s="58"/>
      <c r="G762" s="58"/>
      <c r="H762" s="211"/>
    </row>
    <row r="763" spans="2:8" ht="18" customHeight="1" x14ac:dyDescent="0.25">
      <c r="B763" s="67"/>
      <c r="C763" s="39"/>
      <c r="D763" s="68"/>
      <c r="E763" s="68"/>
      <c r="F763" s="58"/>
      <c r="G763" s="58"/>
      <c r="H763" s="211"/>
    </row>
    <row r="764" spans="2:8" ht="18" customHeight="1" x14ac:dyDescent="0.25">
      <c r="B764" s="245"/>
      <c r="C764" s="247"/>
      <c r="D764" s="248"/>
      <c r="E764" s="248"/>
      <c r="F764" s="249"/>
      <c r="G764" s="249"/>
      <c r="H764" s="250"/>
    </row>
    <row r="765" spans="2:8" ht="18" customHeight="1" x14ac:dyDescent="0.25">
      <c r="B765" s="67"/>
      <c r="C765" s="39"/>
      <c r="D765" s="68"/>
      <c r="E765" s="68"/>
      <c r="F765" s="58"/>
      <c r="G765" s="58"/>
      <c r="H765" s="211"/>
    </row>
    <row r="766" spans="2:8" ht="18" customHeight="1" x14ac:dyDescent="0.25">
      <c r="B766" s="245"/>
      <c r="C766" s="247"/>
      <c r="D766" s="248"/>
      <c r="E766" s="248"/>
      <c r="F766" s="249"/>
      <c r="G766" s="249"/>
      <c r="H766" s="250"/>
    </row>
    <row r="767" spans="2:8" ht="18" customHeight="1" x14ac:dyDescent="0.25">
      <c r="B767" s="212"/>
      <c r="C767" s="213"/>
      <c r="D767" s="108"/>
      <c r="E767" s="108"/>
      <c r="F767" s="214"/>
      <c r="G767" s="214"/>
      <c r="H767" s="215"/>
    </row>
    <row r="768" spans="2:8" ht="18" customHeight="1" x14ac:dyDescent="0.25">
      <c r="B768" s="212"/>
      <c r="C768" s="213"/>
      <c r="D768" s="108"/>
      <c r="E768" s="108"/>
      <c r="F768" s="214"/>
      <c r="G768" s="214"/>
      <c r="H768" s="215"/>
    </row>
    <row r="769" spans="2:8" ht="18" customHeight="1" x14ac:dyDescent="0.25">
      <c r="B769" s="67"/>
      <c r="C769" s="39"/>
      <c r="D769" s="68"/>
      <c r="E769" s="68"/>
      <c r="F769" s="58"/>
      <c r="G769" s="58"/>
      <c r="H769" s="211"/>
    </row>
    <row r="770" spans="2:8" ht="18" customHeight="1" x14ac:dyDescent="0.25">
      <c r="B770" s="245"/>
      <c r="C770" s="247"/>
      <c r="D770" s="248"/>
      <c r="E770" s="248"/>
      <c r="F770" s="249"/>
      <c r="G770" s="249"/>
      <c r="H770" s="250"/>
    </row>
    <row r="771" spans="2:8" ht="18" customHeight="1" x14ac:dyDescent="0.25">
      <c r="B771" s="67"/>
      <c r="C771" s="39"/>
      <c r="D771" s="68"/>
      <c r="E771" s="68"/>
      <c r="F771" s="58"/>
      <c r="G771" s="58"/>
      <c r="H771" s="211"/>
    </row>
    <row r="772" spans="2:8" ht="18" customHeight="1" x14ac:dyDescent="0.25">
      <c r="B772" s="67"/>
      <c r="C772" s="39"/>
      <c r="D772" s="68"/>
      <c r="E772" s="68"/>
      <c r="F772" s="58"/>
      <c r="G772" s="58"/>
      <c r="H772" s="211"/>
    </row>
    <row r="773" spans="2:8" ht="18" customHeight="1" x14ac:dyDescent="0.25">
      <c r="B773" s="67"/>
      <c r="C773" s="39"/>
      <c r="D773" s="68"/>
      <c r="E773" s="68"/>
      <c r="F773" s="58"/>
      <c r="G773" s="58"/>
      <c r="H773" s="211"/>
    </row>
    <row r="774" spans="2:8" ht="18" customHeight="1" x14ac:dyDescent="0.25">
      <c r="B774" s="245"/>
      <c r="C774" s="247"/>
      <c r="D774" s="248"/>
      <c r="E774" s="248"/>
      <c r="F774" s="249"/>
      <c r="G774" s="249"/>
      <c r="H774" s="250"/>
    </row>
    <row r="775" spans="2:8" ht="18" customHeight="1" x14ac:dyDescent="0.25">
      <c r="B775" s="67"/>
      <c r="C775" s="39"/>
      <c r="D775" s="68"/>
      <c r="E775" s="68"/>
      <c r="F775" s="58"/>
      <c r="G775" s="58"/>
      <c r="H775" s="211"/>
    </row>
    <row r="776" spans="2:8" ht="18" customHeight="1" x14ac:dyDescent="0.25">
      <c r="B776" s="67"/>
      <c r="C776" s="39"/>
      <c r="D776" s="68"/>
      <c r="E776" s="68"/>
      <c r="F776" s="58"/>
      <c r="G776" s="58"/>
      <c r="H776" s="211"/>
    </row>
    <row r="777" spans="2:8" ht="18" customHeight="1" x14ac:dyDescent="0.25">
      <c r="B777" s="67"/>
      <c r="C777" s="39"/>
      <c r="D777" s="68"/>
      <c r="E777" s="68"/>
      <c r="F777" s="58"/>
      <c r="G777" s="58"/>
      <c r="H777" s="211"/>
    </row>
    <row r="778" spans="2:8" ht="18" customHeight="1" x14ac:dyDescent="0.25">
      <c r="B778" s="67"/>
      <c r="C778" s="39"/>
      <c r="D778" s="68"/>
      <c r="E778" s="68"/>
      <c r="F778" s="58"/>
      <c r="G778" s="58"/>
      <c r="H778" s="211"/>
    </row>
    <row r="779" spans="2:8" ht="18" customHeight="1" x14ac:dyDescent="0.25">
      <c r="B779" s="67"/>
      <c r="C779" s="39"/>
      <c r="D779" s="68"/>
      <c r="E779" s="68"/>
      <c r="F779" s="58"/>
      <c r="G779" s="58"/>
      <c r="H779" s="211"/>
    </row>
    <row r="780" spans="2:8" ht="18" customHeight="1" x14ac:dyDescent="0.25">
      <c r="B780" s="67"/>
      <c r="C780" s="39"/>
      <c r="D780" s="68"/>
      <c r="E780" s="68"/>
      <c r="F780" s="58"/>
      <c r="G780" s="58"/>
      <c r="H780" s="211"/>
    </row>
    <row r="781" spans="2:8" ht="18" customHeight="1" x14ac:dyDescent="0.25">
      <c r="B781" s="67"/>
      <c r="C781" s="39"/>
      <c r="D781" s="68"/>
      <c r="E781" s="68"/>
      <c r="F781" s="58"/>
      <c r="G781" s="58"/>
      <c r="H781" s="211"/>
    </row>
    <row r="782" spans="2:8" ht="18" customHeight="1" x14ac:dyDescent="0.25">
      <c r="B782" s="67"/>
      <c r="C782" s="39"/>
      <c r="D782" s="68"/>
      <c r="E782" s="68"/>
      <c r="F782" s="58"/>
      <c r="G782" s="58"/>
      <c r="H782" s="211"/>
    </row>
    <row r="783" spans="2:8" ht="18" customHeight="1" x14ac:dyDescent="0.25">
      <c r="B783" s="245"/>
      <c r="C783" s="247"/>
      <c r="D783" s="248"/>
      <c r="E783" s="248"/>
      <c r="F783" s="249"/>
      <c r="G783" s="249"/>
      <c r="H783" s="250"/>
    </row>
    <row r="784" spans="2:8" ht="18" customHeight="1" x14ac:dyDescent="0.25">
      <c r="B784" s="245"/>
      <c r="C784" s="247"/>
      <c r="D784" s="248"/>
      <c r="E784" s="248"/>
      <c r="F784" s="249"/>
      <c r="G784" s="249"/>
      <c r="H784" s="250"/>
    </row>
    <row r="785" spans="2:8" ht="18" customHeight="1" x14ac:dyDescent="0.25">
      <c r="B785" s="245"/>
      <c r="C785" s="247"/>
      <c r="D785" s="248"/>
      <c r="E785" s="248"/>
      <c r="F785" s="249"/>
      <c r="G785" s="249"/>
      <c r="H785" s="250"/>
    </row>
    <row r="786" spans="2:8" ht="18" customHeight="1" x14ac:dyDescent="0.25">
      <c r="B786" s="245"/>
      <c r="C786" s="247"/>
      <c r="D786" s="248"/>
      <c r="E786" s="248"/>
      <c r="F786" s="249"/>
      <c r="G786" s="249"/>
      <c r="H786" s="250"/>
    </row>
    <row r="787" spans="2:8" ht="18" customHeight="1" x14ac:dyDescent="0.25">
      <c r="B787" s="245"/>
      <c r="C787" s="247"/>
      <c r="D787" s="248"/>
      <c r="E787" s="248"/>
      <c r="F787" s="249"/>
      <c r="G787" s="249"/>
      <c r="H787" s="250"/>
    </row>
    <row r="788" spans="2:8" ht="18" customHeight="1" x14ac:dyDescent="0.25">
      <c r="B788" s="67"/>
      <c r="C788" s="39"/>
      <c r="D788" s="68"/>
      <c r="E788" s="68"/>
      <c r="F788" s="58"/>
      <c r="G788" s="58"/>
      <c r="H788" s="211"/>
    </row>
    <row r="789" spans="2:8" ht="18" customHeight="1" x14ac:dyDescent="0.25">
      <c r="B789" s="67"/>
      <c r="C789" s="39"/>
      <c r="D789" s="68"/>
      <c r="E789" s="68"/>
      <c r="F789" s="58"/>
      <c r="G789" s="58"/>
      <c r="H789" s="211"/>
    </row>
    <row r="790" spans="2:8" ht="18" customHeight="1" x14ac:dyDescent="0.25">
      <c r="B790" s="67"/>
      <c r="C790" s="39"/>
      <c r="D790" s="68"/>
      <c r="E790" s="68"/>
      <c r="F790" s="58"/>
      <c r="G790" s="58"/>
      <c r="H790" s="211"/>
    </row>
    <row r="791" spans="2:8" ht="18" customHeight="1" x14ac:dyDescent="0.25">
      <c r="B791" s="67"/>
      <c r="C791" s="39"/>
      <c r="D791" s="68"/>
      <c r="E791" s="68"/>
      <c r="F791" s="58"/>
      <c r="G791" s="58"/>
      <c r="H791" s="211"/>
    </row>
    <row r="792" spans="2:8" ht="18" customHeight="1" x14ac:dyDescent="0.25">
      <c r="B792" s="245"/>
      <c r="C792" s="247"/>
      <c r="D792" s="248"/>
      <c r="E792" s="248"/>
      <c r="F792" s="249"/>
      <c r="G792" s="249"/>
      <c r="H792" s="250"/>
    </row>
    <row r="793" spans="2:8" ht="18" customHeight="1" x14ac:dyDescent="0.25">
      <c r="B793" s="67"/>
      <c r="C793" s="39"/>
      <c r="D793" s="68"/>
      <c r="E793" s="68"/>
      <c r="F793" s="58"/>
      <c r="G793" s="58"/>
      <c r="H793" s="211"/>
    </row>
    <row r="794" spans="2:8" ht="18" customHeight="1" x14ac:dyDescent="0.25">
      <c r="B794" s="245"/>
      <c r="C794" s="247"/>
      <c r="D794" s="248"/>
      <c r="E794" s="248"/>
      <c r="F794" s="249"/>
      <c r="G794" s="249"/>
      <c r="H794" s="250"/>
    </row>
    <row r="795" spans="2:8" ht="18" customHeight="1" x14ac:dyDescent="0.25">
      <c r="B795" s="245"/>
      <c r="C795" s="247"/>
      <c r="D795" s="248"/>
      <c r="E795" s="248"/>
      <c r="F795" s="249"/>
      <c r="G795" s="249"/>
      <c r="H795" s="250"/>
    </row>
    <row r="796" spans="2:8" ht="18" customHeight="1" x14ac:dyDescent="0.25">
      <c r="B796" s="67"/>
      <c r="C796" s="39"/>
      <c r="D796" s="68"/>
      <c r="E796" s="68"/>
      <c r="F796" s="58"/>
      <c r="G796" s="58"/>
      <c r="H796" s="211"/>
    </row>
    <row r="797" spans="2:8" ht="18" customHeight="1" x14ac:dyDescent="0.25">
      <c r="B797" s="245"/>
      <c r="C797" s="247"/>
      <c r="D797" s="248"/>
      <c r="E797" s="248"/>
      <c r="F797" s="249"/>
      <c r="G797" s="249"/>
      <c r="H797" s="250"/>
    </row>
    <row r="798" spans="2:8" ht="18" customHeight="1" x14ac:dyDescent="0.25">
      <c r="B798" s="245"/>
      <c r="C798" s="247"/>
      <c r="D798" s="248"/>
      <c r="E798" s="248"/>
      <c r="F798" s="249"/>
      <c r="G798" s="249"/>
      <c r="H798" s="250"/>
    </row>
    <row r="799" spans="2:8" ht="18" customHeight="1" x14ac:dyDescent="0.25">
      <c r="B799" s="245"/>
      <c r="C799" s="247"/>
      <c r="D799" s="248"/>
      <c r="E799" s="248"/>
      <c r="F799" s="249"/>
      <c r="G799" s="249"/>
      <c r="H799" s="250"/>
    </row>
    <row r="800" spans="2:8" ht="18" customHeight="1" x14ac:dyDescent="0.25">
      <c r="B800" s="245"/>
      <c r="C800" s="247"/>
      <c r="D800" s="248"/>
      <c r="E800" s="248"/>
      <c r="F800" s="249"/>
      <c r="G800" s="249"/>
      <c r="H800" s="250"/>
    </row>
    <row r="801" spans="2:8" ht="18" customHeight="1" x14ac:dyDescent="0.25">
      <c r="B801" s="67"/>
      <c r="C801" s="39"/>
      <c r="D801" s="68"/>
      <c r="E801" s="68"/>
      <c r="F801" s="58"/>
      <c r="G801" s="58"/>
      <c r="H801" s="211"/>
    </row>
    <row r="802" spans="2:8" ht="18" customHeight="1" x14ac:dyDescent="0.25">
      <c r="B802" s="67"/>
      <c r="C802" s="39"/>
      <c r="D802" s="68"/>
      <c r="E802" s="68"/>
      <c r="F802" s="58"/>
      <c r="G802" s="58"/>
      <c r="H802" s="211"/>
    </row>
    <row r="803" spans="2:8" ht="18" customHeight="1" x14ac:dyDescent="0.25">
      <c r="B803" s="67"/>
      <c r="C803" s="39"/>
      <c r="D803" s="68"/>
      <c r="E803" s="68"/>
      <c r="F803" s="58"/>
      <c r="G803" s="58"/>
      <c r="H803" s="211"/>
    </row>
    <row r="804" spans="2:8" ht="18" customHeight="1" x14ac:dyDescent="0.25">
      <c r="B804" s="67"/>
      <c r="C804" s="39"/>
      <c r="D804" s="68"/>
      <c r="E804" s="68"/>
      <c r="F804" s="58"/>
      <c r="G804" s="58"/>
      <c r="H804" s="211"/>
    </row>
    <row r="805" spans="2:8" ht="18" customHeight="1" x14ac:dyDescent="0.25">
      <c r="B805" s="212"/>
      <c r="C805" s="216"/>
      <c r="D805" s="108"/>
      <c r="E805" s="108"/>
      <c r="F805" s="214"/>
      <c r="G805" s="214"/>
      <c r="H805" s="215"/>
    </row>
    <row r="806" spans="2:8" ht="18" customHeight="1" x14ac:dyDescent="0.25">
      <c r="B806" s="67"/>
      <c r="C806" s="39"/>
      <c r="D806" s="68"/>
      <c r="E806" s="68"/>
      <c r="F806" s="58"/>
      <c r="G806" s="58"/>
      <c r="H806" s="211"/>
    </row>
    <row r="807" spans="2:8" ht="18" customHeight="1" x14ac:dyDescent="0.25">
      <c r="B807" s="245"/>
      <c r="C807" s="247"/>
      <c r="D807" s="248"/>
      <c r="E807" s="248"/>
      <c r="F807" s="249"/>
      <c r="G807" s="249"/>
      <c r="H807" s="250"/>
    </row>
    <row r="808" spans="2:8" ht="18" customHeight="1" x14ac:dyDescent="0.25">
      <c r="B808" s="212"/>
      <c r="C808" s="213"/>
      <c r="D808" s="108"/>
      <c r="E808" s="108"/>
      <c r="F808" s="214"/>
      <c r="G808" s="214"/>
      <c r="H808" s="215"/>
    </row>
    <row r="809" spans="2:8" ht="18" customHeight="1" x14ac:dyDescent="0.25">
      <c r="B809" s="67"/>
      <c r="C809" s="39"/>
      <c r="D809" s="68"/>
      <c r="E809" s="68"/>
      <c r="F809" s="58"/>
      <c r="G809" s="58"/>
      <c r="H809" s="211"/>
    </row>
    <row r="810" spans="2:8" ht="18" customHeight="1" x14ac:dyDescent="0.25">
      <c r="B810" s="67"/>
      <c r="C810" s="39"/>
      <c r="D810" s="68"/>
      <c r="E810" s="68"/>
      <c r="F810" s="58"/>
      <c r="G810" s="58"/>
      <c r="H810" s="211"/>
    </row>
    <row r="811" spans="2:8" ht="18" customHeight="1" x14ac:dyDescent="0.25">
      <c r="B811" s="212"/>
      <c r="C811" s="213"/>
      <c r="D811" s="108"/>
      <c r="E811" s="108"/>
      <c r="F811" s="214"/>
      <c r="G811" s="214"/>
      <c r="H811" s="215"/>
    </row>
    <row r="812" spans="2:8" ht="18" customHeight="1" x14ac:dyDescent="0.25">
      <c r="B812" s="245"/>
      <c r="C812" s="247"/>
      <c r="D812" s="248"/>
      <c r="E812" s="248"/>
      <c r="F812" s="249"/>
      <c r="G812" s="249"/>
      <c r="H812" s="250"/>
    </row>
    <row r="813" spans="2:8" ht="18" customHeight="1" x14ac:dyDescent="0.25">
      <c r="B813" s="245"/>
      <c r="C813" s="247"/>
      <c r="D813" s="248"/>
      <c r="E813" s="248"/>
      <c r="F813" s="249"/>
      <c r="G813" s="249"/>
      <c r="H813" s="250"/>
    </row>
    <row r="814" spans="2:8" ht="18" customHeight="1" x14ac:dyDescent="0.25">
      <c r="B814" s="67"/>
      <c r="C814" s="39"/>
      <c r="D814" s="68"/>
      <c r="E814" s="68"/>
      <c r="F814" s="58"/>
      <c r="G814" s="58"/>
      <c r="H814" s="211"/>
    </row>
    <row r="815" spans="2:8" ht="18" customHeight="1" x14ac:dyDescent="0.25">
      <c r="B815" s="245"/>
      <c r="C815" s="247"/>
      <c r="D815" s="248"/>
      <c r="E815" s="248"/>
      <c r="F815" s="249"/>
      <c r="G815" s="249"/>
      <c r="H815" s="250"/>
    </row>
    <row r="816" spans="2:8" ht="18" customHeight="1" x14ac:dyDescent="0.25">
      <c r="B816" s="245"/>
      <c r="C816" s="247"/>
      <c r="D816" s="248"/>
      <c r="E816" s="248"/>
      <c r="F816" s="249"/>
      <c r="G816" s="249"/>
      <c r="H816" s="250"/>
    </row>
    <row r="817" spans="2:8" ht="18" customHeight="1" x14ac:dyDescent="0.25">
      <c r="B817" s="67"/>
      <c r="C817" s="39"/>
      <c r="D817" s="68"/>
      <c r="E817" s="68"/>
      <c r="F817" s="58"/>
      <c r="G817" s="58"/>
      <c r="H817" s="211"/>
    </row>
    <row r="818" spans="2:8" ht="18" customHeight="1" x14ac:dyDescent="0.25">
      <c r="B818" s="67"/>
      <c r="C818" s="39"/>
      <c r="D818" s="68"/>
      <c r="E818" s="68"/>
      <c r="F818" s="58"/>
      <c r="G818" s="58"/>
      <c r="H818" s="211"/>
    </row>
    <row r="819" spans="2:8" ht="18" customHeight="1" x14ac:dyDescent="0.25">
      <c r="B819" s="67"/>
      <c r="C819" s="39"/>
      <c r="D819" s="68"/>
      <c r="E819" s="68"/>
      <c r="F819" s="58"/>
      <c r="G819" s="58"/>
      <c r="H819" s="211"/>
    </row>
    <row r="820" spans="2:8" ht="18" customHeight="1" x14ac:dyDescent="0.25">
      <c r="B820" s="67"/>
      <c r="C820" s="39"/>
      <c r="D820" s="68"/>
      <c r="E820" s="68"/>
      <c r="F820" s="58"/>
      <c r="G820" s="58"/>
      <c r="H820" s="211"/>
    </row>
    <row r="821" spans="2:8" ht="18" customHeight="1" x14ac:dyDescent="0.25">
      <c r="B821" s="67"/>
      <c r="C821" s="39"/>
      <c r="D821" s="68"/>
      <c r="E821" s="68"/>
      <c r="F821" s="58"/>
      <c r="G821" s="58"/>
      <c r="H821" s="211"/>
    </row>
    <row r="822" spans="2:8" ht="18" customHeight="1" x14ac:dyDescent="0.25">
      <c r="B822" s="67"/>
      <c r="C822" s="39"/>
      <c r="D822" s="68"/>
      <c r="E822" s="68"/>
      <c r="F822" s="58"/>
      <c r="G822" s="58"/>
      <c r="H822" s="211"/>
    </row>
    <row r="823" spans="2:8" ht="18" customHeight="1" x14ac:dyDescent="0.25">
      <c r="B823" s="67"/>
      <c r="C823" s="39"/>
      <c r="D823" s="68"/>
      <c r="E823" s="68"/>
      <c r="F823" s="58"/>
      <c r="G823" s="58"/>
      <c r="H823" s="211"/>
    </row>
    <row r="824" spans="2:8" ht="18" customHeight="1" x14ac:dyDescent="0.25">
      <c r="B824" s="245"/>
      <c r="C824" s="247"/>
      <c r="D824" s="248"/>
      <c r="E824" s="248"/>
      <c r="F824" s="249"/>
      <c r="G824" s="249"/>
      <c r="H824" s="250"/>
    </row>
    <row r="825" spans="2:8" ht="18" customHeight="1" x14ac:dyDescent="0.25">
      <c r="B825" s="245"/>
      <c r="C825" s="247"/>
      <c r="D825" s="248"/>
      <c r="E825" s="248"/>
      <c r="F825" s="249"/>
      <c r="G825" s="249"/>
      <c r="H825" s="250"/>
    </row>
    <row r="826" spans="2:8" ht="18" customHeight="1" x14ac:dyDescent="0.25">
      <c r="B826" s="245"/>
      <c r="C826" s="247"/>
      <c r="D826" s="248"/>
      <c r="E826" s="248"/>
      <c r="F826" s="249"/>
      <c r="G826" s="249"/>
      <c r="H826" s="250"/>
    </row>
    <row r="827" spans="2:8" ht="18" customHeight="1" x14ac:dyDescent="0.25">
      <c r="B827" s="245"/>
      <c r="C827" s="247"/>
      <c r="D827" s="248"/>
      <c r="E827" s="248"/>
      <c r="F827" s="249"/>
      <c r="G827" s="249"/>
      <c r="H827" s="250"/>
    </row>
    <row r="828" spans="2:8" ht="18" customHeight="1" x14ac:dyDescent="0.25">
      <c r="B828" s="245"/>
      <c r="C828" s="247"/>
      <c r="D828" s="248"/>
      <c r="E828" s="248"/>
      <c r="F828" s="249"/>
      <c r="G828" s="249"/>
      <c r="H828" s="250"/>
    </row>
    <row r="829" spans="2:8" ht="18" customHeight="1" x14ac:dyDescent="0.25">
      <c r="B829" s="245"/>
      <c r="C829" s="247"/>
      <c r="D829" s="248"/>
      <c r="E829" s="248"/>
      <c r="F829" s="249"/>
      <c r="G829" s="249"/>
      <c r="H829" s="250"/>
    </row>
    <row r="830" spans="2:8" ht="18" customHeight="1" x14ac:dyDescent="0.25">
      <c r="B830" s="245"/>
      <c r="C830" s="247"/>
      <c r="D830" s="248"/>
      <c r="E830" s="248"/>
      <c r="F830" s="249"/>
      <c r="G830" s="249"/>
      <c r="H830" s="250"/>
    </row>
    <row r="831" spans="2:8" ht="18" customHeight="1" x14ac:dyDescent="0.25">
      <c r="B831" s="67"/>
      <c r="C831" s="39"/>
      <c r="D831" s="68"/>
      <c r="E831" s="68"/>
      <c r="F831" s="58"/>
      <c r="G831" s="58"/>
      <c r="H831" s="211"/>
    </row>
    <row r="832" spans="2:8" ht="18" customHeight="1" x14ac:dyDescent="0.25">
      <c r="B832" s="67"/>
      <c r="C832" s="39"/>
      <c r="D832" s="68"/>
      <c r="E832" s="68"/>
      <c r="F832" s="58"/>
      <c r="G832" s="58"/>
      <c r="H832" s="211"/>
    </row>
    <row r="833" spans="2:8" ht="18" customHeight="1" x14ac:dyDescent="0.25">
      <c r="B833" s="67"/>
      <c r="C833" s="39"/>
      <c r="D833" s="68"/>
      <c r="E833" s="68"/>
      <c r="F833" s="58"/>
      <c r="G833" s="58"/>
      <c r="H833" s="211"/>
    </row>
    <row r="834" spans="2:8" ht="18" customHeight="1" x14ac:dyDescent="0.25">
      <c r="B834" s="67"/>
      <c r="C834" s="39"/>
      <c r="D834" s="68"/>
      <c r="E834" s="68"/>
      <c r="F834" s="58"/>
      <c r="G834" s="58"/>
      <c r="H834" s="211"/>
    </row>
    <row r="835" spans="2:8" ht="18" customHeight="1" x14ac:dyDescent="0.25">
      <c r="B835" s="67"/>
      <c r="C835" s="39"/>
      <c r="D835" s="68"/>
      <c r="E835" s="68"/>
      <c r="F835" s="58"/>
      <c r="G835" s="58"/>
      <c r="H835" s="211"/>
    </row>
    <row r="836" spans="2:8" ht="18" customHeight="1" x14ac:dyDescent="0.25">
      <c r="B836" s="67"/>
      <c r="C836" s="39"/>
      <c r="D836" s="68"/>
      <c r="E836" s="68"/>
      <c r="F836" s="58"/>
      <c r="G836" s="58"/>
      <c r="H836" s="211"/>
    </row>
    <row r="837" spans="2:8" ht="18" customHeight="1" x14ac:dyDescent="0.25">
      <c r="B837" s="67"/>
      <c r="C837" s="39"/>
      <c r="D837" s="68"/>
      <c r="E837" s="68"/>
      <c r="F837" s="58"/>
      <c r="G837" s="58"/>
      <c r="H837" s="211"/>
    </row>
    <row r="838" spans="2:8" ht="18" customHeight="1" x14ac:dyDescent="0.25">
      <c r="B838" s="212"/>
      <c r="C838" s="213"/>
      <c r="D838" s="108"/>
      <c r="E838" s="108"/>
      <c r="F838" s="214"/>
      <c r="G838" s="214"/>
      <c r="H838" s="215"/>
    </row>
    <row r="839" spans="2:8" ht="18" customHeight="1" x14ac:dyDescent="0.25">
      <c r="B839" s="67"/>
      <c r="C839" s="39"/>
      <c r="D839" s="68"/>
      <c r="E839" s="68"/>
      <c r="F839" s="58"/>
      <c r="G839" s="58"/>
      <c r="H839" s="211"/>
    </row>
    <row r="840" spans="2:8" ht="18" customHeight="1" x14ac:dyDescent="0.25">
      <c r="B840" s="67"/>
      <c r="C840" s="39"/>
      <c r="D840" s="68"/>
      <c r="E840" s="68"/>
      <c r="F840" s="58"/>
      <c r="G840" s="58"/>
      <c r="H840" s="211"/>
    </row>
    <row r="841" spans="2:8" ht="18" customHeight="1" x14ac:dyDescent="0.25">
      <c r="B841" s="67"/>
      <c r="C841" s="39"/>
      <c r="D841" s="68"/>
      <c r="E841" s="68"/>
      <c r="F841" s="58"/>
      <c r="G841" s="58"/>
      <c r="H841" s="211"/>
    </row>
    <row r="842" spans="2:8" ht="18" customHeight="1" x14ac:dyDescent="0.25">
      <c r="B842" s="245"/>
      <c r="C842" s="247"/>
      <c r="D842" s="248"/>
      <c r="E842" s="248"/>
      <c r="F842" s="249"/>
      <c r="G842" s="249"/>
      <c r="H842" s="250"/>
    </row>
    <row r="843" spans="2:8" ht="18" customHeight="1" x14ac:dyDescent="0.25">
      <c r="B843" s="67"/>
      <c r="C843" s="39"/>
      <c r="D843" s="68"/>
      <c r="E843" s="68"/>
      <c r="F843" s="58"/>
      <c r="G843" s="58"/>
      <c r="H843" s="211"/>
    </row>
    <row r="844" spans="2:8" ht="18" customHeight="1" x14ac:dyDescent="0.25">
      <c r="B844" s="67"/>
      <c r="C844" s="39"/>
      <c r="D844" s="68"/>
      <c r="E844" s="68"/>
      <c r="F844" s="58"/>
      <c r="G844" s="58"/>
      <c r="H844" s="211"/>
    </row>
    <row r="845" spans="2:8" ht="18" customHeight="1" x14ac:dyDescent="0.25">
      <c r="B845" s="67"/>
      <c r="C845" s="39"/>
      <c r="D845" s="68"/>
      <c r="E845" s="68"/>
      <c r="F845" s="58"/>
      <c r="G845" s="58"/>
      <c r="H845" s="211"/>
    </row>
    <row r="846" spans="2:8" ht="18" customHeight="1" x14ac:dyDescent="0.25">
      <c r="B846" s="67"/>
      <c r="C846" s="39"/>
      <c r="D846" s="68"/>
      <c r="E846" s="68"/>
      <c r="F846" s="58"/>
      <c r="G846" s="58"/>
      <c r="H846" s="211"/>
    </row>
    <row r="847" spans="2:8" ht="18" customHeight="1" x14ac:dyDescent="0.25">
      <c r="B847" s="67"/>
      <c r="C847" s="39"/>
      <c r="D847" s="68"/>
      <c r="E847" s="68"/>
      <c r="F847" s="58"/>
      <c r="G847" s="58"/>
      <c r="H847" s="211"/>
    </row>
    <row r="848" spans="2:8" ht="18" customHeight="1" x14ac:dyDescent="0.25">
      <c r="B848" s="67"/>
      <c r="C848" s="39"/>
      <c r="D848" s="68"/>
      <c r="E848" s="68"/>
      <c r="F848" s="58"/>
      <c r="G848" s="58"/>
      <c r="H848" s="211"/>
    </row>
    <row r="849" spans="2:8" ht="18" customHeight="1" x14ac:dyDescent="0.25">
      <c r="B849" s="245"/>
      <c r="C849" s="247"/>
      <c r="D849" s="248"/>
      <c r="E849" s="248"/>
      <c r="F849" s="249"/>
      <c r="G849" s="249"/>
      <c r="H849" s="250"/>
    </row>
    <row r="850" spans="2:8" ht="18" customHeight="1" x14ac:dyDescent="0.25">
      <c r="B850" s="67"/>
      <c r="C850" s="39"/>
      <c r="D850" s="68"/>
      <c r="E850" s="68"/>
      <c r="F850" s="58"/>
      <c r="G850" s="58"/>
      <c r="H850" s="211"/>
    </row>
    <row r="851" spans="2:8" ht="18" customHeight="1" x14ac:dyDescent="0.25">
      <c r="B851" s="67"/>
      <c r="C851" s="39"/>
      <c r="D851" s="68"/>
      <c r="E851" s="68"/>
      <c r="F851" s="58"/>
      <c r="G851" s="58"/>
      <c r="H851" s="211"/>
    </row>
    <row r="852" spans="2:8" ht="18" customHeight="1" x14ac:dyDescent="0.25">
      <c r="B852" s="245"/>
      <c r="C852" s="247"/>
      <c r="D852" s="248"/>
      <c r="E852" s="248"/>
      <c r="F852" s="249"/>
      <c r="G852" s="249"/>
      <c r="H852" s="250"/>
    </row>
    <row r="853" spans="2:8" ht="18" customHeight="1" x14ac:dyDescent="0.25">
      <c r="B853" s="67"/>
      <c r="C853" s="39"/>
      <c r="D853" s="68"/>
      <c r="E853" s="68"/>
      <c r="F853" s="58"/>
      <c r="G853" s="58"/>
      <c r="H853" s="211"/>
    </row>
    <row r="854" spans="2:8" ht="18" customHeight="1" x14ac:dyDescent="0.25">
      <c r="B854" s="245"/>
      <c r="C854" s="247"/>
      <c r="D854" s="248"/>
      <c r="E854" s="248"/>
      <c r="F854" s="249"/>
      <c r="G854" s="249"/>
      <c r="H854" s="250"/>
    </row>
    <row r="855" spans="2:8" ht="18" customHeight="1" x14ac:dyDescent="0.25">
      <c r="B855" s="245"/>
      <c r="C855" s="247"/>
      <c r="D855" s="248"/>
      <c r="E855" s="248"/>
      <c r="F855" s="249"/>
      <c r="G855" s="249"/>
      <c r="H855" s="250"/>
    </row>
    <row r="856" spans="2:8" ht="18" customHeight="1" x14ac:dyDescent="0.25">
      <c r="B856" s="67"/>
      <c r="C856" s="39"/>
      <c r="D856" s="68"/>
      <c r="E856" s="68"/>
      <c r="F856" s="58"/>
      <c r="G856" s="58"/>
      <c r="H856" s="211"/>
    </row>
    <row r="857" spans="2:8" ht="18" customHeight="1" x14ac:dyDescent="0.25">
      <c r="B857" s="67"/>
      <c r="C857" s="39"/>
      <c r="D857" s="68"/>
      <c r="E857" s="68"/>
      <c r="F857" s="58"/>
      <c r="G857" s="58"/>
      <c r="H857" s="211"/>
    </row>
    <row r="858" spans="2:8" ht="18" customHeight="1" x14ac:dyDescent="0.25">
      <c r="B858" s="245"/>
      <c r="C858" s="247"/>
      <c r="D858" s="248"/>
      <c r="E858" s="248"/>
      <c r="F858" s="249"/>
      <c r="G858" s="249"/>
      <c r="H858" s="250"/>
    </row>
    <row r="859" spans="2:8" ht="18" customHeight="1" x14ac:dyDescent="0.25">
      <c r="B859" s="67"/>
      <c r="C859" s="39"/>
      <c r="D859" s="68"/>
      <c r="E859" s="68"/>
      <c r="F859" s="58"/>
      <c r="G859" s="58"/>
      <c r="H859" s="211"/>
    </row>
    <row r="860" spans="2:8" ht="18" customHeight="1" x14ac:dyDescent="0.25">
      <c r="B860" s="245"/>
      <c r="C860" s="247"/>
      <c r="D860" s="248"/>
      <c r="E860" s="248"/>
      <c r="F860" s="249"/>
      <c r="G860" s="249"/>
      <c r="H860" s="250"/>
    </row>
    <row r="861" spans="2:8" ht="18" customHeight="1" x14ac:dyDescent="0.25">
      <c r="B861" s="67"/>
      <c r="C861" s="39"/>
      <c r="D861" s="68"/>
      <c r="E861" s="68"/>
      <c r="F861" s="58"/>
      <c r="G861" s="58"/>
      <c r="H861" s="211"/>
    </row>
    <row r="862" spans="2:8" ht="18" customHeight="1" x14ac:dyDescent="0.25">
      <c r="B862" s="245"/>
      <c r="C862" s="247"/>
      <c r="D862" s="248"/>
      <c r="E862" s="248"/>
      <c r="F862" s="249"/>
      <c r="G862" s="249"/>
      <c r="H862" s="250"/>
    </row>
    <row r="863" spans="2:8" ht="18" customHeight="1" x14ac:dyDescent="0.25">
      <c r="B863" s="67"/>
      <c r="C863" s="39"/>
      <c r="D863" s="68"/>
      <c r="E863" s="68"/>
      <c r="F863" s="58"/>
      <c r="G863" s="58"/>
      <c r="H863" s="211"/>
    </row>
    <row r="864" spans="2:8" ht="18" customHeight="1" x14ac:dyDescent="0.25">
      <c r="B864" s="67"/>
      <c r="C864" s="39"/>
      <c r="D864" s="68"/>
      <c r="E864" s="68"/>
      <c r="F864" s="58"/>
      <c r="G864" s="58"/>
      <c r="H864" s="211"/>
    </row>
    <row r="865" spans="2:8" ht="18" customHeight="1" x14ac:dyDescent="0.25">
      <c r="B865" s="67"/>
      <c r="C865" s="39"/>
      <c r="D865" s="68"/>
      <c r="E865" s="68"/>
      <c r="F865" s="58"/>
      <c r="G865" s="58"/>
      <c r="H865" s="211"/>
    </row>
    <row r="866" spans="2:8" ht="18" customHeight="1" x14ac:dyDescent="0.25">
      <c r="B866" s="212"/>
      <c r="C866" s="213"/>
      <c r="D866" s="108"/>
      <c r="E866" s="108"/>
      <c r="F866" s="214"/>
      <c r="G866" s="214"/>
      <c r="H866" s="215"/>
    </row>
    <row r="867" spans="2:8" ht="18" customHeight="1" x14ac:dyDescent="0.25">
      <c r="B867" s="67"/>
      <c r="C867" s="39"/>
      <c r="D867" s="68"/>
      <c r="E867" s="68"/>
      <c r="F867" s="58"/>
      <c r="G867" s="58"/>
      <c r="H867" s="211"/>
    </row>
    <row r="868" spans="2:8" ht="18" customHeight="1" x14ac:dyDescent="0.25">
      <c r="B868" s="67"/>
      <c r="C868" s="39"/>
      <c r="D868" s="68"/>
      <c r="E868" s="68"/>
      <c r="F868" s="58"/>
      <c r="G868" s="58"/>
      <c r="H868" s="211"/>
    </row>
    <row r="869" spans="2:8" ht="18" customHeight="1" x14ac:dyDescent="0.25">
      <c r="B869" s="67"/>
      <c r="C869" s="39"/>
      <c r="D869" s="68"/>
      <c r="E869" s="68"/>
      <c r="F869" s="58"/>
      <c r="G869" s="58"/>
      <c r="H869" s="211"/>
    </row>
    <row r="870" spans="2:8" ht="18" customHeight="1" x14ac:dyDescent="0.25">
      <c r="B870" s="212"/>
      <c r="C870" s="213"/>
      <c r="D870" s="108"/>
      <c r="E870" s="108"/>
      <c r="F870" s="214"/>
      <c r="G870" s="214"/>
      <c r="H870" s="215"/>
    </row>
    <row r="871" spans="2:8" ht="18" customHeight="1" x14ac:dyDescent="0.25">
      <c r="B871" s="67"/>
      <c r="C871" s="39"/>
      <c r="D871" s="68"/>
      <c r="E871" s="68"/>
      <c r="F871" s="58"/>
      <c r="G871" s="58"/>
      <c r="H871" s="211"/>
    </row>
    <row r="872" spans="2:8" ht="18" customHeight="1" x14ac:dyDescent="0.25">
      <c r="B872" s="67"/>
      <c r="C872" s="39"/>
      <c r="D872" s="68"/>
      <c r="E872" s="68"/>
      <c r="F872" s="58"/>
      <c r="G872" s="58"/>
      <c r="H872" s="211"/>
    </row>
    <row r="873" spans="2:8" ht="18" customHeight="1" x14ac:dyDescent="0.25">
      <c r="B873" s="67"/>
      <c r="C873" s="39"/>
      <c r="D873" s="68"/>
      <c r="E873" s="68"/>
      <c r="F873" s="58"/>
      <c r="G873" s="58"/>
      <c r="H873" s="211"/>
    </row>
    <row r="874" spans="2:8" ht="18" customHeight="1" x14ac:dyDescent="0.25">
      <c r="B874" s="67"/>
      <c r="C874" s="39"/>
      <c r="D874" s="68"/>
      <c r="E874" s="68"/>
      <c r="F874" s="58"/>
      <c r="G874" s="58"/>
      <c r="H874" s="211"/>
    </row>
    <row r="875" spans="2:8" ht="18" customHeight="1" x14ac:dyDescent="0.25">
      <c r="B875" s="67"/>
      <c r="C875" s="39"/>
      <c r="D875" s="68"/>
      <c r="E875" s="68"/>
      <c r="F875" s="58"/>
      <c r="G875" s="58"/>
      <c r="H875" s="211"/>
    </row>
    <row r="876" spans="2:8" ht="18" customHeight="1" x14ac:dyDescent="0.25">
      <c r="B876" s="67"/>
      <c r="C876" s="39"/>
      <c r="D876" s="68"/>
      <c r="E876" s="68"/>
      <c r="F876" s="58"/>
      <c r="G876" s="58"/>
      <c r="H876" s="211"/>
    </row>
    <row r="877" spans="2:8" ht="18" customHeight="1" x14ac:dyDescent="0.25">
      <c r="B877" s="67"/>
      <c r="C877" s="39"/>
      <c r="D877" s="68"/>
      <c r="E877" s="68"/>
      <c r="F877" s="58"/>
      <c r="G877" s="58"/>
      <c r="H877" s="211"/>
    </row>
    <row r="878" spans="2:8" ht="18" customHeight="1" x14ac:dyDescent="0.25">
      <c r="B878" s="67"/>
      <c r="C878" s="39"/>
      <c r="D878" s="68"/>
      <c r="E878" s="68"/>
      <c r="F878" s="58"/>
      <c r="G878" s="58"/>
      <c r="H878" s="211"/>
    </row>
    <row r="879" spans="2:8" ht="18" customHeight="1" x14ac:dyDescent="0.25">
      <c r="B879" s="67"/>
      <c r="C879" s="39"/>
      <c r="D879" s="68"/>
      <c r="E879" s="68"/>
      <c r="F879" s="58"/>
      <c r="G879" s="58"/>
      <c r="H879" s="211"/>
    </row>
    <row r="880" spans="2:8" ht="18" customHeight="1" x14ac:dyDescent="0.25">
      <c r="B880" s="245"/>
      <c r="C880" s="247"/>
      <c r="D880" s="248"/>
      <c r="E880" s="248"/>
      <c r="F880" s="249"/>
      <c r="G880" s="249"/>
      <c r="H880" s="250"/>
    </row>
    <row r="881" spans="2:8" ht="18" customHeight="1" x14ac:dyDescent="0.25">
      <c r="B881" s="67"/>
      <c r="C881" s="39"/>
      <c r="D881" s="68"/>
      <c r="E881" s="68"/>
      <c r="F881" s="58"/>
      <c r="G881" s="58"/>
      <c r="H881" s="211"/>
    </row>
    <row r="882" spans="2:8" ht="18" customHeight="1" x14ac:dyDescent="0.25">
      <c r="B882" s="67"/>
      <c r="C882" s="39"/>
      <c r="D882" s="68"/>
      <c r="E882" s="68"/>
      <c r="F882" s="58"/>
      <c r="G882" s="58"/>
      <c r="H882" s="211"/>
    </row>
    <row r="883" spans="2:8" ht="18" customHeight="1" x14ac:dyDescent="0.25">
      <c r="B883" s="245"/>
      <c r="C883" s="247"/>
      <c r="D883" s="248"/>
      <c r="E883" s="248"/>
      <c r="F883" s="249"/>
      <c r="G883" s="249"/>
      <c r="H883" s="250"/>
    </row>
    <row r="884" spans="2:8" ht="18" customHeight="1" x14ac:dyDescent="0.25">
      <c r="B884" s="245"/>
      <c r="C884" s="247"/>
      <c r="D884" s="248"/>
      <c r="E884" s="248"/>
      <c r="F884" s="249"/>
      <c r="G884" s="249"/>
      <c r="H884" s="250"/>
    </row>
    <row r="885" spans="2:8" ht="18" customHeight="1" x14ac:dyDescent="0.25">
      <c r="B885" s="212"/>
      <c r="C885" s="213"/>
      <c r="D885" s="108"/>
      <c r="E885" s="108"/>
      <c r="F885" s="214"/>
      <c r="G885" s="214"/>
      <c r="H885" s="215"/>
    </row>
    <row r="886" spans="2:8" ht="18" customHeight="1" x14ac:dyDescent="0.25">
      <c r="B886" s="67"/>
      <c r="C886" s="39"/>
      <c r="D886" s="68"/>
      <c r="E886" s="68"/>
      <c r="F886" s="58"/>
      <c r="G886" s="58"/>
      <c r="H886" s="211"/>
    </row>
    <row r="887" spans="2:8" ht="18" customHeight="1" x14ac:dyDescent="0.25">
      <c r="B887" s="251"/>
      <c r="C887" s="252"/>
      <c r="D887" s="253"/>
      <c r="E887" s="253"/>
      <c r="F887" s="254"/>
      <c r="G887" s="254"/>
      <c r="H887" s="255"/>
    </row>
    <row r="888" spans="2:8" ht="18" customHeight="1" x14ac:dyDescent="0.25">
      <c r="B888" s="67"/>
      <c r="C888" s="39"/>
      <c r="D888" s="68"/>
      <c r="E888" s="68"/>
      <c r="F888" s="58"/>
      <c r="G888" s="58"/>
      <c r="H888" s="211"/>
    </row>
    <row r="889" spans="2:8" ht="18" customHeight="1" x14ac:dyDescent="0.25">
      <c r="B889" s="67"/>
      <c r="C889" s="39"/>
      <c r="D889" s="68"/>
      <c r="E889" s="68"/>
      <c r="F889" s="58"/>
      <c r="G889" s="58"/>
      <c r="H889" s="211"/>
    </row>
    <row r="890" spans="2:8" ht="18" customHeight="1" x14ac:dyDescent="0.25">
      <c r="B890" s="67"/>
      <c r="C890" s="39"/>
      <c r="D890" s="68"/>
      <c r="E890" s="68"/>
      <c r="F890" s="58"/>
      <c r="G890" s="58"/>
      <c r="H890" s="211"/>
    </row>
    <row r="891" spans="2:8" ht="18" customHeight="1" x14ac:dyDescent="0.25">
      <c r="B891" s="67"/>
      <c r="C891" s="39"/>
      <c r="D891" s="68"/>
      <c r="E891" s="68"/>
      <c r="F891" s="58"/>
      <c r="G891" s="58"/>
      <c r="H891" s="211"/>
    </row>
    <row r="892" spans="2:8" ht="18" customHeight="1" x14ac:dyDescent="0.25">
      <c r="B892" s="67"/>
      <c r="C892" s="39"/>
      <c r="D892" s="68"/>
      <c r="E892" s="68"/>
      <c r="F892" s="58"/>
      <c r="G892" s="58"/>
      <c r="H892" s="211"/>
    </row>
    <row r="893" spans="2:8" ht="18" customHeight="1" x14ac:dyDescent="0.25">
      <c r="B893" s="67"/>
      <c r="C893" s="39"/>
      <c r="D893" s="68"/>
      <c r="E893" s="68"/>
      <c r="F893" s="58"/>
      <c r="G893" s="58"/>
      <c r="H893" s="211"/>
    </row>
    <row r="894" spans="2:8" ht="18" customHeight="1" x14ac:dyDescent="0.25">
      <c r="B894" s="67"/>
      <c r="C894" s="39"/>
      <c r="D894" s="68"/>
      <c r="E894" s="68"/>
      <c r="F894" s="58"/>
      <c r="G894" s="58"/>
      <c r="H894" s="211"/>
    </row>
    <row r="895" spans="2:8" ht="18" customHeight="1" x14ac:dyDescent="0.25">
      <c r="B895" s="67"/>
      <c r="C895" s="39"/>
      <c r="D895" s="68"/>
      <c r="E895" s="68"/>
      <c r="F895" s="58"/>
      <c r="G895" s="58"/>
      <c r="H895" s="211"/>
    </row>
    <row r="896" spans="2:8" ht="18" customHeight="1" x14ac:dyDescent="0.25">
      <c r="B896" s="67"/>
      <c r="C896" s="39"/>
      <c r="D896" s="68"/>
      <c r="E896" s="68"/>
      <c r="F896" s="58"/>
      <c r="G896" s="58"/>
      <c r="H896" s="211"/>
    </row>
    <row r="897" spans="2:8" ht="18" customHeight="1" x14ac:dyDescent="0.25">
      <c r="B897" s="285"/>
      <c r="C897" s="76"/>
      <c r="D897" s="77"/>
      <c r="E897" s="77"/>
      <c r="F897" s="199"/>
      <c r="G897" s="199"/>
      <c r="H897" s="286"/>
    </row>
    <row r="898" spans="2:8" ht="18" customHeight="1" x14ac:dyDescent="0.25">
      <c r="B898" s="67"/>
      <c r="C898" s="39"/>
      <c r="D898" s="68"/>
      <c r="E898" s="68"/>
      <c r="F898" s="58"/>
      <c r="G898" s="58"/>
      <c r="H898" s="211"/>
    </row>
    <row r="899" spans="2:8" ht="18" customHeight="1" x14ac:dyDescent="0.25">
      <c r="B899" s="67"/>
      <c r="C899" s="39"/>
      <c r="D899" s="68"/>
      <c r="E899" s="68"/>
      <c r="F899" s="58"/>
      <c r="G899" s="58"/>
      <c r="H899" s="211"/>
    </row>
    <row r="900" spans="2:8" ht="18" customHeight="1" x14ac:dyDescent="0.25">
      <c r="B900" s="67"/>
      <c r="C900" s="39"/>
      <c r="D900" s="68"/>
      <c r="E900" s="68"/>
      <c r="F900" s="58"/>
      <c r="G900" s="58"/>
      <c r="H900" s="211"/>
    </row>
    <row r="901" spans="2:8" ht="18" customHeight="1" x14ac:dyDescent="0.25">
      <c r="B901" s="67"/>
      <c r="C901" s="39"/>
      <c r="D901" s="68"/>
      <c r="E901" s="68"/>
      <c r="F901" s="58"/>
      <c r="G901" s="58"/>
      <c r="H901" s="211"/>
    </row>
    <row r="902" spans="2:8" ht="18" customHeight="1" x14ac:dyDescent="0.25">
      <c r="B902" s="67"/>
      <c r="C902" s="39"/>
      <c r="D902" s="68"/>
      <c r="E902" s="68"/>
      <c r="F902" s="58"/>
      <c r="G902" s="58"/>
      <c r="H902" s="211"/>
    </row>
    <row r="903" spans="2:8" ht="18" customHeight="1" x14ac:dyDescent="0.25">
      <c r="B903" s="245"/>
      <c r="C903" s="247"/>
      <c r="D903" s="248"/>
      <c r="E903" s="248"/>
      <c r="F903" s="249"/>
      <c r="G903" s="249"/>
      <c r="H903" s="250"/>
    </row>
    <row r="904" spans="2:8" ht="18" customHeight="1" x14ac:dyDescent="0.25">
      <c r="B904" s="67"/>
      <c r="C904" s="39"/>
      <c r="D904" s="68"/>
      <c r="E904" s="68"/>
      <c r="F904" s="58"/>
      <c r="G904" s="58"/>
      <c r="H904" s="211"/>
    </row>
    <row r="905" spans="2:8" ht="18" customHeight="1" x14ac:dyDescent="0.25">
      <c r="B905" s="67"/>
      <c r="C905" s="39"/>
      <c r="D905" s="68"/>
      <c r="E905" s="68"/>
      <c r="F905" s="58"/>
      <c r="G905" s="58"/>
      <c r="H905" s="211"/>
    </row>
    <row r="906" spans="2:8" ht="18" customHeight="1" x14ac:dyDescent="0.25">
      <c r="B906" s="67"/>
      <c r="C906" s="39"/>
      <c r="D906" s="68"/>
      <c r="E906" s="68"/>
      <c r="F906" s="58"/>
      <c r="G906" s="58"/>
      <c r="H906" s="211"/>
    </row>
    <row r="907" spans="2:8" ht="18" customHeight="1" x14ac:dyDescent="0.25">
      <c r="B907" s="67"/>
      <c r="C907" s="39"/>
      <c r="D907" s="68"/>
      <c r="E907" s="68"/>
      <c r="F907" s="58"/>
      <c r="G907" s="58"/>
      <c r="H907" s="211"/>
    </row>
    <row r="908" spans="2:8" ht="18" customHeight="1" x14ac:dyDescent="0.25">
      <c r="B908" s="245"/>
      <c r="C908" s="247"/>
      <c r="D908" s="248"/>
      <c r="E908" s="248"/>
      <c r="F908" s="249"/>
      <c r="G908" s="249"/>
      <c r="H908" s="250"/>
    </row>
    <row r="909" spans="2:8" ht="18" customHeight="1" x14ac:dyDescent="0.25">
      <c r="B909" s="245"/>
      <c r="C909" s="247"/>
      <c r="D909" s="248"/>
      <c r="E909" s="248"/>
      <c r="F909" s="249"/>
      <c r="G909" s="249"/>
      <c r="H909" s="250"/>
    </row>
    <row r="910" spans="2:8" ht="18" customHeight="1" x14ac:dyDescent="0.25">
      <c r="B910" s="245"/>
      <c r="C910" s="247"/>
      <c r="D910" s="248"/>
      <c r="E910" s="248"/>
      <c r="F910" s="249"/>
      <c r="G910" s="249"/>
      <c r="H910" s="250"/>
    </row>
    <row r="911" spans="2:8" ht="18" customHeight="1" x14ac:dyDescent="0.25">
      <c r="B911" s="245"/>
      <c r="C911" s="247"/>
      <c r="D911" s="248"/>
      <c r="E911" s="248"/>
      <c r="F911" s="249"/>
      <c r="G911" s="249"/>
      <c r="H911" s="250"/>
    </row>
    <row r="912" spans="2:8" ht="18" customHeight="1" x14ac:dyDescent="0.25">
      <c r="B912" s="245"/>
      <c r="C912" s="247"/>
      <c r="D912" s="248"/>
      <c r="E912" s="248"/>
      <c r="F912" s="249"/>
      <c r="G912" s="249"/>
      <c r="H912" s="250"/>
    </row>
    <row r="913" spans="2:8" ht="18" customHeight="1" x14ac:dyDescent="0.25">
      <c r="B913" s="245"/>
      <c r="C913" s="246"/>
      <c r="D913" s="248"/>
      <c r="E913" s="248"/>
      <c r="F913" s="249"/>
      <c r="G913" s="249"/>
      <c r="H913" s="250"/>
    </row>
    <row r="914" spans="2:8" ht="18" customHeight="1" x14ac:dyDescent="0.25">
      <c r="B914" s="245"/>
      <c r="C914" s="247"/>
      <c r="D914" s="248"/>
      <c r="E914" s="248"/>
      <c r="F914" s="249"/>
      <c r="G914" s="249"/>
      <c r="H914" s="250"/>
    </row>
    <row r="915" spans="2:8" ht="18" customHeight="1" x14ac:dyDescent="0.25">
      <c r="B915" s="245"/>
      <c r="C915" s="247"/>
      <c r="D915" s="248"/>
      <c r="E915" s="248"/>
      <c r="F915" s="249"/>
      <c r="G915" s="249"/>
      <c r="H915" s="250"/>
    </row>
    <row r="916" spans="2:8" ht="18" customHeight="1" x14ac:dyDescent="0.25">
      <c r="B916" s="245"/>
      <c r="C916" s="247"/>
      <c r="D916" s="248"/>
      <c r="E916" s="248"/>
      <c r="F916" s="249"/>
      <c r="G916" s="249"/>
      <c r="H916" s="250"/>
    </row>
    <row r="917" spans="2:8" ht="18" customHeight="1" x14ac:dyDescent="0.25">
      <c r="B917" s="245"/>
      <c r="C917" s="247"/>
      <c r="D917" s="248"/>
      <c r="E917" s="248"/>
      <c r="F917" s="249"/>
      <c r="G917" s="249"/>
      <c r="H917" s="250"/>
    </row>
    <row r="918" spans="2:8" ht="18" customHeight="1" x14ac:dyDescent="0.25">
      <c r="B918" s="67"/>
      <c r="C918" s="39"/>
      <c r="D918" s="68"/>
      <c r="E918" s="68"/>
      <c r="F918" s="58"/>
      <c r="G918" s="58"/>
      <c r="H918" s="211"/>
    </row>
    <row r="919" spans="2:8" ht="18" customHeight="1" x14ac:dyDescent="0.25">
      <c r="B919" s="67"/>
      <c r="C919" s="39"/>
      <c r="D919" s="68"/>
      <c r="E919" s="68"/>
      <c r="F919" s="58"/>
      <c r="G919" s="58"/>
      <c r="H919" s="211"/>
    </row>
    <row r="920" spans="2:8" ht="18" customHeight="1" x14ac:dyDescent="0.25">
      <c r="B920" s="245"/>
      <c r="C920" s="247"/>
      <c r="D920" s="248"/>
      <c r="E920" s="248"/>
      <c r="F920" s="249"/>
      <c r="G920" s="249"/>
      <c r="H920" s="250"/>
    </row>
    <row r="921" spans="2:8" ht="18" customHeight="1" x14ac:dyDescent="0.25">
      <c r="B921" s="67"/>
      <c r="C921" s="39"/>
      <c r="D921" s="68"/>
      <c r="E921" s="68"/>
      <c r="F921" s="58"/>
      <c r="G921" s="58"/>
      <c r="H921" s="211"/>
    </row>
    <row r="922" spans="2:8" ht="18" customHeight="1" x14ac:dyDescent="0.25">
      <c r="B922" s="245"/>
      <c r="C922" s="247"/>
      <c r="D922" s="248"/>
      <c r="E922" s="248"/>
      <c r="F922" s="249"/>
      <c r="G922" s="249"/>
      <c r="H922" s="250"/>
    </row>
    <row r="923" spans="2:8" ht="18" customHeight="1" x14ac:dyDescent="0.25">
      <c r="B923" s="245"/>
      <c r="C923" s="247"/>
      <c r="D923" s="248"/>
      <c r="E923" s="248"/>
      <c r="F923" s="249"/>
      <c r="G923" s="249"/>
      <c r="H923" s="250"/>
    </row>
    <row r="924" spans="2:8" ht="18" customHeight="1" x14ac:dyDescent="0.25">
      <c r="B924" s="67"/>
      <c r="C924" s="39"/>
      <c r="D924" s="68"/>
      <c r="E924" s="68"/>
      <c r="F924" s="58"/>
      <c r="G924" s="58"/>
      <c r="H924" s="211"/>
    </row>
    <row r="925" spans="2:8" ht="18" customHeight="1" x14ac:dyDescent="0.25">
      <c r="B925" s="67"/>
      <c r="C925" s="39"/>
      <c r="D925" s="68"/>
      <c r="E925" s="68"/>
      <c r="F925" s="58"/>
      <c r="G925" s="58"/>
      <c r="H925" s="211"/>
    </row>
    <row r="926" spans="2:8" ht="18" customHeight="1" x14ac:dyDescent="0.25">
      <c r="B926" s="245"/>
      <c r="C926" s="247"/>
      <c r="D926" s="248"/>
      <c r="E926" s="248"/>
      <c r="F926" s="249"/>
      <c r="G926" s="249"/>
      <c r="H926" s="250"/>
    </row>
    <row r="927" spans="2:8" ht="18" customHeight="1" x14ac:dyDescent="0.25">
      <c r="B927" s="67"/>
      <c r="C927" s="39"/>
      <c r="D927" s="68"/>
      <c r="E927" s="68"/>
      <c r="F927" s="58"/>
      <c r="G927" s="58"/>
      <c r="H927" s="211"/>
    </row>
    <row r="928" spans="2:8" ht="18" customHeight="1" x14ac:dyDescent="0.25">
      <c r="B928" s="67"/>
      <c r="C928" s="39"/>
      <c r="D928" s="68"/>
      <c r="E928" s="68"/>
      <c r="F928" s="58"/>
      <c r="G928" s="58"/>
      <c r="H928" s="211"/>
    </row>
    <row r="929" spans="2:8" ht="18" customHeight="1" x14ac:dyDescent="0.25">
      <c r="B929" s="67"/>
      <c r="C929" s="39"/>
      <c r="D929" s="68"/>
      <c r="E929" s="68"/>
      <c r="F929" s="58"/>
      <c r="G929" s="58"/>
      <c r="H929" s="211"/>
    </row>
    <row r="930" spans="2:8" ht="18" customHeight="1" x14ac:dyDescent="0.25">
      <c r="B930" s="245"/>
      <c r="C930" s="247"/>
      <c r="D930" s="248"/>
      <c r="E930" s="248"/>
      <c r="F930" s="249"/>
      <c r="G930" s="249"/>
      <c r="H930" s="250"/>
    </row>
    <row r="931" spans="2:8" ht="18" customHeight="1" x14ac:dyDescent="0.25">
      <c r="B931" s="285"/>
      <c r="C931" s="76"/>
      <c r="D931" s="77"/>
      <c r="E931" s="77"/>
      <c r="F931" s="199"/>
      <c r="G931" s="199"/>
      <c r="H931" s="286"/>
    </row>
    <row r="932" spans="2:8" ht="18" customHeight="1" x14ac:dyDescent="0.25">
      <c r="B932" s="67"/>
      <c r="C932" s="39"/>
      <c r="D932" s="68"/>
      <c r="E932" s="68"/>
      <c r="F932" s="58"/>
      <c r="G932" s="58"/>
      <c r="H932" s="211"/>
    </row>
    <row r="933" spans="2:8" ht="18" customHeight="1" x14ac:dyDescent="0.25">
      <c r="B933" s="67"/>
      <c r="C933" s="39"/>
      <c r="D933" s="68"/>
      <c r="E933" s="68"/>
      <c r="F933" s="58"/>
      <c r="G933" s="58"/>
      <c r="H933" s="211"/>
    </row>
    <row r="934" spans="2:8" ht="18" customHeight="1" x14ac:dyDescent="0.25">
      <c r="B934" s="245"/>
      <c r="C934" s="247"/>
      <c r="D934" s="248"/>
      <c r="E934" s="248"/>
      <c r="F934" s="249"/>
      <c r="G934" s="249"/>
      <c r="H934" s="250"/>
    </row>
    <row r="935" spans="2:8" ht="18" customHeight="1" x14ac:dyDescent="0.25">
      <c r="B935" s="245"/>
      <c r="C935" s="247"/>
      <c r="D935" s="248"/>
      <c r="E935" s="248"/>
      <c r="F935" s="249"/>
      <c r="G935" s="249"/>
      <c r="H935" s="250"/>
    </row>
    <row r="936" spans="2:8" ht="18" customHeight="1" x14ac:dyDescent="0.25">
      <c r="B936" s="245"/>
      <c r="C936" s="247"/>
      <c r="D936" s="248"/>
      <c r="E936" s="248"/>
      <c r="F936" s="249"/>
      <c r="G936" s="249"/>
      <c r="H936" s="250"/>
    </row>
    <row r="937" spans="2:8" ht="18" customHeight="1" x14ac:dyDescent="0.25">
      <c r="B937" s="67"/>
      <c r="C937" s="39"/>
      <c r="D937" s="68"/>
      <c r="E937" s="68"/>
      <c r="F937" s="58"/>
      <c r="G937" s="58"/>
      <c r="H937" s="211"/>
    </row>
    <row r="938" spans="2:8" ht="18" customHeight="1" x14ac:dyDescent="0.25">
      <c r="B938" s="245"/>
      <c r="C938" s="247"/>
      <c r="D938" s="248"/>
      <c r="E938" s="248"/>
      <c r="F938" s="249"/>
      <c r="G938" s="249"/>
      <c r="H938" s="250"/>
    </row>
    <row r="939" spans="2:8" ht="18" customHeight="1" x14ac:dyDescent="0.25">
      <c r="B939" s="245"/>
      <c r="C939" s="247"/>
      <c r="D939" s="248"/>
      <c r="E939" s="248"/>
      <c r="F939" s="249"/>
      <c r="G939" s="249"/>
      <c r="H939" s="250"/>
    </row>
    <row r="940" spans="2:8" ht="18" customHeight="1" x14ac:dyDescent="0.25">
      <c r="B940" s="212"/>
      <c r="C940" s="213"/>
      <c r="D940" s="108"/>
      <c r="E940" s="108"/>
      <c r="F940" s="214"/>
      <c r="G940" s="214"/>
      <c r="H940" s="215"/>
    </row>
    <row r="941" spans="2:8" ht="18" customHeight="1" x14ac:dyDescent="0.25">
      <c r="B941" s="67"/>
      <c r="C941" s="39"/>
      <c r="D941" s="68"/>
      <c r="E941" s="68"/>
      <c r="F941" s="58"/>
      <c r="G941" s="58"/>
      <c r="H941" s="211"/>
    </row>
    <row r="942" spans="2:8" ht="18" customHeight="1" x14ac:dyDescent="0.25">
      <c r="B942" s="67"/>
      <c r="C942" s="39"/>
      <c r="D942" s="68"/>
      <c r="E942" s="68"/>
      <c r="F942" s="58"/>
      <c r="G942" s="58"/>
      <c r="H942" s="211"/>
    </row>
    <row r="943" spans="2:8" ht="18" customHeight="1" x14ac:dyDescent="0.25">
      <c r="B943" s="67"/>
      <c r="C943" s="39"/>
      <c r="D943" s="68"/>
      <c r="E943" s="68"/>
      <c r="F943" s="58"/>
      <c r="G943" s="58"/>
      <c r="H943" s="211"/>
    </row>
    <row r="944" spans="2:8" ht="18" customHeight="1" x14ac:dyDescent="0.25">
      <c r="B944" s="67"/>
      <c r="C944" s="39"/>
      <c r="D944" s="68"/>
      <c r="E944" s="68"/>
      <c r="F944" s="58"/>
      <c r="G944" s="58"/>
      <c r="H944" s="211"/>
    </row>
    <row r="945" spans="2:8" ht="18" customHeight="1" x14ac:dyDescent="0.25">
      <c r="B945" s="245"/>
      <c r="C945" s="247"/>
      <c r="D945" s="248"/>
      <c r="E945" s="248"/>
      <c r="F945" s="249"/>
      <c r="G945" s="249"/>
      <c r="H945" s="250"/>
    </row>
    <row r="946" spans="2:8" ht="18" customHeight="1" x14ac:dyDescent="0.25">
      <c r="B946" s="67"/>
      <c r="C946" s="39"/>
      <c r="D946" s="68"/>
      <c r="E946" s="68"/>
      <c r="F946" s="58"/>
      <c r="G946" s="58"/>
      <c r="H946" s="211"/>
    </row>
    <row r="947" spans="2:8" ht="18" customHeight="1" x14ac:dyDescent="0.25">
      <c r="B947" s="245"/>
      <c r="C947" s="247"/>
      <c r="D947" s="248"/>
      <c r="E947" s="248"/>
      <c r="F947" s="249"/>
      <c r="G947" s="249"/>
      <c r="H947" s="250"/>
    </row>
    <row r="948" spans="2:8" ht="18" customHeight="1" x14ac:dyDescent="0.25">
      <c r="B948" s="67"/>
      <c r="C948" s="39"/>
      <c r="D948" s="68"/>
      <c r="E948" s="68"/>
      <c r="F948" s="58"/>
      <c r="G948" s="58"/>
      <c r="H948" s="211"/>
    </row>
    <row r="949" spans="2:8" ht="18" customHeight="1" x14ac:dyDescent="0.25">
      <c r="B949" s="67"/>
      <c r="C949" s="39"/>
      <c r="D949" s="68"/>
      <c r="E949" s="68"/>
      <c r="F949" s="58"/>
      <c r="G949" s="58"/>
      <c r="H949" s="211"/>
    </row>
    <row r="950" spans="2:8" ht="18" customHeight="1" x14ac:dyDescent="0.25">
      <c r="B950" s="67"/>
      <c r="C950" s="39"/>
      <c r="D950" s="68"/>
      <c r="E950" s="68"/>
      <c r="F950" s="58"/>
      <c r="G950" s="58"/>
      <c r="H950" s="211"/>
    </row>
    <row r="951" spans="2:8" ht="18" customHeight="1" x14ac:dyDescent="0.25">
      <c r="B951" s="67"/>
      <c r="C951" s="39"/>
      <c r="D951" s="68"/>
      <c r="E951" s="68"/>
      <c r="F951" s="58"/>
      <c r="G951" s="58"/>
      <c r="H951" s="211"/>
    </row>
    <row r="952" spans="2:8" ht="18" customHeight="1" x14ac:dyDescent="0.25">
      <c r="B952" s="245"/>
      <c r="C952" s="247"/>
      <c r="D952" s="248"/>
      <c r="E952" s="248"/>
      <c r="F952" s="249"/>
      <c r="G952" s="249"/>
      <c r="H952" s="250"/>
    </row>
    <row r="953" spans="2:8" ht="18" customHeight="1" x14ac:dyDescent="0.25">
      <c r="B953" s="285"/>
      <c r="C953" s="76"/>
      <c r="D953" s="77"/>
      <c r="E953" s="77"/>
      <c r="F953" s="199"/>
      <c r="G953" s="199"/>
      <c r="H953" s="286"/>
    </row>
    <row r="954" spans="2:8" ht="18" customHeight="1" x14ac:dyDescent="0.25">
      <c r="B954" s="67"/>
      <c r="C954" s="39"/>
      <c r="D954" s="68"/>
      <c r="E954" s="68"/>
      <c r="F954" s="58"/>
      <c r="G954" s="58"/>
      <c r="H954" s="211"/>
    </row>
    <row r="955" spans="2:8" ht="18" customHeight="1" x14ac:dyDescent="0.25">
      <c r="B955" s="67"/>
      <c r="C955" s="39"/>
      <c r="D955" s="68"/>
      <c r="E955" s="68"/>
      <c r="F955" s="58"/>
      <c r="G955" s="58"/>
      <c r="H955" s="211"/>
    </row>
    <row r="956" spans="2:8" ht="18" customHeight="1" x14ac:dyDescent="0.25">
      <c r="B956" s="245"/>
      <c r="C956" s="247"/>
      <c r="D956" s="248"/>
      <c r="E956" s="248"/>
      <c r="F956" s="249"/>
      <c r="G956" s="249"/>
      <c r="H956" s="250"/>
    </row>
    <row r="957" spans="2:8" ht="18" customHeight="1" x14ac:dyDescent="0.25">
      <c r="B957" s="245"/>
      <c r="C957" s="247"/>
      <c r="D957" s="248"/>
      <c r="E957" s="248"/>
      <c r="F957" s="249"/>
      <c r="G957" s="249"/>
      <c r="H957" s="250"/>
    </row>
    <row r="958" spans="2:8" ht="18" customHeight="1" x14ac:dyDescent="0.25">
      <c r="B958" s="245"/>
      <c r="C958" s="247"/>
      <c r="D958" s="248"/>
      <c r="E958" s="248"/>
      <c r="F958" s="249"/>
      <c r="G958" s="249"/>
      <c r="H958" s="250"/>
    </row>
    <row r="959" spans="2:8" ht="18" customHeight="1" x14ac:dyDescent="0.25">
      <c r="B959" s="245"/>
      <c r="C959" s="247"/>
      <c r="D959" s="248"/>
      <c r="E959" s="248"/>
      <c r="F959" s="249"/>
      <c r="G959" s="249"/>
      <c r="H959" s="250"/>
    </row>
    <row r="960" spans="2:8" ht="18" customHeight="1" x14ac:dyDescent="0.25">
      <c r="B960" s="67"/>
      <c r="C960" s="39"/>
      <c r="D960" s="68"/>
      <c r="E960" s="68"/>
      <c r="F960" s="58"/>
      <c r="G960" s="58"/>
      <c r="H960" s="211"/>
    </row>
    <row r="961" spans="2:8" ht="18" customHeight="1" x14ac:dyDescent="0.25">
      <c r="B961" s="212"/>
      <c r="C961" s="213"/>
      <c r="D961" s="108"/>
      <c r="E961" s="108"/>
      <c r="F961" s="214"/>
      <c r="G961" s="214"/>
      <c r="H961" s="215"/>
    </row>
    <row r="962" spans="2:8" ht="18" customHeight="1" x14ac:dyDescent="0.25">
      <c r="B962" s="67"/>
      <c r="C962" s="39"/>
      <c r="D962" s="68"/>
      <c r="E962" s="68"/>
      <c r="F962" s="58"/>
      <c r="G962" s="58"/>
      <c r="H962" s="211"/>
    </row>
    <row r="963" spans="2:8" ht="18" customHeight="1" x14ac:dyDescent="0.25">
      <c r="B963" s="67"/>
      <c r="C963" s="39"/>
      <c r="D963" s="68"/>
      <c r="E963" s="68"/>
      <c r="F963" s="58"/>
      <c r="G963" s="58"/>
      <c r="H963" s="211"/>
    </row>
    <row r="964" spans="2:8" ht="18" customHeight="1" x14ac:dyDescent="0.25">
      <c r="B964" s="67"/>
      <c r="C964" s="39"/>
      <c r="D964" s="68"/>
      <c r="E964" s="68"/>
      <c r="F964" s="58"/>
      <c r="G964" s="58"/>
      <c r="H964" s="211"/>
    </row>
    <row r="965" spans="2:8" ht="18" customHeight="1" x14ac:dyDescent="0.25">
      <c r="B965" s="212"/>
      <c r="C965" s="213"/>
      <c r="D965" s="108"/>
      <c r="E965" s="108"/>
      <c r="F965" s="214"/>
      <c r="G965" s="214"/>
      <c r="H965" s="215"/>
    </row>
    <row r="966" spans="2:8" ht="18" customHeight="1" x14ac:dyDescent="0.25">
      <c r="B966" s="245"/>
      <c r="C966" s="247"/>
      <c r="D966" s="248"/>
      <c r="E966" s="248"/>
      <c r="F966" s="249"/>
      <c r="G966" s="249"/>
      <c r="H966" s="250"/>
    </row>
    <row r="967" spans="2:8" ht="18" customHeight="1" x14ac:dyDescent="0.25">
      <c r="B967" s="67"/>
      <c r="C967" s="39"/>
      <c r="D967" s="68"/>
      <c r="E967" s="68"/>
      <c r="F967" s="58"/>
      <c r="G967" s="58"/>
      <c r="H967" s="211"/>
    </row>
    <row r="968" spans="2:8" ht="18" customHeight="1" x14ac:dyDescent="0.25">
      <c r="B968" s="67"/>
      <c r="C968" s="39"/>
      <c r="D968" s="68"/>
      <c r="E968" s="68"/>
      <c r="F968" s="58"/>
      <c r="G968" s="58"/>
      <c r="H968" s="211"/>
    </row>
    <row r="969" spans="2:8" ht="18" customHeight="1" x14ac:dyDescent="0.25">
      <c r="B969" s="67"/>
      <c r="C969" s="39"/>
      <c r="D969" s="68"/>
      <c r="E969" s="68"/>
      <c r="F969" s="58"/>
      <c r="G969" s="58"/>
      <c r="H969" s="211"/>
    </row>
    <row r="970" spans="2:8" ht="18" customHeight="1" x14ac:dyDescent="0.25">
      <c r="B970" s="67"/>
      <c r="C970" s="39"/>
      <c r="D970" s="68"/>
      <c r="E970" s="68"/>
      <c r="F970" s="58"/>
      <c r="G970" s="58"/>
      <c r="H970" s="211"/>
    </row>
    <row r="971" spans="2:8" ht="18" customHeight="1" x14ac:dyDescent="0.25">
      <c r="B971" s="67"/>
      <c r="C971" s="39"/>
      <c r="D971" s="68"/>
      <c r="E971" s="68"/>
      <c r="F971" s="58"/>
      <c r="G971" s="58"/>
      <c r="H971" s="211"/>
    </row>
    <row r="972" spans="2:8" ht="18" customHeight="1" x14ac:dyDescent="0.25">
      <c r="B972" s="67"/>
      <c r="C972" s="39"/>
      <c r="D972" s="68"/>
      <c r="E972" s="68"/>
      <c r="F972" s="58"/>
      <c r="G972" s="58"/>
      <c r="H972" s="211"/>
    </row>
    <row r="973" spans="2:8" ht="18" customHeight="1" x14ac:dyDescent="0.25">
      <c r="B973" s="245"/>
      <c r="C973" s="247"/>
      <c r="D973" s="248"/>
      <c r="E973" s="248"/>
      <c r="F973" s="249"/>
      <c r="G973" s="249"/>
      <c r="H973" s="250"/>
    </row>
    <row r="974" spans="2:8" ht="18" customHeight="1" x14ac:dyDescent="0.25">
      <c r="B974" s="67"/>
      <c r="C974" s="39"/>
      <c r="D974" s="68"/>
      <c r="E974" s="68"/>
      <c r="F974" s="58"/>
      <c r="G974" s="58"/>
      <c r="H974" s="211"/>
    </row>
    <row r="975" spans="2:8" ht="18" customHeight="1" x14ac:dyDescent="0.25">
      <c r="B975" s="67"/>
      <c r="C975" s="39"/>
      <c r="D975" s="68"/>
      <c r="E975" s="68"/>
      <c r="F975" s="58"/>
      <c r="G975" s="58"/>
      <c r="H975" s="211"/>
    </row>
    <row r="976" spans="2:8" ht="18" customHeight="1" x14ac:dyDescent="0.25">
      <c r="B976" s="67"/>
      <c r="C976" s="39"/>
      <c r="D976" s="68"/>
      <c r="E976" s="68"/>
      <c r="F976" s="58"/>
      <c r="G976" s="58"/>
      <c r="H976" s="211"/>
    </row>
    <row r="977" spans="2:8" ht="18" customHeight="1" x14ac:dyDescent="0.25">
      <c r="B977" s="67"/>
      <c r="C977" s="39"/>
      <c r="D977" s="68"/>
      <c r="E977" s="68"/>
      <c r="F977" s="58"/>
      <c r="G977" s="58"/>
      <c r="H977" s="211"/>
    </row>
    <row r="978" spans="2:8" ht="18" customHeight="1" x14ac:dyDescent="0.25">
      <c r="B978" s="67"/>
      <c r="C978" s="39"/>
      <c r="D978" s="68"/>
      <c r="E978" s="68"/>
      <c r="F978" s="58"/>
      <c r="G978" s="58"/>
      <c r="H978" s="211"/>
    </row>
    <row r="979" spans="2:8" ht="18" customHeight="1" x14ac:dyDescent="0.25">
      <c r="B979" s="67"/>
      <c r="C979" s="39"/>
      <c r="D979" s="68"/>
      <c r="E979" s="68"/>
      <c r="F979" s="58"/>
      <c r="G979" s="58"/>
      <c r="H979" s="211"/>
    </row>
    <row r="980" spans="2:8" ht="18" customHeight="1" x14ac:dyDescent="0.25">
      <c r="B980" s="67"/>
      <c r="C980" s="39"/>
      <c r="D980" s="68"/>
      <c r="E980" s="68"/>
      <c r="F980" s="58"/>
      <c r="G980" s="58"/>
      <c r="H980" s="211"/>
    </row>
    <row r="981" spans="2:8" ht="18" customHeight="1" x14ac:dyDescent="0.25">
      <c r="B981" s="67"/>
      <c r="C981" s="39"/>
      <c r="D981" s="68"/>
      <c r="E981" s="68"/>
      <c r="F981" s="58"/>
      <c r="G981" s="58"/>
      <c r="H981" s="211"/>
    </row>
    <row r="982" spans="2:8" ht="18" customHeight="1" x14ac:dyDescent="0.25">
      <c r="B982" s="67"/>
      <c r="C982" s="39"/>
      <c r="D982" s="68"/>
      <c r="E982" s="68"/>
      <c r="F982" s="58"/>
      <c r="G982" s="58"/>
      <c r="H982" s="211"/>
    </row>
    <row r="983" spans="2:8" ht="18" customHeight="1" x14ac:dyDescent="0.25">
      <c r="B983" s="67"/>
      <c r="C983" s="39"/>
      <c r="D983" s="68"/>
      <c r="E983" s="68"/>
      <c r="F983" s="58"/>
      <c r="G983" s="58"/>
      <c r="H983" s="211"/>
    </row>
    <row r="984" spans="2:8" ht="18" customHeight="1" x14ac:dyDescent="0.25">
      <c r="B984" s="67"/>
      <c r="C984" s="39"/>
      <c r="D984" s="68"/>
      <c r="E984" s="68"/>
      <c r="F984" s="58"/>
      <c r="G984" s="58"/>
      <c r="H984" s="211"/>
    </row>
    <row r="985" spans="2:8" ht="18" customHeight="1" x14ac:dyDescent="0.25">
      <c r="B985" s="245"/>
      <c r="C985" s="247"/>
      <c r="D985" s="248"/>
      <c r="E985" s="248"/>
      <c r="F985" s="249"/>
      <c r="G985" s="249"/>
      <c r="H985" s="250"/>
    </row>
    <row r="986" spans="2:8" ht="18" customHeight="1" x14ac:dyDescent="0.25">
      <c r="B986" s="67"/>
      <c r="C986" s="39"/>
      <c r="D986" s="68"/>
      <c r="E986" s="68"/>
      <c r="F986" s="58"/>
      <c r="G986" s="58"/>
      <c r="H986" s="211"/>
    </row>
    <row r="987" spans="2:8" ht="18" customHeight="1" x14ac:dyDescent="0.25">
      <c r="B987" s="67"/>
      <c r="C987" s="39"/>
      <c r="D987" s="68"/>
      <c r="E987" s="68"/>
      <c r="F987" s="58"/>
      <c r="G987" s="58"/>
      <c r="H987" s="211"/>
    </row>
    <row r="988" spans="2:8" ht="18" customHeight="1" x14ac:dyDescent="0.25">
      <c r="B988" s="67"/>
      <c r="C988" s="39"/>
      <c r="D988" s="68"/>
      <c r="E988" s="68"/>
      <c r="F988" s="58"/>
      <c r="G988" s="58"/>
      <c r="H988" s="211"/>
    </row>
    <row r="989" spans="2:8" ht="18" customHeight="1" x14ac:dyDescent="0.25">
      <c r="B989" s="212"/>
      <c r="C989" s="213"/>
      <c r="D989" s="108"/>
      <c r="E989" s="108"/>
      <c r="F989" s="214"/>
      <c r="G989" s="214"/>
      <c r="H989" s="215"/>
    </row>
    <row r="990" spans="2:8" ht="18" customHeight="1" x14ac:dyDescent="0.25">
      <c r="B990" s="67"/>
      <c r="C990" s="39"/>
      <c r="D990" s="68"/>
      <c r="E990" s="68"/>
      <c r="F990" s="58"/>
      <c r="G990" s="58"/>
      <c r="H990" s="211"/>
    </row>
    <row r="991" spans="2:8" ht="18" customHeight="1" x14ac:dyDescent="0.25">
      <c r="B991" s="67"/>
      <c r="C991" s="39"/>
      <c r="D991" s="68"/>
      <c r="E991" s="68"/>
      <c r="F991" s="58"/>
      <c r="G991" s="58"/>
      <c r="H991" s="211"/>
    </row>
    <row r="992" spans="2:8" ht="18" customHeight="1" x14ac:dyDescent="0.25">
      <c r="B992" s="67"/>
      <c r="C992" s="39"/>
      <c r="D992" s="68"/>
      <c r="E992" s="68"/>
      <c r="F992" s="58"/>
      <c r="G992" s="58"/>
      <c r="H992" s="211"/>
    </row>
    <row r="993" spans="2:8" ht="18" customHeight="1" x14ac:dyDescent="0.25">
      <c r="B993" s="67"/>
      <c r="C993" s="39"/>
      <c r="D993" s="68"/>
      <c r="E993" s="68"/>
      <c r="F993" s="58"/>
      <c r="G993" s="58"/>
      <c r="H993" s="211"/>
    </row>
    <row r="994" spans="2:8" ht="18" customHeight="1" x14ac:dyDescent="0.25">
      <c r="B994" s="67"/>
      <c r="C994" s="39"/>
      <c r="D994" s="68"/>
      <c r="E994" s="68"/>
      <c r="F994" s="58"/>
      <c r="G994" s="58"/>
      <c r="H994" s="211"/>
    </row>
    <row r="995" spans="2:8" ht="18" customHeight="1" x14ac:dyDescent="0.25">
      <c r="B995" s="212"/>
      <c r="C995" s="213"/>
      <c r="D995" s="108"/>
      <c r="E995" s="108"/>
      <c r="F995" s="214"/>
      <c r="G995" s="214"/>
      <c r="H995" s="215"/>
    </row>
    <row r="996" spans="2:8" ht="18" customHeight="1" x14ac:dyDescent="0.25">
      <c r="B996" s="67"/>
      <c r="C996" s="39"/>
      <c r="D996" s="68"/>
      <c r="E996" s="68"/>
      <c r="F996" s="58"/>
      <c r="G996" s="58"/>
      <c r="H996" s="211"/>
    </row>
    <row r="997" spans="2:8" ht="18" customHeight="1" x14ac:dyDescent="0.25">
      <c r="B997" s="67"/>
      <c r="C997" s="39"/>
      <c r="D997" s="68"/>
      <c r="E997" s="68"/>
      <c r="F997" s="58"/>
      <c r="G997" s="58"/>
      <c r="H997" s="211"/>
    </row>
    <row r="998" spans="2:8" ht="18" customHeight="1" x14ac:dyDescent="0.25">
      <c r="B998" s="67"/>
      <c r="C998" s="39"/>
      <c r="D998" s="68"/>
      <c r="E998" s="68"/>
      <c r="F998" s="58"/>
      <c r="G998" s="58"/>
      <c r="H998" s="211"/>
    </row>
    <row r="999" spans="2:8" ht="18" customHeight="1" x14ac:dyDescent="0.25">
      <c r="B999" s="67"/>
      <c r="C999" s="39"/>
      <c r="D999" s="68"/>
      <c r="E999" s="68"/>
      <c r="F999" s="58"/>
      <c r="G999" s="58"/>
      <c r="H999" s="211"/>
    </row>
    <row r="1000" spans="2:8" ht="18" customHeight="1" x14ac:dyDescent="0.25">
      <c r="B1000" s="67"/>
      <c r="C1000" s="39"/>
      <c r="D1000" s="68"/>
      <c r="E1000" s="68"/>
      <c r="F1000" s="58"/>
      <c r="G1000" s="58"/>
      <c r="H1000" s="211"/>
    </row>
    <row r="1001" spans="2:8" ht="18" customHeight="1" x14ac:dyDescent="0.25">
      <c r="B1001" s="67"/>
      <c r="C1001" s="39"/>
      <c r="D1001" s="68"/>
      <c r="E1001" s="68"/>
      <c r="F1001" s="58"/>
      <c r="G1001" s="58"/>
      <c r="H1001" s="211"/>
    </row>
    <row r="1002" spans="2:8" ht="18" customHeight="1" x14ac:dyDescent="0.25">
      <c r="B1002" s="245"/>
      <c r="C1002" s="247"/>
      <c r="D1002" s="248"/>
      <c r="E1002" s="248"/>
      <c r="F1002" s="249"/>
      <c r="G1002" s="249"/>
      <c r="H1002" s="250"/>
    </row>
    <row r="1003" spans="2:8" ht="18" customHeight="1" x14ac:dyDescent="0.25">
      <c r="B1003" s="245"/>
      <c r="C1003" s="247"/>
      <c r="D1003" s="248"/>
      <c r="E1003" s="248"/>
      <c r="F1003" s="249"/>
      <c r="G1003" s="249"/>
      <c r="H1003" s="250"/>
    </row>
    <row r="1004" spans="2:8" ht="18" customHeight="1" x14ac:dyDescent="0.25">
      <c r="B1004" s="245"/>
      <c r="C1004" s="247"/>
      <c r="D1004" s="248"/>
      <c r="E1004" s="248"/>
      <c r="F1004" s="249"/>
      <c r="G1004" s="249"/>
      <c r="H1004" s="250"/>
    </row>
    <row r="1005" spans="2:8" ht="18" customHeight="1" x14ac:dyDescent="0.25">
      <c r="B1005" s="245"/>
      <c r="C1005" s="247"/>
      <c r="D1005" s="248"/>
      <c r="E1005" s="248"/>
      <c r="F1005" s="249"/>
      <c r="G1005" s="249"/>
      <c r="H1005" s="250"/>
    </row>
    <row r="1006" spans="2:8" ht="18" customHeight="1" x14ac:dyDescent="0.25">
      <c r="B1006" s="67"/>
      <c r="C1006" s="39"/>
      <c r="D1006" s="68"/>
      <c r="E1006" s="68"/>
      <c r="F1006" s="58"/>
      <c r="G1006" s="58"/>
      <c r="H1006" s="211"/>
    </row>
    <row r="1007" spans="2:8" ht="18" customHeight="1" x14ac:dyDescent="0.25">
      <c r="B1007" s="67"/>
      <c r="C1007" s="39"/>
      <c r="D1007" s="68"/>
      <c r="E1007" s="68"/>
      <c r="F1007" s="58"/>
      <c r="G1007" s="58"/>
      <c r="H1007" s="211"/>
    </row>
    <row r="1008" spans="2:8" ht="18" customHeight="1" x14ac:dyDescent="0.25">
      <c r="B1008" s="245"/>
      <c r="C1008" s="247"/>
      <c r="D1008" s="248"/>
      <c r="E1008" s="248"/>
      <c r="F1008" s="249"/>
      <c r="G1008" s="249"/>
      <c r="H1008" s="250"/>
    </row>
    <row r="1009" spans="2:8" ht="18" customHeight="1" x14ac:dyDescent="0.25">
      <c r="B1009" s="67"/>
      <c r="C1009" s="39"/>
      <c r="D1009" s="68"/>
      <c r="E1009" s="68"/>
      <c r="F1009" s="58"/>
      <c r="G1009" s="58"/>
      <c r="H1009" s="211"/>
    </row>
    <row r="1010" spans="2:8" ht="18" customHeight="1" x14ac:dyDescent="0.25">
      <c r="B1010" s="245"/>
      <c r="C1010" s="247"/>
      <c r="D1010" s="248"/>
      <c r="E1010" s="248"/>
      <c r="F1010" s="249"/>
      <c r="G1010" s="249"/>
      <c r="H1010" s="250"/>
    </row>
    <row r="1011" spans="2:8" ht="18" customHeight="1" x14ac:dyDescent="0.25">
      <c r="B1011" s="245"/>
      <c r="C1011" s="247"/>
      <c r="D1011" s="248"/>
      <c r="E1011" s="248"/>
      <c r="F1011" s="249"/>
      <c r="G1011" s="249"/>
      <c r="H1011" s="250"/>
    </row>
    <row r="1012" spans="2:8" ht="18" customHeight="1" x14ac:dyDescent="0.25">
      <c r="B1012" s="67"/>
      <c r="C1012" s="39"/>
      <c r="D1012" s="68"/>
      <c r="E1012" s="68"/>
      <c r="F1012" s="58"/>
      <c r="G1012" s="58"/>
      <c r="H1012" s="211"/>
    </row>
    <row r="1013" spans="2:8" ht="18" customHeight="1" x14ac:dyDescent="0.25">
      <c r="B1013" s="67"/>
      <c r="C1013" s="39"/>
      <c r="D1013" s="68"/>
      <c r="E1013" s="68"/>
      <c r="F1013" s="58"/>
      <c r="G1013" s="58"/>
      <c r="H1013" s="211"/>
    </row>
    <row r="1014" spans="2:8" ht="18" customHeight="1" x14ac:dyDescent="0.25">
      <c r="B1014" s="67"/>
      <c r="C1014" s="39"/>
      <c r="D1014" s="68"/>
      <c r="E1014" s="68"/>
      <c r="F1014" s="58"/>
      <c r="G1014" s="58"/>
      <c r="H1014" s="211"/>
    </row>
    <row r="1015" spans="2:8" ht="18" customHeight="1" x14ac:dyDescent="0.25">
      <c r="B1015" s="285"/>
      <c r="C1015" s="76"/>
      <c r="D1015" s="77"/>
      <c r="E1015" s="77"/>
      <c r="F1015" s="199"/>
      <c r="G1015" s="199"/>
      <c r="H1015" s="286"/>
    </row>
    <row r="1016" spans="2:8" ht="18" customHeight="1" x14ac:dyDescent="0.25">
      <c r="B1016" s="67"/>
      <c r="C1016" s="39"/>
      <c r="D1016" s="68"/>
      <c r="E1016" s="68"/>
      <c r="F1016" s="58"/>
      <c r="G1016" s="58"/>
      <c r="H1016" s="211"/>
    </row>
    <row r="1017" spans="2:8" ht="18" customHeight="1" x14ac:dyDescent="0.25">
      <c r="B1017" s="67"/>
      <c r="C1017" s="39"/>
      <c r="D1017" s="68"/>
      <c r="E1017" s="68"/>
      <c r="F1017" s="58"/>
      <c r="G1017" s="58"/>
      <c r="H1017" s="211"/>
    </row>
    <row r="1018" spans="2:8" ht="18" customHeight="1" x14ac:dyDescent="0.25">
      <c r="B1018" s="67"/>
      <c r="C1018" s="39"/>
      <c r="D1018" s="68"/>
      <c r="E1018" s="68"/>
      <c r="F1018" s="58"/>
      <c r="G1018" s="58"/>
      <c r="H1018" s="211"/>
    </row>
    <row r="1019" spans="2:8" ht="18" customHeight="1" x14ac:dyDescent="0.25">
      <c r="B1019" s="212"/>
      <c r="C1019" s="213"/>
      <c r="D1019" s="108"/>
      <c r="E1019" s="108"/>
      <c r="F1019" s="214"/>
      <c r="G1019" s="214"/>
      <c r="H1019" s="215"/>
    </row>
    <row r="1020" spans="2:8" ht="18" customHeight="1" x14ac:dyDescent="0.25">
      <c r="B1020" s="212"/>
      <c r="C1020" s="213"/>
      <c r="D1020" s="108"/>
      <c r="E1020" s="108"/>
      <c r="F1020" s="214"/>
      <c r="G1020" s="214"/>
      <c r="H1020" s="215"/>
    </row>
    <row r="1021" spans="2:8" ht="18" customHeight="1" x14ac:dyDescent="0.25">
      <c r="B1021" s="67"/>
      <c r="C1021" s="39"/>
      <c r="D1021" s="68"/>
      <c r="E1021" s="68"/>
      <c r="F1021" s="58"/>
      <c r="G1021" s="58"/>
      <c r="H1021" s="211"/>
    </row>
    <row r="1022" spans="2:8" ht="18" customHeight="1" x14ac:dyDescent="0.25">
      <c r="B1022" s="245"/>
      <c r="C1022" s="247"/>
      <c r="D1022" s="248"/>
      <c r="E1022" s="248"/>
      <c r="F1022" s="249"/>
      <c r="G1022" s="249"/>
      <c r="H1022" s="250"/>
    </row>
    <row r="1023" spans="2:8" ht="18" customHeight="1" x14ac:dyDescent="0.25">
      <c r="B1023" s="245"/>
      <c r="C1023" s="247"/>
      <c r="D1023" s="248"/>
      <c r="E1023" s="248"/>
      <c r="F1023" s="249"/>
      <c r="G1023" s="249"/>
      <c r="H1023" s="250"/>
    </row>
    <row r="1024" spans="2:8" ht="18" customHeight="1" x14ac:dyDescent="0.25">
      <c r="B1024" s="67"/>
      <c r="C1024" s="39"/>
      <c r="D1024" s="68"/>
      <c r="E1024" s="68"/>
      <c r="F1024" s="58"/>
      <c r="G1024" s="58"/>
      <c r="H1024" s="211"/>
    </row>
    <row r="1025" spans="2:8" ht="18" customHeight="1" x14ac:dyDescent="0.25">
      <c r="B1025" s="67"/>
      <c r="C1025" s="39"/>
      <c r="D1025" s="68"/>
      <c r="E1025" s="68"/>
      <c r="F1025" s="58"/>
      <c r="G1025" s="58"/>
      <c r="H1025" s="211"/>
    </row>
    <row r="1026" spans="2:8" ht="18" customHeight="1" x14ac:dyDescent="0.25">
      <c r="B1026" s="67"/>
      <c r="C1026" s="39"/>
      <c r="D1026" s="68"/>
      <c r="E1026" s="68"/>
      <c r="F1026" s="58"/>
      <c r="G1026" s="58"/>
      <c r="H1026" s="211"/>
    </row>
    <row r="1027" spans="2:8" ht="18" customHeight="1" x14ac:dyDescent="0.25">
      <c r="B1027" s="67"/>
      <c r="C1027" s="39"/>
      <c r="D1027" s="68"/>
      <c r="E1027" s="68"/>
      <c r="F1027" s="58"/>
      <c r="G1027" s="58"/>
      <c r="H1027" s="211"/>
    </row>
    <row r="1028" spans="2:8" ht="18" customHeight="1" x14ac:dyDescent="0.25">
      <c r="B1028" s="67"/>
      <c r="C1028" s="39"/>
      <c r="D1028" s="68"/>
      <c r="E1028" s="68"/>
      <c r="F1028" s="58"/>
      <c r="G1028" s="58"/>
      <c r="H1028" s="211"/>
    </row>
    <row r="1029" spans="2:8" ht="18" customHeight="1" x14ac:dyDescent="0.25">
      <c r="B1029" s="67"/>
      <c r="C1029" s="39"/>
      <c r="D1029" s="68"/>
      <c r="E1029" s="68"/>
      <c r="F1029" s="58"/>
      <c r="G1029" s="58"/>
      <c r="H1029" s="211"/>
    </row>
    <row r="1030" spans="2:8" ht="18" customHeight="1" x14ac:dyDescent="0.25">
      <c r="B1030" s="67"/>
      <c r="C1030" s="39"/>
      <c r="D1030" s="68"/>
      <c r="E1030" s="68"/>
      <c r="F1030" s="58"/>
      <c r="G1030" s="58"/>
      <c r="H1030" s="211"/>
    </row>
    <row r="1031" spans="2:8" ht="18" customHeight="1" x14ac:dyDescent="0.25">
      <c r="B1031" s="67"/>
      <c r="C1031" s="39"/>
      <c r="D1031" s="68"/>
      <c r="E1031" s="68"/>
      <c r="F1031" s="58"/>
      <c r="G1031" s="58"/>
      <c r="H1031" s="211"/>
    </row>
    <row r="1032" spans="2:8" ht="18" customHeight="1" x14ac:dyDescent="0.25">
      <c r="B1032" s="67"/>
      <c r="C1032" s="39"/>
      <c r="D1032" s="68"/>
      <c r="E1032" s="68"/>
      <c r="F1032" s="58"/>
      <c r="G1032" s="58"/>
      <c r="H1032" s="211"/>
    </row>
    <row r="1033" spans="2:8" ht="18" customHeight="1" x14ac:dyDescent="0.25">
      <c r="B1033" s="67"/>
      <c r="C1033" s="39"/>
      <c r="D1033" s="68"/>
      <c r="E1033" s="68"/>
      <c r="F1033" s="58"/>
      <c r="G1033" s="58"/>
      <c r="H1033" s="211"/>
    </row>
    <row r="1034" spans="2:8" ht="18" customHeight="1" x14ac:dyDescent="0.25">
      <c r="B1034" s="212"/>
      <c r="C1034" s="213"/>
      <c r="D1034" s="108"/>
      <c r="E1034" s="108"/>
      <c r="F1034" s="214"/>
      <c r="G1034" s="214"/>
      <c r="H1034" s="215"/>
    </row>
    <row r="1035" spans="2:8" ht="18" customHeight="1" x14ac:dyDescent="0.25">
      <c r="B1035" s="67"/>
      <c r="C1035" s="39"/>
      <c r="D1035" s="68"/>
      <c r="E1035" s="68"/>
      <c r="F1035" s="58"/>
      <c r="G1035" s="58"/>
      <c r="H1035" s="211"/>
    </row>
    <row r="1036" spans="2:8" ht="18" customHeight="1" x14ac:dyDescent="0.25">
      <c r="B1036" s="67"/>
      <c r="C1036" s="39"/>
      <c r="D1036" s="68"/>
      <c r="E1036" s="68"/>
      <c r="F1036" s="58"/>
      <c r="G1036" s="58"/>
      <c r="H1036" s="211"/>
    </row>
    <row r="1037" spans="2:8" ht="18" customHeight="1" x14ac:dyDescent="0.25">
      <c r="B1037" s="67"/>
      <c r="C1037" s="39"/>
      <c r="D1037" s="68"/>
      <c r="E1037" s="68"/>
      <c r="F1037" s="58"/>
      <c r="G1037" s="58"/>
      <c r="H1037" s="211"/>
    </row>
    <row r="1038" spans="2:8" ht="18" customHeight="1" x14ac:dyDescent="0.25">
      <c r="B1038" s="67"/>
      <c r="C1038" s="39"/>
      <c r="D1038" s="68"/>
      <c r="E1038" s="68"/>
      <c r="F1038" s="58"/>
      <c r="G1038" s="58"/>
      <c r="H1038" s="211"/>
    </row>
    <row r="1039" spans="2:8" ht="18" customHeight="1" x14ac:dyDescent="0.25">
      <c r="B1039" s="67"/>
      <c r="C1039" s="39"/>
      <c r="D1039" s="68"/>
      <c r="E1039" s="68"/>
      <c r="F1039" s="58"/>
      <c r="G1039" s="58"/>
      <c r="H1039" s="211"/>
    </row>
    <row r="1040" spans="2:8" ht="18" customHeight="1" x14ac:dyDescent="0.25">
      <c r="B1040" s="245"/>
      <c r="C1040" s="247"/>
      <c r="D1040" s="248"/>
      <c r="E1040" s="248"/>
      <c r="F1040" s="249"/>
      <c r="G1040" s="249"/>
      <c r="H1040" s="250"/>
    </row>
    <row r="1041" spans="2:8" ht="18" customHeight="1" x14ac:dyDescent="0.25">
      <c r="B1041" s="67"/>
      <c r="C1041" s="39"/>
      <c r="D1041" s="68"/>
      <c r="E1041" s="68"/>
      <c r="F1041" s="58"/>
      <c r="G1041" s="58"/>
      <c r="H1041" s="211"/>
    </row>
    <row r="1042" spans="2:8" ht="18" customHeight="1" x14ac:dyDescent="0.25">
      <c r="B1042" s="212"/>
      <c r="C1042" s="213"/>
      <c r="D1042" s="108"/>
      <c r="E1042" s="108"/>
      <c r="F1042" s="214"/>
      <c r="G1042" s="214"/>
      <c r="H1042" s="215"/>
    </row>
    <row r="1043" spans="2:8" ht="18" customHeight="1" x14ac:dyDescent="0.25">
      <c r="B1043" s="245"/>
      <c r="C1043" s="247"/>
      <c r="D1043" s="248"/>
      <c r="E1043" s="248"/>
      <c r="F1043" s="249"/>
      <c r="G1043" s="249"/>
      <c r="H1043" s="250"/>
    </row>
    <row r="1044" spans="2:8" ht="18" customHeight="1" x14ac:dyDescent="0.25">
      <c r="B1044" s="67"/>
      <c r="C1044" s="39"/>
      <c r="D1044" s="68"/>
      <c r="E1044" s="68"/>
      <c r="F1044" s="58"/>
      <c r="G1044" s="58"/>
      <c r="H1044" s="211"/>
    </row>
    <row r="1045" spans="2:8" ht="18" customHeight="1" x14ac:dyDescent="0.25">
      <c r="B1045" s="67"/>
      <c r="C1045" s="39"/>
      <c r="D1045" s="68"/>
      <c r="E1045" s="68"/>
      <c r="F1045" s="58"/>
      <c r="G1045" s="58"/>
      <c r="H1045" s="211"/>
    </row>
    <row r="1046" spans="2:8" ht="18" customHeight="1" x14ac:dyDescent="0.25">
      <c r="B1046" s="67"/>
      <c r="C1046" s="39"/>
      <c r="D1046" s="68"/>
      <c r="E1046" s="68"/>
      <c r="F1046" s="58"/>
      <c r="G1046" s="58"/>
      <c r="H1046" s="211"/>
    </row>
    <row r="1047" spans="2:8" ht="18" customHeight="1" x14ac:dyDescent="0.25">
      <c r="B1047" s="67"/>
      <c r="C1047" s="39"/>
      <c r="D1047" s="68"/>
      <c r="E1047" s="68"/>
      <c r="F1047" s="58"/>
      <c r="G1047" s="58"/>
      <c r="H1047" s="211"/>
    </row>
    <row r="1048" spans="2:8" ht="18" customHeight="1" x14ac:dyDescent="0.25">
      <c r="B1048" s="67"/>
      <c r="C1048" s="39"/>
      <c r="D1048" s="68"/>
      <c r="E1048" s="68"/>
      <c r="F1048" s="58"/>
      <c r="G1048" s="58"/>
      <c r="H1048" s="211"/>
    </row>
    <row r="1049" spans="2:8" ht="18" customHeight="1" x14ac:dyDescent="0.25">
      <c r="B1049" s="212"/>
      <c r="C1049" s="213"/>
      <c r="D1049" s="108"/>
      <c r="E1049" s="108"/>
      <c r="F1049" s="214"/>
      <c r="G1049" s="214"/>
      <c r="H1049" s="215"/>
    </row>
    <row r="1050" spans="2:8" ht="18" customHeight="1" x14ac:dyDescent="0.25">
      <c r="B1050" s="245"/>
      <c r="C1050" s="247"/>
      <c r="D1050" s="248"/>
      <c r="E1050" s="248"/>
      <c r="F1050" s="249"/>
      <c r="G1050" s="249"/>
      <c r="H1050" s="250"/>
    </row>
    <row r="1051" spans="2:8" ht="18" customHeight="1" x14ac:dyDescent="0.25">
      <c r="B1051" s="212"/>
      <c r="C1051" s="216"/>
      <c r="D1051" s="108"/>
      <c r="E1051" s="108"/>
      <c r="F1051" s="214"/>
      <c r="G1051" s="214"/>
      <c r="H1051" s="215"/>
    </row>
    <row r="1052" spans="2:8" ht="18" customHeight="1" x14ac:dyDescent="0.25">
      <c r="B1052" s="245"/>
      <c r="C1052" s="247"/>
      <c r="D1052" s="248"/>
      <c r="E1052" s="248"/>
      <c r="F1052" s="249"/>
      <c r="G1052" s="249"/>
      <c r="H1052" s="250"/>
    </row>
    <row r="1053" spans="2:8" ht="18" customHeight="1" x14ac:dyDescent="0.25">
      <c r="B1053" s="67"/>
      <c r="C1053" s="39"/>
      <c r="D1053" s="68"/>
      <c r="E1053" s="68"/>
      <c r="F1053" s="58"/>
      <c r="G1053" s="58"/>
      <c r="H1053" s="211"/>
    </row>
    <row r="1054" spans="2:8" ht="18" customHeight="1" x14ac:dyDescent="0.25">
      <c r="B1054" s="67"/>
      <c r="C1054" s="39"/>
      <c r="D1054" s="68"/>
      <c r="E1054" s="68"/>
      <c r="F1054" s="58"/>
      <c r="G1054" s="58"/>
      <c r="H1054" s="211"/>
    </row>
    <row r="1055" spans="2:8" ht="18" customHeight="1" x14ac:dyDescent="0.25">
      <c r="B1055" s="212"/>
      <c r="C1055" s="213"/>
      <c r="D1055" s="108"/>
      <c r="E1055" s="108"/>
      <c r="F1055" s="214"/>
      <c r="G1055" s="214"/>
      <c r="H1055" s="215"/>
    </row>
    <row r="1056" spans="2:8" ht="18" customHeight="1" x14ac:dyDescent="0.25">
      <c r="B1056" s="67"/>
      <c r="C1056" s="39"/>
      <c r="D1056" s="68"/>
      <c r="E1056" s="68"/>
      <c r="F1056" s="58"/>
      <c r="G1056" s="58"/>
      <c r="H1056" s="211"/>
    </row>
    <row r="1057" spans="2:8" ht="18" customHeight="1" x14ac:dyDescent="0.25">
      <c r="B1057" s="67"/>
      <c r="C1057" s="39"/>
      <c r="D1057" s="68"/>
      <c r="E1057" s="68"/>
      <c r="F1057" s="58"/>
      <c r="G1057" s="58"/>
      <c r="H1057" s="211"/>
    </row>
    <row r="1058" spans="2:8" ht="18" customHeight="1" x14ac:dyDescent="0.25">
      <c r="B1058" s="67"/>
      <c r="C1058" s="39"/>
      <c r="D1058" s="68"/>
      <c r="E1058" s="68"/>
      <c r="F1058" s="58"/>
      <c r="G1058" s="58"/>
      <c r="H1058" s="211"/>
    </row>
    <row r="1059" spans="2:8" ht="18" customHeight="1" x14ac:dyDescent="0.25">
      <c r="B1059" s="67"/>
      <c r="C1059" s="39"/>
      <c r="D1059" s="68"/>
      <c r="E1059" s="68"/>
      <c r="F1059" s="58"/>
      <c r="G1059" s="58"/>
      <c r="H1059" s="211"/>
    </row>
    <row r="1060" spans="2:8" ht="18" customHeight="1" x14ac:dyDescent="0.25">
      <c r="B1060" s="67"/>
      <c r="C1060" s="39"/>
      <c r="D1060" s="68"/>
      <c r="E1060" s="68"/>
      <c r="F1060" s="58"/>
      <c r="G1060" s="58"/>
      <c r="H1060" s="211"/>
    </row>
    <row r="1061" spans="2:8" ht="18" customHeight="1" x14ac:dyDescent="0.25">
      <c r="B1061" s="67"/>
      <c r="C1061" s="39"/>
      <c r="D1061" s="68"/>
      <c r="E1061" s="68"/>
      <c r="F1061" s="58"/>
      <c r="G1061" s="58"/>
      <c r="H1061" s="211"/>
    </row>
    <row r="1062" spans="2:8" ht="18" customHeight="1" x14ac:dyDescent="0.25">
      <c r="B1062" s="67"/>
      <c r="C1062" s="39"/>
      <c r="D1062" s="68"/>
      <c r="E1062" s="68"/>
      <c r="F1062" s="58"/>
      <c r="G1062" s="58"/>
      <c r="H1062" s="211"/>
    </row>
    <row r="1063" spans="2:8" ht="18" customHeight="1" x14ac:dyDescent="0.25">
      <c r="B1063" s="67"/>
      <c r="C1063" s="39"/>
      <c r="D1063" s="68"/>
      <c r="E1063" s="68"/>
      <c r="F1063" s="58"/>
      <c r="G1063" s="58"/>
      <c r="H1063" s="211"/>
    </row>
    <row r="1064" spans="2:8" ht="18" customHeight="1" x14ac:dyDescent="0.25">
      <c r="B1064" s="67"/>
      <c r="C1064" s="39"/>
      <c r="D1064" s="68"/>
      <c r="E1064" s="68"/>
      <c r="F1064" s="58"/>
      <c r="G1064" s="58"/>
      <c r="H1064" s="211"/>
    </row>
    <row r="1065" spans="2:8" ht="18" customHeight="1" x14ac:dyDescent="0.25">
      <c r="B1065" s="212"/>
      <c r="C1065" s="213"/>
      <c r="D1065" s="108"/>
      <c r="E1065" s="108"/>
      <c r="F1065" s="214"/>
      <c r="G1065" s="214"/>
      <c r="H1065" s="215"/>
    </row>
    <row r="1066" spans="2:8" ht="18" customHeight="1" x14ac:dyDescent="0.25">
      <c r="B1066" s="67"/>
      <c r="C1066" s="39"/>
      <c r="D1066" s="68"/>
      <c r="E1066" s="68"/>
      <c r="F1066" s="58"/>
      <c r="G1066" s="58"/>
      <c r="H1066" s="211"/>
    </row>
    <row r="1067" spans="2:8" ht="18" customHeight="1" x14ac:dyDescent="0.25">
      <c r="B1067" s="67"/>
      <c r="C1067" s="39"/>
      <c r="D1067" s="68"/>
      <c r="E1067" s="68"/>
      <c r="F1067" s="58"/>
      <c r="G1067" s="58"/>
      <c r="H1067" s="211"/>
    </row>
    <row r="1068" spans="2:8" ht="18" customHeight="1" x14ac:dyDescent="0.25">
      <c r="B1068" s="67"/>
      <c r="C1068" s="39"/>
      <c r="D1068" s="68"/>
      <c r="E1068" s="68"/>
      <c r="F1068" s="58"/>
      <c r="G1068" s="58"/>
      <c r="H1068" s="211"/>
    </row>
    <row r="1069" spans="2:8" ht="18" customHeight="1" x14ac:dyDescent="0.25">
      <c r="B1069" s="67"/>
      <c r="C1069" s="39"/>
      <c r="D1069" s="68"/>
      <c r="E1069" s="68"/>
      <c r="F1069" s="58"/>
      <c r="G1069" s="58"/>
      <c r="H1069" s="211"/>
    </row>
    <row r="1070" spans="2:8" ht="18" customHeight="1" x14ac:dyDescent="0.25">
      <c r="B1070" s="67"/>
      <c r="C1070" s="39"/>
      <c r="D1070" s="68"/>
      <c r="E1070" s="68"/>
      <c r="F1070" s="58"/>
      <c r="G1070" s="58"/>
      <c r="H1070" s="211"/>
    </row>
    <row r="1071" spans="2:8" ht="18" customHeight="1" x14ac:dyDescent="0.25">
      <c r="B1071" s="245"/>
      <c r="C1071" s="247"/>
      <c r="D1071" s="248"/>
      <c r="E1071" s="248"/>
      <c r="F1071" s="249"/>
      <c r="G1071" s="249"/>
      <c r="H1071" s="250"/>
    </row>
    <row r="1072" spans="2:8" ht="18" customHeight="1" x14ac:dyDescent="0.25">
      <c r="B1072" s="245"/>
      <c r="C1072" s="247"/>
      <c r="D1072" s="248"/>
      <c r="E1072" s="248"/>
      <c r="F1072" s="249"/>
      <c r="G1072" s="249"/>
      <c r="H1072" s="250"/>
    </row>
    <row r="1073" spans="2:8" ht="18" customHeight="1" x14ac:dyDescent="0.25">
      <c r="B1073" s="245"/>
      <c r="C1073" s="247"/>
      <c r="D1073" s="248"/>
      <c r="E1073" s="248"/>
      <c r="F1073" s="249"/>
      <c r="G1073" s="249"/>
      <c r="H1073" s="250"/>
    </row>
    <row r="1074" spans="2:8" ht="18" customHeight="1" x14ac:dyDescent="0.25">
      <c r="B1074" s="245"/>
      <c r="C1074" s="247"/>
      <c r="D1074" s="248"/>
      <c r="E1074" s="248"/>
      <c r="F1074" s="249"/>
      <c r="G1074" s="249"/>
      <c r="H1074" s="250"/>
    </row>
    <row r="1075" spans="2:8" ht="18" customHeight="1" x14ac:dyDescent="0.25">
      <c r="B1075" s="67"/>
      <c r="C1075" s="39"/>
      <c r="D1075" s="68"/>
      <c r="E1075" s="68"/>
      <c r="F1075" s="58"/>
      <c r="G1075" s="58"/>
      <c r="H1075" s="211"/>
    </row>
    <row r="1076" spans="2:8" ht="18" customHeight="1" x14ac:dyDescent="0.25">
      <c r="B1076" s="67"/>
      <c r="C1076" s="39"/>
      <c r="D1076" s="68"/>
      <c r="E1076" s="68"/>
      <c r="F1076" s="58"/>
      <c r="G1076" s="58"/>
      <c r="H1076" s="211"/>
    </row>
    <row r="1077" spans="2:8" ht="18" customHeight="1" x14ac:dyDescent="0.25">
      <c r="B1077" s="245"/>
      <c r="C1077" s="247"/>
      <c r="D1077" s="248"/>
      <c r="E1077" s="248"/>
      <c r="F1077" s="249"/>
      <c r="G1077" s="249"/>
      <c r="H1077" s="250"/>
    </row>
    <row r="1078" spans="2:8" ht="18" customHeight="1" x14ac:dyDescent="0.25">
      <c r="B1078" s="67"/>
      <c r="C1078" s="39"/>
      <c r="D1078" s="68"/>
      <c r="E1078" s="68"/>
      <c r="F1078" s="58"/>
      <c r="G1078" s="58"/>
      <c r="H1078" s="211"/>
    </row>
    <row r="1079" spans="2:8" ht="18" customHeight="1" x14ac:dyDescent="0.25">
      <c r="B1079" s="67"/>
      <c r="C1079" s="39"/>
      <c r="D1079" s="68"/>
      <c r="E1079" s="68"/>
      <c r="F1079" s="58"/>
      <c r="G1079" s="58"/>
      <c r="H1079" s="211"/>
    </row>
    <row r="1080" spans="2:8" ht="18" customHeight="1" x14ac:dyDescent="0.25">
      <c r="B1080" s="245"/>
      <c r="C1080" s="247"/>
      <c r="D1080" s="248"/>
      <c r="E1080" s="248"/>
      <c r="F1080" s="249"/>
      <c r="G1080" s="249"/>
      <c r="H1080" s="250"/>
    </row>
    <row r="1081" spans="2:8" ht="18" customHeight="1" x14ac:dyDescent="0.25">
      <c r="B1081" s="212"/>
      <c r="C1081" s="213"/>
      <c r="D1081" s="108"/>
      <c r="E1081" s="108"/>
      <c r="F1081" s="214"/>
      <c r="G1081" s="214"/>
      <c r="H1081" s="215"/>
    </row>
    <row r="1082" spans="2:8" ht="18" customHeight="1" x14ac:dyDescent="0.25">
      <c r="B1082" s="67"/>
      <c r="C1082" s="39"/>
      <c r="D1082" s="68"/>
      <c r="E1082" s="68"/>
      <c r="F1082" s="58"/>
      <c r="G1082" s="58"/>
      <c r="H1082" s="211"/>
    </row>
    <row r="1083" spans="2:8" ht="18" customHeight="1" x14ac:dyDescent="0.25">
      <c r="B1083" s="67"/>
      <c r="C1083" s="39"/>
      <c r="D1083" s="68"/>
      <c r="E1083" s="68"/>
      <c r="F1083" s="58"/>
      <c r="G1083" s="58"/>
      <c r="H1083" s="211"/>
    </row>
    <row r="1084" spans="2:8" ht="18" customHeight="1" x14ac:dyDescent="0.25">
      <c r="B1084" s="67"/>
      <c r="C1084" s="39"/>
      <c r="D1084" s="68"/>
      <c r="E1084" s="68"/>
      <c r="F1084" s="58"/>
      <c r="G1084" s="58"/>
      <c r="H1084" s="211"/>
    </row>
    <row r="1085" spans="2:8" ht="18" customHeight="1" x14ac:dyDescent="0.25">
      <c r="B1085" s="245"/>
      <c r="C1085" s="247"/>
      <c r="D1085" s="248"/>
      <c r="E1085" s="248"/>
      <c r="F1085" s="249"/>
      <c r="G1085" s="249"/>
      <c r="H1085" s="250"/>
    </row>
    <row r="1086" spans="2:8" ht="18" customHeight="1" x14ac:dyDescent="0.25">
      <c r="B1086" s="67"/>
      <c r="C1086" s="39"/>
      <c r="D1086" s="68"/>
      <c r="E1086" s="68"/>
      <c r="F1086" s="58"/>
      <c r="G1086" s="58"/>
      <c r="H1086" s="211"/>
    </row>
    <row r="1087" spans="2:8" ht="18" customHeight="1" x14ac:dyDescent="0.25">
      <c r="B1087" s="67"/>
      <c r="C1087" s="39"/>
      <c r="D1087" s="68"/>
      <c r="E1087" s="68"/>
      <c r="F1087" s="58"/>
      <c r="G1087" s="58"/>
      <c r="H1087" s="211"/>
    </row>
    <row r="1088" spans="2:8" ht="18" customHeight="1" x14ac:dyDescent="0.25">
      <c r="B1088" s="67"/>
      <c r="C1088" s="39"/>
      <c r="D1088" s="68"/>
      <c r="E1088" s="68"/>
      <c r="F1088" s="58"/>
      <c r="G1088" s="58"/>
      <c r="H1088" s="211"/>
    </row>
    <row r="1089" spans="2:8" ht="18" customHeight="1" x14ac:dyDescent="0.25">
      <c r="B1089" s="212"/>
      <c r="C1089" s="213"/>
      <c r="D1089" s="108"/>
      <c r="E1089" s="108"/>
      <c r="F1089" s="214"/>
      <c r="G1089" s="214"/>
      <c r="H1089" s="215"/>
    </row>
    <row r="1090" spans="2:8" ht="18" customHeight="1" x14ac:dyDescent="0.25">
      <c r="B1090" s="245"/>
      <c r="C1090" s="247"/>
      <c r="D1090" s="248"/>
      <c r="E1090" s="248"/>
      <c r="F1090" s="249"/>
      <c r="G1090" s="249"/>
      <c r="H1090" s="250"/>
    </row>
    <row r="1091" spans="2:8" ht="18" customHeight="1" x14ac:dyDescent="0.25">
      <c r="B1091" s="67"/>
      <c r="C1091" s="39"/>
      <c r="D1091" s="68"/>
      <c r="E1091" s="68"/>
      <c r="F1091" s="58"/>
      <c r="G1091" s="58"/>
      <c r="H1091" s="211"/>
    </row>
    <row r="1092" spans="2:8" ht="18" customHeight="1" x14ac:dyDescent="0.25">
      <c r="B1092" s="245"/>
      <c r="C1092" s="247"/>
      <c r="D1092" s="248"/>
      <c r="E1092" s="248"/>
      <c r="F1092" s="249"/>
      <c r="G1092" s="249"/>
      <c r="H1092" s="250"/>
    </row>
    <row r="1093" spans="2:8" ht="18" customHeight="1" x14ac:dyDescent="0.25">
      <c r="B1093" s="67"/>
      <c r="C1093" s="39"/>
      <c r="D1093" s="68"/>
      <c r="E1093" s="68"/>
      <c r="F1093" s="58"/>
      <c r="G1093" s="58"/>
      <c r="H1093" s="211"/>
    </row>
    <row r="1094" spans="2:8" ht="18" customHeight="1" x14ac:dyDescent="0.25">
      <c r="B1094" s="212"/>
      <c r="C1094" s="213"/>
      <c r="D1094" s="108"/>
      <c r="E1094" s="108"/>
      <c r="F1094" s="214"/>
      <c r="G1094" s="214"/>
      <c r="H1094" s="215"/>
    </row>
    <row r="1095" spans="2:8" ht="18" customHeight="1" x14ac:dyDescent="0.25">
      <c r="B1095" s="67"/>
      <c r="C1095" s="39"/>
      <c r="D1095" s="68"/>
      <c r="E1095" s="68"/>
      <c r="F1095" s="58"/>
      <c r="G1095" s="58"/>
      <c r="H1095" s="211"/>
    </row>
    <row r="1096" spans="2:8" ht="18" customHeight="1" x14ac:dyDescent="0.25">
      <c r="B1096" s="67"/>
      <c r="C1096" s="39"/>
      <c r="D1096" s="68"/>
      <c r="E1096" s="68"/>
      <c r="F1096" s="58"/>
      <c r="G1096" s="58"/>
      <c r="H1096" s="211"/>
    </row>
    <row r="1097" spans="2:8" ht="18" customHeight="1" x14ac:dyDescent="0.25">
      <c r="B1097" s="67"/>
      <c r="C1097" s="39"/>
      <c r="D1097" s="68"/>
      <c r="E1097" s="68"/>
      <c r="F1097" s="58"/>
      <c r="G1097" s="58"/>
      <c r="H1097" s="211"/>
    </row>
    <row r="1098" spans="2:8" ht="18" customHeight="1" x14ac:dyDescent="0.25">
      <c r="B1098" s="67"/>
      <c r="C1098" s="39"/>
      <c r="D1098" s="68"/>
      <c r="E1098" s="68"/>
      <c r="F1098" s="58"/>
      <c r="G1098" s="58"/>
      <c r="H1098" s="211"/>
    </row>
    <row r="1099" spans="2:8" ht="18" customHeight="1" x14ac:dyDescent="0.25">
      <c r="B1099" s="67"/>
      <c r="C1099" s="39"/>
      <c r="D1099" s="68"/>
      <c r="E1099" s="68"/>
      <c r="F1099" s="58"/>
      <c r="G1099" s="58"/>
      <c r="H1099" s="211"/>
    </row>
    <row r="1100" spans="2:8" ht="18" customHeight="1" x14ac:dyDescent="0.25">
      <c r="B1100" s="67"/>
      <c r="C1100" s="39"/>
      <c r="D1100" s="68"/>
      <c r="E1100" s="68"/>
      <c r="F1100" s="58"/>
      <c r="G1100" s="58"/>
      <c r="H1100" s="211"/>
    </row>
    <row r="1101" spans="2:8" ht="18" customHeight="1" x14ac:dyDescent="0.25">
      <c r="B1101" s="67"/>
      <c r="C1101" s="39"/>
      <c r="D1101" s="68"/>
      <c r="E1101" s="68"/>
      <c r="F1101" s="58"/>
      <c r="G1101" s="58"/>
      <c r="H1101" s="211"/>
    </row>
    <row r="1102" spans="2:8" ht="18" customHeight="1" x14ac:dyDescent="0.25">
      <c r="B1102" s="67"/>
      <c r="C1102" s="39"/>
      <c r="D1102" s="68"/>
      <c r="E1102" s="68"/>
      <c r="F1102" s="58"/>
      <c r="G1102" s="58"/>
      <c r="H1102" s="211"/>
    </row>
    <row r="1103" spans="2:8" ht="18" customHeight="1" x14ac:dyDescent="0.25">
      <c r="B1103" s="67"/>
      <c r="C1103" s="39"/>
      <c r="D1103" s="68"/>
      <c r="E1103" s="68"/>
      <c r="F1103" s="58"/>
      <c r="G1103" s="58"/>
      <c r="H1103" s="211"/>
    </row>
    <row r="1104" spans="2:8" ht="18" customHeight="1" x14ac:dyDescent="0.25">
      <c r="B1104" s="67"/>
      <c r="C1104" s="39"/>
      <c r="D1104" s="68"/>
      <c r="E1104" s="68"/>
      <c r="F1104" s="58"/>
      <c r="G1104" s="58"/>
      <c r="H1104" s="211"/>
    </row>
    <row r="1105" spans="2:8" ht="18" customHeight="1" x14ac:dyDescent="0.25">
      <c r="B1105" s="212"/>
      <c r="C1105" s="213"/>
      <c r="D1105" s="108"/>
      <c r="E1105" s="108"/>
      <c r="F1105" s="214"/>
      <c r="G1105" s="214"/>
      <c r="H1105" s="215"/>
    </row>
    <row r="1106" spans="2:8" ht="18" customHeight="1" x14ac:dyDescent="0.25">
      <c r="B1106" s="67"/>
      <c r="C1106" s="39"/>
      <c r="D1106" s="68"/>
      <c r="E1106" s="68"/>
      <c r="F1106" s="58"/>
      <c r="G1106" s="58"/>
      <c r="H1106" s="211"/>
    </row>
    <row r="1107" spans="2:8" ht="18" customHeight="1" x14ac:dyDescent="0.25">
      <c r="B1107" s="67"/>
      <c r="C1107" s="39"/>
      <c r="D1107" s="68"/>
      <c r="E1107" s="68"/>
      <c r="F1107" s="58"/>
      <c r="G1107" s="58"/>
      <c r="H1107" s="211"/>
    </row>
    <row r="1108" spans="2:8" ht="18" customHeight="1" x14ac:dyDescent="0.25">
      <c r="B1108" s="67"/>
      <c r="C1108" s="39"/>
      <c r="D1108" s="68"/>
      <c r="E1108" s="68"/>
      <c r="F1108" s="58"/>
      <c r="G1108" s="58"/>
      <c r="H1108" s="211"/>
    </row>
    <row r="1109" spans="2:8" ht="18" customHeight="1" x14ac:dyDescent="0.25">
      <c r="B1109" s="67"/>
      <c r="C1109" s="39"/>
      <c r="D1109" s="68"/>
      <c r="E1109" s="68"/>
      <c r="F1109" s="58"/>
      <c r="G1109" s="58"/>
      <c r="H1109" s="211"/>
    </row>
    <row r="1110" spans="2:8" ht="18" customHeight="1" x14ac:dyDescent="0.25">
      <c r="B1110" s="245"/>
      <c r="C1110" s="247"/>
      <c r="D1110" s="248"/>
      <c r="E1110" s="248"/>
      <c r="F1110" s="249"/>
      <c r="G1110" s="249"/>
      <c r="H1110" s="250"/>
    </row>
    <row r="1111" spans="2:8" ht="18" customHeight="1" x14ac:dyDescent="0.25">
      <c r="B1111" s="245"/>
      <c r="C1111" s="247"/>
      <c r="D1111" s="248"/>
      <c r="E1111" s="248"/>
      <c r="F1111" s="249"/>
      <c r="G1111" s="249"/>
      <c r="H1111" s="250"/>
    </row>
    <row r="1112" spans="2:8" ht="18" customHeight="1" x14ac:dyDescent="0.25">
      <c r="B1112" s="245"/>
      <c r="C1112" s="247"/>
      <c r="D1112" s="248"/>
      <c r="E1112" s="248"/>
      <c r="F1112" s="249"/>
      <c r="G1112" s="249"/>
      <c r="H1112" s="250"/>
    </row>
    <row r="1113" spans="2:8" ht="18" customHeight="1" x14ac:dyDescent="0.25">
      <c r="B1113" s="245"/>
      <c r="C1113" s="247"/>
      <c r="D1113" s="248"/>
      <c r="E1113" s="248"/>
      <c r="F1113" s="249"/>
      <c r="G1113" s="249"/>
      <c r="H1113" s="250"/>
    </row>
    <row r="1114" spans="2:8" ht="18" customHeight="1" x14ac:dyDescent="0.25">
      <c r="B1114" s="212"/>
      <c r="C1114" s="213"/>
      <c r="D1114" s="108"/>
      <c r="E1114" s="108"/>
      <c r="F1114" s="214"/>
      <c r="G1114" s="214"/>
      <c r="H1114" s="215"/>
    </row>
    <row r="1115" spans="2:8" ht="18" customHeight="1" x14ac:dyDescent="0.25">
      <c r="B1115" s="67"/>
      <c r="C1115" s="39"/>
      <c r="D1115" s="68"/>
      <c r="E1115" s="68"/>
      <c r="F1115" s="58"/>
      <c r="G1115" s="58"/>
      <c r="H1115" s="211"/>
    </row>
    <row r="1116" spans="2:8" ht="18" customHeight="1" x14ac:dyDescent="0.25">
      <c r="B1116" s="67"/>
      <c r="C1116" s="39"/>
      <c r="D1116" s="68"/>
      <c r="E1116" s="68"/>
      <c r="F1116" s="58"/>
      <c r="G1116" s="58"/>
      <c r="H1116" s="211"/>
    </row>
    <row r="1117" spans="2:8" ht="18" customHeight="1" x14ac:dyDescent="0.25">
      <c r="B1117" s="245"/>
      <c r="C1117" s="247"/>
      <c r="D1117" s="248"/>
      <c r="E1117" s="248"/>
      <c r="F1117" s="249"/>
      <c r="G1117" s="249"/>
      <c r="H1117" s="250"/>
    </row>
    <row r="1118" spans="2:8" ht="18" customHeight="1" x14ac:dyDescent="0.25">
      <c r="B1118" s="245"/>
      <c r="C1118" s="247"/>
      <c r="D1118" s="248"/>
      <c r="E1118" s="248"/>
      <c r="F1118" s="249"/>
      <c r="G1118" s="249"/>
      <c r="H1118" s="250"/>
    </row>
    <row r="1119" spans="2:8" ht="18" customHeight="1" x14ac:dyDescent="0.25">
      <c r="B1119" s="67"/>
      <c r="C1119" s="39"/>
      <c r="D1119" s="68"/>
      <c r="E1119" s="68"/>
      <c r="F1119" s="58"/>
      <c r="G1119" s="58"/>
      <c r="H1119" s="211"/>
    </row>
    <row r="1120" spans="2:8" ht="18" customHeight="1" x14ac:dyDescent="0.25">
      <c r="B1120" s="245"/>
      <c r="C1120" s="247"/>
      <c r="D1120" s="248"/>
      <c r="E1120" s="248"/>
      <c r="F1120" s="249"/>
      <c r="G1120" s="249"/>
      <c r="H1120" s="250"/>
    </row>
    <row r="1121" spans="2:8" ht="18" customHeight="1" x14ac:dyDescent="0.25">
      <c r="B1121" s="67"/>
      <c r="C1121" s="39"/>
      <c r="D1121" s="68"/>
      <c r="E1121" s="68"/>
      <c r="F1121" s="58"/>
      <c r="G1121" s="58"/>
      <c r="H1121" s="211"/>
    </row>
    <row r="1122" spans="2:8" ht="18" customHeight="1" x14ac:dyDescent="0.25">
      <c r="B1122" s="67"/>
      <c r="C1122" s="39"/>
      <c r="D1122" s="68"/>
      <c r="E1122" s="68"/>
      <c r="F1122" s="58"/>
      <c r="G1122" s="58"/>
      <c r="H1122" s="211"/>
    </row>
    <row r="1123" spans="2:8" ht="18" customHeight="1" x14ac:dyDescent="0.25">
      <c r="B1123" s="67"/>
      <c r="C1123" s="39"/>
      <c r="D1123" s="68"/>
      <c r="E1123" s="68"/>
      <c r="F1123" s="58"/>
      <c r="G1123" s="58"/>
      <c r="H1123" s="211"/>
    </row>
    <row r="1124" spans="2:8" ht="18" customHeight="1" x14ac:dyDescent="0.25">
      <c r="B1124" s="67"/>
      <c r="C1124" s="39"/>
      <c r="D1124" s="68"/>
      <c r="E1124" s="68"/>
      <c r="F1124" s="58"/>
      <c r="G1124" s="58"/>
      <c r="H1124" s="211"/>
    </row>
    <row r="1125" spans="2:8" ht="18" customHeight="1" x14ac:dyDescent="0.25">
      <c r="B1125" s="67"/>
      <c r="C1125" s="39"/>
      <c r="D1125" s="68"/>
      <c r="E1125" s="68"/>
      <c r="F1125" s="58"/>
      <c r="G1125" s="58"/>
      <c r="H1125" s="211"/>
    </row>
    <row r="1126" spans="2:8" ht="18" customHeight="1" x14ac:dyDescent="0.25">
      <c r="B1126" s="245"/>
      <c r="C1126" s="247"/>
      <c r="D1126" s="248"/>
      <c r="E1126" s="248"/>
      <c r="F1126" s="249"/>
      <c r="G1126" s="249"/>
      <c r="H1126" s="250"/>
    </row>
    <row r="1127" spans="2:8" ht="18" customHeight="1" x14ac:dyDescent="0.25">
      <c r="B1127" s="67"/>
      <c r="C1127" s="39"/>
      <c r="D1127" s="68"/>
      <c r="E1127" s="68"/>
      <c r="F1127" s="58"/>
      <c r="G1127" s="58"/>
      <c r="H1127" s="211"/>
    </row>
    <row r="1128" spans="2:8" ht="18" customHeight="1" x14ac:dyDescent="0.25">
      <c r="B1128" s="67"/>
      <c r="C1128" s="39"/>
      <c r="D1128" s="68"/>
      <c r="E1128" s="68"/>
      <c r="F1128" s="58"/>
      <c r="G1128" s="58"/>
      <c r="H1128" s="211"/>
    </row>
    <row r="1129" spans="2:8" ht="18" customHeight="1" x14ac:dyDescent="0.25">
      <c r="B1129" s="67"/>
      <c r="C1129" s="39"/>
      <c r="D1129" s="68"/>
      <c r="E1129" s="68"/>
      <c r="F1129" s="58"/>
      <c r="G1129" s="58"/>
      <c r="H1129" s="211"/>
    </row>
    <row r="1130" spans="2:8" ht="18" customHeight="1" x14ac:dyDescent="0.25">
      <c r="B1130" s="67"/>
      <c r="C1130" s="39"/>
      <c r="D1130" s="68"/>
      <c r="E1130" s="68"/>
      <c r="F1130" s="58"/>
      <c r="G1130" s="58"/>
      <c r="H1130" s="211"/>
    </row>
    <row r="1131" spans="2:8" ht="18" customHeight="1" x14ac:dyDescent="0.25">
      <c r="B1131" s="67"/>
      <c r="C1131" s="39"/>
      <c r="D1131" s="68"/>
      <c r="E1131" s="68"/>
      <c r="F1131" s="58"/>
      <c r="G1131" s="58"/>
      <c r="H1131" s="211"/>
    </row>
    <row r="1132" spans="2:8" ht="18" customHeight="1" x14ac:dyDescent="0.25">
      <c r="B1132" s="67"/>
      <c r="C1132" s="39"/>
      <c r="D1132" s="68"/>
      <c r="E1132" s="68"/>
      <c r="F1132" s="58"/>
      <c r="G1132" s="58"/>
      <c r="H1132" s="211"/>
    </row>
    <row r="1133" spans="2:8" ht="18" customHeight="1" x14ac:dyDescent="0.25">
      <c r="B1133" s="67"/>
      <c r="C1133" s="39"/>
      <c r="D1133" s="68"/>
      <c r="E1133" s="68"/>
      <c r="F1133" s="58"/>
      <c r="G1133" s="58"/>
      <c r="H1133" s="211"/>
    </row>
    <row r="1134" spans="2:8" ht="18" customHeight="1" x14ac:dyDescent="0.25">
      <c r="B1134" s="245"/>
      <c r="C1134" s="247"/>
      <c r="D1134" s="248"/>
      <c r="E1134" s="248"/>
      <c r="F1134" s="249"/>
      <c r="G1134" s="249"/>
      <c r="H1134" s="250"/>
    </row>
    <row r="1135" spans="2:8" ht="18" customHeight="1" x14ac:dyDescent="0.25">
      <c r="B1135" s="245"/>
      <c r="C1135" s="247"/>
      <c r="D1135" s="248"/>
      <c r="E1135" s="248"/>
      <c r="F1135" s="249"/>
      <c r="G1135" s="249"/>
      <c r="H1135" s="250"/>
    </row>
    <row r="1136" spans="2:8" ht="18" customHeight="1" x14ac:dyDescent="0.25">
      <c r="B1136" s="245"/>
      <c r="C1136" s="247"/>
      <c r="D1136" s="248"/>
      <c r="E1136" s="248"/>
      <c r="F1136" s="249"/>
      <c r="G1136" s="249"/>
      <c r="H1136" s="250"/>
    </row>
    <row r="1137" spans="2:8" ht="18" customHeight="1" x14ac:dyDescent="0.25">
      <c r="B1137" s="245"/>
      <c r="C1137" s="247"/>
      <c r="D1137" s="248"/>
      <c r="E1137" s="248"/>
      <c r="F1137" s="249"/>
      <c r="G1137" s="249"/>
      <c r="H1137" s="250"/>
    </row>
    <row r="1138" spans="2:8" ht="18" customHeight="1" x14ac:dyDescent="0.25">
      <c r="B1138" s="67"/>
      <c r="C1138" s="39"/>
      <c r="D1138" s="68"/>
      <c r="E1138" s="68"/>
      <c r="F1138" s="58"/>
      <c r="G1138" s="58"/>
      <c r="H1138" s="211"/>
    </row>
    <row r="1139" spans="2:8" ht="18" customHeight="1" x14ac:dyDescent="0.25">
      <c r="B1139" s="212"/>
      <c r="C1139" s="213"/>
      <c r="D1139" s="108"/>
      <c r="E1139" s="108"/>
      <c r="F1139" s="214"/>
      <c r="G1139" s="214"/>
      <c r="H1139" s="215"/>
    </row>
    <row r="1140" spans="2:8" ht="18" customHeight="1" x14ac:dyDescent="0.25">
      <c r="B1140" s="67"/>
      <c r="C1140" s="39"/>
      <c r="D1140" s="68"/>
      <c r="E1140" s="68"/>
      <c r="F1140" s="58"/>
      <c r="G1140" s="58"/>
      <c r="H1140" s="211"/>
    </row>
    <row r="1141" spans="2:8" ht="18" customHeight="1" x14ac:dyDescent="0.25">
      <c r="B1141" s="67"/>
      <c r="C1141" s="39"/>
      <c r="D1141" s="68"/>
      <c r="E1141" s="68"/>
      <c r="F1141" s="58"/>
      <c r="G1141" s="58"/>
      <c r="H1141" s="211"/>
    </row>
    <row r="1142" spans="2:8" ht="18" customHeight="1" x14ac:dyDescent="0.25">
      <c r="B1142" s="245"/>
      <c r="C1142" s="247"/>
      <c r="D1142" s="248"/>
      <c r="E1142" s="248"/>
      <c r="F1142" s="249"/>
      <c r="G1142" s="249"/>
      <c r="H1142" s="250"/>
    </row>
    <row r="1143" spans="2:8" ht="18" customHeight="1" x14ac:dyDescent="0.25">
      <c r="B1143" s="67"/>
      <c r="C1143" s="39"/>
      <c r="D1143" s="68"/>
      <c r="E1143" s="68"/>
      <c r="F1143" s="58"/>
      <c r="G1143" s="58"/>
      <c r="H1143" s="211"/>
    </row>
    <row r="1144" spans="2:8" ht="18" customHeight="1" x14ac:dyDescent="0.25">
      <c r="B1144" s="67"/>
      <c r="C1144" s="39"/>
      <c r="D1144" s="68"/>
      <c r="E1144" s="68"/>
      <c r="F1144" s="58"/>
      <c r="G1144" s="58"/>
      <c r="H1144" s="211"/>
    </row>
    <row r="1145" spans="2:8" ht="18" customHeight="1" x14ac:dyDescent="0.25">
      <c r="B1145" s="67"/>
      <c r="C1145" s="39"/>
      <c r="D1145" s="68"/>
      <c r="E1145" s="68"/>
      <c r="F1145" s="58"/>
      <c r="G1145" s="58"/>
      <c r="H1145" s="211"/>
    </row>
    <row r="1146" spans="2:8" ht="18" customHeight="1" x14ac:dyDescent="0.25">
      <c r="B1146" s="67"/>
      <c r="C1146" s="39"/>
      <c r="D1146" s="68"/>
      <c r="E1146" s="68"/>
      <c r="F1146" s="58"/>
      <c r="G1146" s="58"/>
      <c r="H1146" s="211"/>
    </row>
    <row r="1147" spans="2:8" ht="18" customHeight="1" x14ac:dyDescent="0.25">
      <c r="B1147" s="67"/>
      <c r="C1147" s="39"/>
      <c r="D1147" s="68"/>
      <c r="E1147" s="68"/>
      <c r="F1147" s="58"/>
      <c r="G1147" s="58"/>
      <c r="H1147" s="211"/>
    </row>
    <row r="1148" spans="2:8" ht="18" customHeight="1" x14ac:dyDescent="0.25">
      <c r="B1148" s="67"/>
      <c r="C1148" s="39"/>
      <c r="D1148" s="68"/>
      <c r="E1148" s="68"/>
      <c r="F1148" s="58"/>
      <c r="G1148" s="58"/>
      <c r="H1148" s="211"/>
    </row>
    <row r="1149" spans="2:8" ht="18" customHeight="1" x14ac:dyDescent="0.25">
      <c r="B1149" s="67"/>
      <c r="C1149" s="39"/>
      <c r="D1149" s="68"/>
      <c r="E1149" s="68"/>
      <c r="F1149" s="58"/>
      <c r="G1149" s="58"/>
      <c r="H1149" s="211"/>
    </row>
    <row r="1150" spans="2:8" ht="18" customHeight="1" x14ac:dyDescent="0.25">
      <c r="B1150" s="67"/>
      <c r="C1150" s="39"/>
      <c r="D1150" s="68"/>
      <c r="E1150" s="68"/>
      <c r="F1150" s="58"/>
      <c r="G1150" s="58"/>
      <c r="H1150" s="211"/>
    </row>
    <row r="1151" spans="2:8" ht="18" customHeight="1" x14ac:dyDescent="0.25">
      <c r="B1151" s="67"/>
      <c r="C1151" s="39"/>
      <c r="D1151" s="68"/>
      <c r="E1151" s="68"/>
      <c r="F1151" s="58"/>
      <c r="G1151" s="58"/>
      <c r="H1151" s="211"/>
    </row>
    <row r="1152" spans="2:8" ht="18" customHeight="1" x14ac:dyDescent="0.25">
      <c r="B1152" s="67"/>
      <c r="C1152" s="39"/>
      <c r="D1152" s="68"/>
      <c r="E1152" s="68"/>
      <c r="F1152" s="58"/>
      <c r="G1152" s="58"/>
      <c r="H1152" s="211"/>
    </row>
    <row r="1153" spans="2:8" ht="18" customHeight="1" x14ac:dyDescent="0.25">
      <c r="B1153" s="67"/>
      <c r="C1153" s="39"/>
      <c r="D1153" s="68"/>
      <c r="E1153" s="68"/>
      <c r="F1153" s="58"/>
      <c r="G1153" s="58"/>
      <c r="H1153" s="211"/>
    </row>
    <row r="1154" spans="2:8" ht="18" customHeight="1" x14ac:dyDescent="0.25">
      <c r="B1154" s="285"/>
      <c r="C1154" s="76"/>
      <c r="D1154" s="77"/>
      <c r="E1154" s="77"/>
      <c r="F1154" s="199"/>
      <c r="G1154" s="199"/>
      <c r="H1154" s="286"/>
    </row>
    <row r="1155" spans="2:8" ht="18" customHeight="1" x14ac:dyDescent="0.25">
      <c r="B1155" s="212"/>
      <c r="C1155" s="213"/>
      <c r="D1155" s="108"/>
      <c r="E1155" s="108"/>
      <c r="F1155" s="214"/>
      <c r="G1155" s="214"/>
      <c r="H1155" s="215"/>
    </row>
    <row r="1156" spans="2:8" ht="18" customHeight="1" x14ac:dyDescent="0.25">
      <c r="B1156" s="67"/>
      <c r="C1156" s="39"/>
      <c r="D1156" s="68"/>
      <c r="E1156" s="68"/>
      <c r="F1156" s="58"/>
      <c r="G1156" s="58"/>
      <c r="H1156" s="211"/>
    </row>
    <row r="1157" spans="2:8" ht="18" customHeight="1" x14ac:dyDescent="0.25">
      <c r="B1157" s="67"/>
      <c r="C1157" s="39"/>
      <c r="D1157" s="68"/>
      <c r="E1157" s="68"/>
      <c r="F1157" s="58"/>
      <c r="G1157" s="58"/>
      <c r="H1157" s="211"/>
    </row>
    <row r="1158" spans="2:8" ht="18" customHeight="1" x14ac:dyDescent="0.25">
      <c r="B1158" s="67"/>
      <c r="C1158" s="39"/>
      <c r="D1158" s="68"/>
      <c r="E1158" s="68"/>
      <c r="F1158" s="58"/>
      <c r="G1158" s="58"/>
      <c r="H1158" s="211"/>
    </row>
    <row r="1159" spans="2:8" ht="18" customHeight="1" x14ac:dyDescent="0.25">
      <c r="B1159" s="67"/>
      <c r="C1159" s="39"/>
      <c r="D1159" s="68"/>
      <c r="E1159" s="68"/>
      <c r="F1159" s="58"/>
      <c r="G1159" s="58"/>
      <c r="H1159" s="211"/>
    </row>
    <row r="1160" spans="2:8" ht="18" customHeight="1" x14ac:dyDescent="0.25">
      <c r="B1160" s="67"/>
      <c r="C1160" s="39"/>
      <c r="D1160" s="68"/>
      <c r="E1160" s="68"/>
      <c r="F1160" s="58"/>
      <c r="G1160" s="58"/>
      <c r="H1160" s="211"/>
    </row>
    <row r="1161" spans="2:8" ht="18" customHeight="1" x14ac:dyDescent="0.25">
      <c r="B1161" s="67"/>
      <c r="C1161" s="39"/>
      <c r="D1161" s="68"/>
      <c r="E1161" s="68"/>
      <c r="F1161" s="58"/>
      <c r="G1161" s="58"/>
      <c r="H1161" s="211"/>
    </row>
    <row r="1162" spans="2:8" ht="18" customHeight="1" x14ac:dyDescent="0.25">
      <c r="B1162" s="67"/>
      <c r="C1162" s="39"/>
      <c r="D1162" s="68"/>
      <c r="E1162" s="68"/>
      <c r="F1162" s="58"/>
      <c r="G1162" s="58"/>
      <c r="H1162" s="211"/>
    </row>
    <row r="1163" spans="2:8" ht="18" customHeight="1" x14ac:dyDescent="0.25">
      <c r="B1163" s="67"/>
      <c r="C1163" s="39"/>
      <c r="D1163" s="68"/>
      <c r="E1163" s="68"/>
      <c r="F1163" s="58"/>
      <c r="G1163" s="58"/>
      <c r="H1163" s="211"/>
    </row>
    <row r="1164" spans="2:8" ht="18" customHeight="1" x14ac:dyDescent="0.25">
      <c r="B1164" s="67"/>
      <c r="C1164" s="39"/>
      <c r="D1164" s="68"/>
      <c r="E1164" s="68"/>
      <c r="F1164" s="58"/>
      <c r="G1164" s="58"/>
      <c r="H1164" s="211"/>
    </row>
    <row r="1165" spans="2:8" ht="18" customHeight="1" x14ac:dyDescent="0.25">
      <c r="B1165" s="67"/>
      <c r="C1165" s="39"/>
      <c r="D1165" s="68"/>
      <c r="E1165" s="68"/>
      <c r="F1165" s="58"/>
      <c r="G1165" s="58"/>
      <c r="H1165" s="211"/>
    </row>
    <row r="1166" spans="2:8" ht="18" customHeight="1" x14ac:dyDescent="0.25">
      <c r="B1166" s="67"/>
      <c r="C1166" s="39"/>
      <c r="D1166" s="68"/>
      <c r="E1166" s="68"/>
      <c r="F1166" s="58"/>
      <c r="G1166" s="58"/>
      <c r="H1166" s="211"/>
    </row>
    <row r="1167" spans="2:8" ht="18" customHeight="1" x14ac:dyDescent="0.25">
      <c r="B1167" s="67"/>
      <c r="C1167" s="39"/>
      <c r="D1167" s="68"/>
      <c r="E1167" s="68"/>
      <c r="F1167" s="58"/>
      <c r="G1167" s="58"/>
      <c r="H1167" s="211"/>
    </row>
    <row r="1168" spans="2:8" ht="18" customHeight="1" x14ac:dyDescent="0.25">
      <c r="B1168" s="67"/>
      <c r="C1168" s="39"/>
      <c r="D1168" s="68"/>
      <c r="E1168" s="68"/>
      <c r="F1168" s="58"/>
      <c r="G1168" s="58"/>
      <c r="H1168" s="211"/>
    </row>
    <row r="1169" spans="2:8" ht="18" customHeight="1" x14ac:dyDescent="0.25">
      <c r="B1169" s="67"/>
      <c r="C1169" s="39"/>
      <c r="D1169" s="68"/>
      <c r="E1169" s="68"/>
      <c r="F1169" s="58"/>
      <c r="G1169" s="58"/>
      <c r="H1169" s="211"/>
    </row>
    <row r="1170" spans="2:8" ht="18" customHeight="1" x14ac:dyDescent="0.25">
      <c r="B1170" s="67"/>
      <c r="C1170" s="39"/>
      <c r="D1170" s="68"/>
      <c r="E1170" s="68"/>
      <c r="F1170" s="58"/>
      <c r="G1170" s="58"/>
      <c r="H1170" s="211"/>
    </row>
    <row r="1171" spans="2:8" ht="18" customHeight="1" x14ac:dyDescent="0.25">
      <c r="B1171" s="67"/>
      <c r="C1171" s="39"/>
      <c r="D1171" s="68"/>
      <c r="E1171" s="68"/>
      <c r="F1171" s="58"/>
      <c r="G1171" s="58"/>
      <c r="H1171" s="211"/>
    </row>
    <row r="1172" spans="2:8" ht="18" customHeight="1" x14ac:dyDescent="0.25">
      <c r="B1172" s="67"/>
      <c r="C1172" s="39"/>
      <c r="D1172" s="68"/>
      <c r="E1172" s="68"/>
      <c r="F1172" s="58"/>
      <c r="G1172" s="58"/>
      <c r="H1172" s="211"/>
    </row>
    <row r="1173" spans="2:8" ht="18" customHeight="1" x14ac:dyDescent="0.25">
      <c r="B1173" s="67"/>
      <c r="C1173" s="39"/>
      <c r="D1173" s="68"/>
      <c r="E1173" s="68"/>
      <c r="F1173" s="58"/>
      <c r="G1173" s="58"/>
      <c r="H1173" s="211"/>
    </row>
    <row r="1174" spans="2:8" ht="18" customHeight="1" x14ac:dyDescent="0.25">
      <c r="B1174" s="67"/>
      <c r="C1174" s="39"/>
      <c r="D1174" s="68"/>
      <c r="E1174" s="68"/>
      <c r="F1174" s="58"/>
      <c r="G1174" s="58"/>
      <c r="H1174" s="211"/>
    </row>
    <row r="1175" spans="2:8" ht="18" customHeight="1" x14ac:dyDescent="0.25">
      <c r="B1175" s="67"/>
      <c r="C1175" s="39"/>
      <c r="D1175" s="68"/>
      <c r="E1175" s="68"/>
      <c r="F1175" s="58"/>
      <c r="G1175" s="58"/>
      <c r="H1175" s="211"/>
    </row>
    <row r="1176" spans="2:8" ht="18" customHeight="1" x14ac:dyDescent="0.25">
      <c r="B1176" s="67"/>
      <c r="C1176" s="39"/>
      <c r="D1176" s="68"/>
      <c r="E1176" s="68"/>
      <c r="F1176" s="58"/>
      <c r="G1176" s="58"/>
      <c r="H1176" s="211"/>
    </row>
    <row r="1177" spans="2:8" ht="18" customHeight="1" x14ac:dyDescent="0.25">
      <c r="B1177" s="67"/>
      <c r="C1177" s="39"/>
      <c r="D1177" s="68"/>
      <c r="E1177" s="68"/>
      <c r="F1177" s="58"/>
      <c r="G1177" s="58"/>
      <c r="H1177" s="211"/>
    </row>
    <row r="1178" spans="2:8" ht="18" customHeight="1" x14ac:dyDescent="0.25">
      <c r="B1178" s="67"/>
      <c r="C1178" s="39"/>
      <c r="D1178" s="68"/>
      <c r="E1178" s="68"/>
      <c r="F1178" s="58"/>
      <c r="G1178" s="58"/>
      <c r="H1178" s="211"/>
    </row>
    <row r="1179" spans="2:8" ht="18" customHeight="1" x14ac:dyDescent="0.25">
      <c r="B1179" s="67"/>
      <c r="C1179" s="39"/>
      <c r="D1179" s="68"/>
      <c r="E1179" s="68"/>
      <c r="F1179" s="58"/>
      <c r="G1179" s="58"/>
      <c r="H1179" s="211"/>
    </row>
    <row r="1180" spans="2:8" ht="18" customHeight="1" x14ac:dyDescent="0.25">
      <c r="B1180" s="67"/>
      <c r="C1180" s="39"/>
      <c r="D1180" s="68"/>
      <c r="E1180" s="68"/>
      <c r="F1180" s="58"/>
      <c r="G1180" s="58"/>
      <c r="H1180" s="211"/>
    </row>
    <row r="1181" spans="2:8" ht="18" customHeight="1" x14ac:dyDescent="0.25">
      <c r="B1181" s="67"/>
      <c r="C1181" s="39"/>
      <c r="D1181" s="68"/>
      <c r="E1181" s="68"/>
      <c r="F1181" s="58"/>
      <c r="G1181" s="58"/>
      <c r="H1181" s="211"/>
    </row>
    <row r="1182" spans="2:8" ht="18" customHeight="1" x14ac:dyDescent="0.25">
      <c r="B1182" s="67"/>
      <c r="C1182" s="39"/>
      <c r="D1182" s="68"/>
      <c r="E1182" s="68"/>
      <c r="F1182" s="58"/>
      <c r="G1182" s="58"/>
      <c r="H1182" s="211"/>
    </row>
    <row r="1183" spans="2:8" ht="18" customHeight="1" x14ac:dyDescent="0.25">
      <c r="B1183" s="67"/>
      <c r="C1183" s="39"/>
      <c r="D1183" s="68"/>
      <c r="E1183" s="68"/>
      <c r="F1183" s="58"/>
      <c r="G1183" s="58"/>
      <c r="H1183" s="211"/>
    </row>
    <row r="1184" spans="2:8" ht="18" customHeight="1" x14ac:dyDescent="0.25">
      <c r="B1184" s="67"/>
      <c r="C1184" s="39"/>
      <c r="D1184" s="68"/>
      <c r="E1184" s="68"/>
      <c r="F1184" s="58"/>
      <c r="G1184" s="58"/>
      <c r="H1184" s="211"/>
    </row>
    <row r="1185" spans="2:8" ht="18" customHeight="1" x14ac:dyDescent="0.25">
      <c r="B1185" s="67"/>
      <c r="C1185" s="39"/>
      <c r="D1185" s="68"/>
      <c r="E1185" s="68"/>
      <c r="F1185" s="58"/>
      <c r="G1185" s="58"/>
      <c r="H1185" s="211"/>
    </row>
    <row r="1186" spans="2:8" ht="18" customHeight="1" x14ac:dyDescent="0.25">
      <c r="B1186" s="285"/>
      <c r="C1186" s="76"/>
      <c r="D1186" s="77"/>
      <c r="E1186" s="77"/>
      <c r="F1186" s="199"/>
      <c r="G1186" s="199"/>
      <c r="H1186" s="286"/>
    </row>
    <row r="1187" spans="2:8" ht="18" customHeight="1" x14ac:dyDescent="0.25">
      <c r="B1187" s="67"/>
      <c r="C1187" s="39"/>
      <c r="D1187" s="68"/>
      <c r="E1187" s="68"/>
      <c r="F1187" s="58"/>
      <c r="G1187" s="58"/>
      <c r="H1187" s="211"/>
    </row>
    <row r="1188" spans="2:8" ht="18" customHeight="1" x14ac:dyDescent="0.25">
      <c r="B1188" s="67"/>
      <c r="C1188" s="39"/>
      <c r="D1188" s="68"/>
      <c r="E1188" s="68"/>
      <c r="F1188" s="58"/>
      <c r="G1188" s="58"/>
      <c r="H1188" s="211"/>
    </row>
    <row r="1189" spans="2:8" ht="18" customHeight="1" x14ac:dyDescent="0.25">
      <c r="B1189" s="67"/>
      <c r="C1189" s="39"/>
      <c r="D1189" s="68"/>
      <c r="E1189" s="68"/>
      <c r="F1189" s="58"/>
      <c r="G1189" s="58"/>
      <c r="H1189" s="211"/>
    </row>
    <row r="1190" spans="2:8" ht="18" customHeight="1" x14ac:dyDescent="0.25">
      <c r="B1190" s="212"/>
      <c r="C1190" s="213"/>
      <c r="D1190" s="108"/>
      <c r="E1190" s="108"/>
      <c r="F1190" s="214"/>
      <c r="G1190" s="214"/>
      <c r="H1190" s="215"/>
    </row>
    <row r="1191" spans="2:8" ht="18" customHeight="1" x14ac:dyDescent="0.25">
      <c r="B1191" s="212"/>
      <c r="C1191" s="216"/>
      <c r="D1191" s="108"/>
      <c r="E1191" s="108"/>
      <c r="F1191" s="214"/>
      <c r="G1191" s="214"/>
      <c r="H1191" s="215"/>
    </row>
    <row r="1192" spans="2:8" ht="18" customHeight="1" x14ac:dyDescent="0.25">
      <c r="B1192" s="212"/>
      <c r="C1192" s="213"/>
      <c r="D1192" s="108"/>
      <c r="E1192" s="108"/>
      <c r="F1192" s="214"/>
      <c r="G1192" s="214"/>
      <c r="H1192" s="215"/>
    </row>
    <row r="1193" spans="2:8" ht="18" customHeight="1" x14ac:dyDescent="0.25">
      <c r="B1193" s="245"/>
      <c r="C1193" s="247"/>
      <c r="D1193" s="248"/>
      <c r="E1193" s="248"/>
      <c r="F1193" s="249"/>
      <c r="G1193" s="249"/>
      <c r="H1193" s="250"/>
    </row>
    <row r="1194" spans="2:8" ht="18" customHeight="1" x14ac:dyDescent="0.25">
      <c r="B1194" s="245"/>
      <c r="C1194" s="247"/>
      <c r="D1194" s="248"/>
      <c r="E1194" s="248"/>
      <c r="F1194" s="249"/>
      <c r="G1194" s="249"/>
      <c r="H1194" s="250"/>
    </row>
    <row r="1195" spans="2:8" ht="18" customHeight="1" x14ac:dyDescent="0.25">
      <c r="B1195" s="245"/>
      <c r="C1195" s="247"/>
      <c r="D1195" s="248"/>
      <c r="E1195" s="248"/>
      <c r="F1195" s="249"/>
      <c r="G1195" s="249"/>
      <c r="H1195" s="250"/>
    </row>
    <row r="1196" spans="2:8" ht="18" customHeight="1" x14ac:dyDescent="0.25">
      <c r="B1196" s="245"/>
      <c r="C1196" s="247"/>
      <c r="D1196" s="248"/>
      <c r="E1196" s="248"/>
      <c r="F1196" s="249"/>
      <c r="G1196" s="249"/>
      <c r="H1196" s="250"/>
    </row>
    <row r="1197" spans="2:8" ht="18" customHeight="1" x14ac:dyDescent="0.25">
      <c r="B1197" s="245"/>
      <c r="C1197" s="247"/>
      <c r="D1197" s="248"/>
      <c r="E1197" s="248"/>
      <c r="F1197" s="249"/>
      <c r="G1197" s="249"/>
      <c r="H1197" s="250"/>
    </row>
    <row r="1198" spans="2:8" ht="18" customHeight="1" x14ac:dyDescent="0.25">
      <c r="B1198" s="245"/>
      <c r="C1198" s="247"/>
      <c r="D1198" s="248"/>
      <c r="E1198" s="248"/>
      <c r="F1198" s="249"/>
      <c r="G1198" s="249"/>
      <c r="H1198" s="250"/>
    </row>
    <row r="1199" spans="2:8" ht="18" customHeight="1" x14ac:dyDescent="0.25">
      <c r="B1199" s="245"/>
      <c r="C1199" s="247"/>
      <c r="D1199" s="248"/>
      <c r="E1199" s="248"/>
      <c r="F1199" s="249"/>
      <c r="G1199" s="249"/>
      <c r="H1199" s="250"/>
    </row>
    <row r="1200" spans="2:8" ht="18" customHeight="1" x14ac:dyDescent="0.25">
      <c r="B1200" s="245"/>
      <c r="C1200" s="247"/>
      <c r="D1200" s="248"/>
      <c r="E1200" s="248"/>
      <c r="F1200" s="249"/>
      <c r="G1200" s="249"/>
      <c r="H1200" s="250"/>
    </row>
    <row r="1201" spans="2:8" ht="18" customHeight="1" x14ac:dyDescent="0.25">
      <c r="B1201" s="245"/>
      <c r="C1201" s="247"/>
      <c r="D1201" s="248"/>
      <c r="E1201" s="248"/>
      <c r="F1201" s="249"/>
      <c r="G1201" s="249"/>
      <c r="H1201" s="250"/>
    </row>
    <row r="1202" spans="2:8" ht="18" customHeight="1" x14ac:dyDescent="0.25">
      <c r="B1202" s="245"/>
      <c r="C1202" s="247"/>
      <c r="D1202" s="248"/>
      <c r="E1202" s="248"/>
      <c r="F1202" s="249"/>
      <c r="G1202" s="249"/>
      <c r="H1202" s="250"/>
    </row>
    <row r="1203" spans="2:8" ht="18" customHeight="1" x14ac:dyDescent="0.25">
      <c r="B1203" s="245"/>
      <c r="C1203" s="247"/>
      <c r="D1203" s="248"/>
      <c r="E1203" s="248"/>
      <c r="F1203" s="249"/>
      <c r="G1203" s="249"/>
      <c r="H1203" s="250"/>
    </row>
    <row r="1204" spans="2:8" ht="18" customHeight="1" x14ac:dyDescent="0.25">
      <c r="B1204" s="245"/>
      <c r="C1204" s="247"/>
      <c r="D1204" s="248"/>
      <c r="E1204" s="248"/>
      <c r="F1204" s="249"/>
      <c r="G1204" s="249"/>
      <c r="H1204" s="250"/>
    </row>
    <row r="1205" spans="2:8" ht="18" customHeight="1" x14ac:dyDescent="0.25">
      <c r="B1205" s="245"/>
      <c r="C1205" s="247"/>
      <c r="D1205" s="248"/>
      <c r="E1205" s="248"/>
      <c r="F1205" s="249"/>
      <c r="G1205" s="249"/>
      <c r="H1205" s="250"/>
    </row>
    <row r="1206" spans="2:8" ht="18" customHeight="1" x14ac:dyDescent="0.25">
      <c r="B1206" s="245"/>
      <c r="C1206" s="247"/>
      <c r="D1206" s="248"/>
      <c r="E1206" s="248"/>
      <c r="F1206" s="249"/>
      <c r="G1206" s="249"/>
      <c r="H1206" s="250"/>
    </row>
    <row r="1207" spans="2:8" ht="18" customHeight="1" x14ac:dyDescent="0.25">
      <c r="B1207" s="245"/>
      <c r="C1207" s="247"/>
      <c r="D1207" s="248"/>
      <c r="E1207" s="248"/>
      <c r="F1207" s="249"/>
      <c r="G1207" s="249"/>
      <c r="H1207" s="250"/>
    </row>
    <row r="1208" spans="2:8" ht="18" customHeight="1" x14ac:dyDescent="0.25">
      <c r="B1208" s="245"/>
      <c r="C1208" s="247"/>
      <c r="D1208" s="248"/>
      <c r="E1208" s="248"/>
      <c r="F1208" s="249"/>
      <c r="G1208" s="249"/>
      <c r="H1208" s="250"/>
    </row>
    <row r="1209" spans="2:8" ht="18" customHeight="1" x14ac:dyDescent="0.25">
      <c r="B1209" s="245"/>
      <c r="C1209" s="247"/>
      <c r="D1209" s="248"/>
      <c r="E1209" s="248"/>
      <c r="F1209" s="249"/>
      <c r="G1209" s="249"/>
      <c r="H1209" s="250"/>
    </row>
    <row r="1210" spans="2:8" ht="18" customHeight="1" x14ac:dyDescent="0.25">
      <c r="B1210" s="245"/>
      <c r="C1210" s="247"/>
      <c r="D1210" s="248"/>
      <c r="E1210" s="248"/>
      <c r="F1210" s="249"/>
      <c r="G1210" s="249"/>
      <c r="H1210" s="250"/>
    </row>
    <row r="1211" spans="2:8" ht="18" customHeight="1" x14ac:dyDescent="0.25">
      <c r="B1211" s="245"/>
      <c r="C1211" s="247"/>
      <c r="D1211" s="248"/>
      <c r="E1211" s="248"/>
      <c r="F1211" s="249"/>
      <c r="G1211" s="249"/>
      <c r="H1211" s="250"/>
    </row>
    <row r="1212" spans="2:8" ht="18" customHeight="1" x14ac:dyDescent="0.25">
      <c r="B1212" s="245"/>
      <c r="C1212" s="247"/>
      <c r="D1212" s="248"/>
      <c r="E1212" s="248"/>
      <c r="F1212" s="249"/>
      <c r="G1212" s="249"/>
      <c r="H1212" s="250"/>
    </row>
    <row r="1213" spans="2:8" ht="18" customHeight="1" x14ac:dyDescent="0.25">
      <c r="B1213" s="245"/>
      <c r="C1213" s="247"/>
      <c r="D1213" s="248"/>
      <c r="E1213" s="248"/>
      <c r="F1213" s="249"/>
      <c r="G1213" s="249"/>
      <c r="H1213" s="250"/>
    </row>
    <row r="1214" spans="2:8" ht="18" customHeight="1" x14ac:dyDescent="0.25">
      <c r="B1214" s="245"/>
      <c r="C1214" s="247"/>
      <c r="D1214" s="248"/>
      <c r="E1214" s="248"/>
      <c r="F1214" s="249"/>
      <c r="G1214" s="249"/>
      <c r="H1214" s="250"/>
    </row>
    <row r="1215" spans="2:8" ht="18" customHeight="1" x14ac:dyDescent="0.25">
      <c r="B1215" s="245"/>
      <c r="C1215" s="247"/>
      <c r="D1215" s="248"/>
      <c r="E1215" s="248"/>
      <c r="F1215" s="249"/>
      <c r="G1215" s="249"/>
      <c r="H1215" s="250"/>
    </row>
    <row r="1216" spans="2:8" ht="18" customHeight="1" x14ac:dyDescent="0.25">
      <c r="B1216" s="245"/>
      <c r="C1216" s="247"/>
      <c r="D1216" s="248"/>
      <c r="E1216" s="248"/>
      <c r="F1216" s="249"/>
      <c r="G1216" s="249"/>
      <c r="H1216" s="250"/>
    </row>
    <row r="1217" spans="2:8" ht="18" customHeight="1" x14ac:dyDescent="0.25">
      <c r="B1217" s="245"/>
      <c r="C1217" s="247"/>
      <c r="D1217" s="248"/>
      <c r="E1217" s="248"/>
      <c r="F1217" s="249"/>
      <c r="G1217" s="249"/>
      <c r="H1217" s="250"/>
    </row>
    <row r="1218" spans="2:8" ht="18" customHeight="1" x14ac:dyDescent="0.25">
      <c r="B1218" s="245"/>
      <c r="C1218" s="247"/>
      <c r="D1218" s="248"/>
      <c r="E1218" s="248"/>
      <c r="F1218" s="249"/>
      <c r="G1218" s="249"/>
      <c r="H1218" s="250"/>
    </row>
    <row r="1219" spans="2:8" ht="18" customHeight="1" x14ac:dyDescent="0.25">
      <c r="B1219" s="245"/>
      <c r="C1219" s="247"/>
      <c r="D1219" s="248"/>
      <c r="E1219" s="248"/>
      <c r="F1219" s="249"/>
      <c r="G1219" s="249"/>
      <c r="H1219" s="250"/>
    </row>
    <row r="1220" spans="2:8" ht="18" customHeight="1" x14ac:dyDescent="0.25">
      <c r="B1220" s="245"/>
      <c r="C1220" s="247"/>
      <c r="D1220" s="248"/>
      <c r="E1220" s="248"/>
      <c r="F1220" s="249"/>
      <c r="G1220" s="249"/>
      <c r="H1220" s="250"/>
    </row>
    <row r="1221" spans="2:8" ht="18" customHeight="1" x14ac:dyDescent="0.25">
      <c r="B1221" s="245"/>
      <c r="C1221" s="247"/>
      <c r="D1221" s="248"/>
      <c r="E1221" s="248"/>
      <c r="F1221" s="249"/>
      <c r="G1221" s="249"/>
      <c r="H1221" s="250"/>
    </row>
    <row r="1222" spans="2:8" ht="18" customHeight="1" x14ac:dyDescent="0.25">
      <c r="B1222" s="245"/>
      <c r="C1222" s="247"/>
      <c r="D1222" s="248"/>
      <c r="E1222" s="248"/>
      <c r="F1222" s="249"/>
      <c r="G1222" s="249"/>
      <c r="H1222" s="250"/>
    </row>
    <row r="1223" spans="2:8" ht="18" customHeight="1" x14ac:dyDescent="0.25">
      <c r="B1223" s="245"/>
      <c r="C1223" s="247"/>
      <c r="D1223" s="248"/>
      <c r="E1223" s="248"/>
      <c r="F1223" s="249"/>
      <c r="G1223" s="249"/>
      <c r="H1223" s="250"/>
    </row>
    <row r="1224" spans="2:8" ht="18" customHeight="1" x14ac:dyDescent="0.25">
      <c r="B1224" s="245"/>
      <c r="C1224" s="247"/>
      <c r="D1224" s="248"/>
      <c r="E1224" s="248"/>
      <c r="F1224" s="249"/>
      <c r="G1224" s="249"/>
      <c r="H1224" s="250"/>
    </row>
    <row r="1225" spans="2:8" ht="18" customHeight="1" x14ac:dyDescent="0.25">
      <c r="B1225" s="245"/>
      <c r="C1225" s="247"/>
      <c r="D1225" s="248"/>
      <c r="E1225" s="248"/>
      <c r="F1225" s="249"/>
      <c r="G1225" s="249"/>
      <c r="H1225" s="250"/>
    </row>
    <row r="1226" spans="2:8" ht="18" customHeight="1" x14ac:dyDescent="0.25">
      <c r="B1226" s="245"/>
      <c r="C1226" s="247"/>
      <c r="D1226" s="248"/>
      <c r="E1226" s="248"/>
      <c r="F1226" s="249"/>
      <c r="G1226" s="249"/>
      <c r="H1226" s="250"/>
    </row>
    <row r="1227" spans="2:8" ht="18" customHeight="1" x14ac:dyDescent="0.25">
      <c r="B1227" s="245"/>
      <c r="C1227" s="247"/>
      <c r="D1227" s="248"/>
      <c r="E1227" s="248"/>
      <c r="F1227" s="249"/>
      <c r="G1227" s="249"/>
      <c r="H1227" s="250"/>
    </row>
    <row r="1228" spans="2:8" ht="18" customHeight="1" x14ac:dyDescent="0.25">
      <c r="B1228" s="245"/>
      <c r="C1228" s="247"/>
      <c r="D1228" s="248"/>
      <c r="E1228" s="248"/>
      <c r="F1228" s="249"/>
      <c r="G1228" s="249"/>
      <c r="H1228" s="250"/>
    </row>
    <row r="1229" spans="2:8" ht="18" customHeight="1" x14ac:dyDescent="0.25">
      <c r="B1229" s="251"/>
      <c r="C1229" s="252"/>
      <c r="D1229" s="253"/>
      <c r="E1229" s="253"/>
      <c r="F1229" s="254"/>
      <c r="G1229" s="254"/>
      <c r="H1229" s="255"/>
    </row>
    <row r="1230" spans="2:8" ht="18" customHeight="1" x14ac:dyDescent="0.25">
      <c r="B1230" s="245"/>
      <c r="C1230" s="247"/>
      <c r="D1230" s="248"/>
      <c r="E1230" s="248"/>
      <c r="F1230" s="249"/>
      <c r="G1230" s="249"/>
      <c r="H1230" s="250"/>
    </row>
    <row r="1231" spans="2:8" ht="18" customHeight="1" x14ac:dyDescent="0.25">
      <c r="B1231" s="245"/>
      <c r="C1231" s="247"/>
      <c r="D1231" s="248"/>
      <c r="E1231" s="248"/>
      <c r="F1231" s="249"/>
      <c r="G1231" s="249"/>
      <c r="H1231" s="250"/>
    </row>
    <row r="1232" spans="2:8" ht="18" customHeight="1" x14ac:dyDescent="0.25">
      <c r="B1232" s="245"/>
      <c r="C1232" s="247"/>
      <c r="D1232" s="248"/>
      <c r="E1232" s="248"/>
      <c r="F1232" s="249"/>
      <c r="G1232" s="249"/>
      <c r="H1232" s="250"/>
    </row>
    <row r="1233" spans="2:8" ht="18" customHeight="1" x14ac:dyDescent="0.25">
      <c r="B1233" s="245"/>
      <c r="C1233" s="247"/>
      <c r="D1233" s="248"/>
      <c r="E1233" s="248"/>
      <c r="F1233" s="249"/>
      <c r="G1233" s="249"/>
      <c r="H1233" s="250"/>
    </row>
    <row r="1234" spans="2:8" ht="18" customHeight="1" x14ac:dyDescent="0.25">
      <c r="B1234" s="245"/>
      <c r="C1234" s="247"/>
      <c r="D1234" s="248"/>
      <c r="E1234" s="248"/>
      <c r="F1234" s="249"/>
      <c r="G1234" s="249"/>
      <c r="H1234" s="250"/>
    </row>
    <row r="1235" spans="2:8" ht="18" customHeight="1" x14ac:dyDescent="0.25">
      <c r="B1235" s="245"/>
      <c r="C1235" s="247"/>
      <c r="D1235" s="248"/>
      <c r="E1235" s="248"/>
      <c r="F1235" s="249"/>
      <c r="G1235" s="249"/>
      <c r="H1235" s="250"/>
    </row>
    <row r="1236" spans="2:8" ht="18" customHeight="1" x14ac:dyDescent="0.25">
      <c r="B1236" s="245"/>
      <c r="C1236" s="247"/>
      <c r="D1236" s="248"/>
      <c r="E1236" s="248"/>
      <c r="F1236" s="249"/>
      <c r="G1236" s="249"/>
      <c r="H1236" s="250"/>
    </row>
    <row r="1237" spans="2:8" ht="18" customHeight="1" x14ac:dyDescent="0.25">
      <c r="B1237" s="245"/>
      <c r="C1237" s="247"/>
      <c r="D1237" s="248"/>
      <c r="E1237" s="248"/>
      <c r="F1237" s="249"/>
      <c r="G1237" s="249"/>
      <c r="H1237" s="250"/>
    </row>
    <row r="1238" spans="2:8" ht="18" customHeight="1" x14ac:dyDescent="0.25">
      <c r="B1238" s="245"/>
      <c r="C1238" s="247"/>
      <c r="D1238" s="248"/>
      <c r="E1238" s="248"/>
      <c r="F1238" s="249"/>
      <c r="G1238" s="249"/>
      <c r="H1238" s="250"/>
    </row>
    <row r="1239" spans="2:8" ht="18" customHeight="1" x14ac:dyDescent="0.25">
      <c r="B1239" s="245"/>
      <c r="C1239" s="247"/>
      <c r="D1239" s="248"/>
      <c r="E1239" s="248"/>
      <c r="F1239" s="249"/>
      <c r="G1239" s="249"/>
      <c r="H1239" s="250"/>
    </row>
    <row r="1240" spans="2:8" ht="18" customHeight="1" x14ac:dyDescent="0.25">
      <c r="B1240" s="245"/>
      <c r="C1240" s="247"/>
      <c r="D1240" s="248"/>
      <c r="E1240" s="248"/>
      <c r="F1240" s="249"/>
      <c r="G1240" s="249"/>
      <c r="H1240" s="250"/>
    </row>
    <row r="1241" spans="2:8" ht="18" customHeight="1" x14ac:dyDescent="0.25">
      <c r="B1241" s="245"/>
      <c r="C1241" s="247"/>
      <c r="D1241" s="248"/>
      <c r="E1241" s="248"/>
      <c r="F1241" s="249"/>
      <c r="G1241" s="249"/>
      <c r="H1241" s="250"/>
    </row>
    <row r="1242" spans="2:8" ht="18" customHeight="1" x14ac:dyDescent="0.25">
      <c r="B1242" s="245"/>
      <c r="C1242" s="247"/>
      <c r="D1242" s="248"/>
      <c r="E1242" s="248"/>
      <c r="F1242" s="249"/>
      <c r="G1242" s="249"/>
      <c r="H1242" s="250"/>
    </row>
    <row r="1243" spans="2:8" ht="18" customHeight="1" x14ac:dyDescent="0.25">
      <c r="B1243" s="245"/>
      <c r="C1243" s="247"/>
      <c r="D1243" s="248"/>
      <c r="E1243" s="248"/>
      <c r="F1243" s="249"/>
      <c r="G1243" s="249"/>
      <c r="H1243" s="250"/>
    </row>
    <row r="1244" spans="2:8" ht="18" customHeight="1" x14ac:dyDescent="0.25">
      <c r="B1244" s="245"/>
      <c r="C1244" s="247"/>
      <c r="D1244" s="248"/>
      <c r="E1244" s="248"/>
      <c r="F1244" s="249"/>
      <c r="G1244" s="249"/>
      <c r="H1244" s="250"/>
    </row>
    <row r="1245" spans="2:8" ht="18" customHeight="1" x14ac:dyDescent="0.25">
      <c r="B1245" s="245"/>
      <c r="C1245" s="247"/>
      <c r="D1245" s="248"/>
      <c r="E1245" s="248"/>
      <c r="F1245" s="249"/>
      <c r="G1245" s="249"/>
      <c r="H1245" s="250"/>
    </row>
    <row r="1246" spans="2:8" ht="18" customHeight="1" x14ac:dyDescent="0.25">
      <c r="B1246" s="245"/>
      <c r="C1246" s="247"/>
      <c r="D1246" s="248"/>
      <c r="E1246" s="248"/>
      <c r="F1246" s="249"/>
      <c r="G1246" s="249"/>
      <c r="H1246" s="250"/>
    </row>
    <row r="1247" spans="2:8" ht="18" customHeight="1" x14ac:dyDescent="0.25">
      <c r="B1247" s="245"/>
      <c r="C1247" s="247"/>
      <c r="D1247" s="248"/>
      <c r="E1247" s="248"/>
      <c r="F1247" s="249"/>
      <c r="G1247" s="249"/>
      <c r="H1247" s="250"/>
    </row>
    <row r="1248" spans="2:8" ht="18" customHeight="1" x14ac:dyDescent="0.25">
      <c r="B1248" s="245"/>
      <c r="C1248" s="247"/>
      <c r="D1248" s="248"/>
      <c r="E1248" s="248"/>
      <c r="F1248" s="249"/>
      <c r="G1248" s="249"/>
      <c r="H1248" s="250"/>
    </row>
    <row r="1249" spans="2:8" ht="18" customHeight="1" x14ac:dyDescent="0.25">
      <c r="B1249" s="245"/>
      <c r="C1249" s="247"/>
      <c r="D1249" s="248"/>
      <c r="E1249" s="248"/>
      <c r="F1249" s="249"/>
      <c r="G1249" s="249"/>
      <c r="H1249" s="250"/>
    </row>
    <row r="1250" spans="2:8" ht="18" customHeight="1" x14ac:dyDescent="0.25">
      <c r="B1250" s="245"/>
      <c r="C1250" s="247"/>
      <c r="D1250" s="248"/>
      <c r="E1250" s="248"/>
      <c r="F1250" s="249"/>
      <c r="G1250" s="249"/>
      <c r="H1250" s="250"/>
    </row>
    <row r="1251" spans="2:8" ht="18" customHeight="1" x14ac:dyDescent="0.25">
      <c r="B1251" s="245"/>
      <c r="C1251" s="247"/>
      <c r="D1251" s="248"/>
      <c r="E1251" s="248"/>
      <c r="F1251" s="249"/>
      <c r="G1251" s="249"/>
      <c r="H1251" s="250"/>
    </row>
    <row r="1252" spans="2:8" ht="18" customHeight="1" x14ac:dyDescent="0.25">
      <c r="B1252" s="245"/>
      <c r="C1252" s="247"/>
      <c r="D1252" s="248"/>
      <c r="E1252" s="248"/>
      <c r="F1252" s="249"/>
      <c r="G1252" s="249"/>
      <c r="H1252" s="250"/>
    </row>
    <row r="1253" spans="2:8" ht="18" customHeight="1" x14ac:dyDescent="0.25">
      <c r="B1253" s="245"/>
      <c r="C1253" s="247"/>
      <c r="D1253" s="248"/>
      <c r="E1253" s="248"/>
      <c r="F1253" s="249"/>
      <c r="G1253" s="249"/>
      <c r="H1253" s="250"/>
    </row>
    <row r="1254" spans="2:8" ht="18" customHeight="1" x14ac:dyDescent="0.25">
      <c r="B1254" s="245"/>
      <c r="C1254" s="247"/>
      <c r="D1254" s="248"/>
      <c r="E1254" s="248"/>
      <c r="F1254" s="249"/>
      <c r="G1254" s="249"/>
      <c r="H1254" s="250"/>
    </row>
    <row r="1255" spans="2:8" ht="18" customHeight="1" x14ac:dyDescent="0.25">
      <c r="B1255" s="245"/>
      <c r="C1255" s="247"/>
      <c r="D1255" s="248"/>
      <c r="E1255" s="248"/>
      <c r="F1255" s="249"/>
      <c r="G1255" s="249"/>
      <c r="H1255" s="250"/>
    </row>
    <row r="1256" spans="2:8" ht="18" customHeight="1" x14ac:dyDescent="0.25">
      <c r="B1256" s="245"/>
      <c r="C1256" s="247"/>
      <c r="D1256" s="248"/>
      <c r="E1256" s="248"/>
      <c r="F1256" s="249"/>
      <c r="G1256" s="249"/>
      <c r="H1256" s="250"/>
    </row>
    <row r="1257" spans="2:8" ht="18" customHeight="1" x14ac:dyDescent="0.25">
      <c r="B1257" s="245"/>
      <c r="C1257" s="247"/>
      <c r="D1257" s="248"/>
      <c r="E1257" s="248"/>
      <c r="F1257" s="249"/>
      <c r="G1257" s="249"/>
      <c r="H1257" s="250"/>
    </row>
    <row r="1258" spans="2:8" ht="18" customHeight="1" x14ac:dyDescent="0.25">
      <c r="B1258" s="245"/>
      <c r="C1258" s="247"/>
      <c r="D1258" s="248"/>
      <c r="E1258" s="248"/>
      <c r="F1258" s="249"/>
      <c r="G1258" s="249"/>
      <c r="H1258" s="250"/>
    </row>
    <row r="1259" spans="2:8" ht="18" customHeight="1" x14ac:dyDescent="0.25">
      <c r="B1259" s="245"/>
      <c r="C1259" s="247"/>
      <c r="D1259" s="248"/>
      <c r="E1259" s="248"/>
      <c r="F1259" s="249"/>
      <c r="G1259" s="249"/>
      <c r="H1259" s="250"/>
    </row>
    <row r="1260" spans="2:8" ht="18" customHeight="1" x14ac:dyDescent="0.25">
      <c r="B1260" s="245"/>
      <c r="C1260" s="247"/>
      <c r="D1260" s="248"/>
      <c r="E1260" s="248"/>
      <c r="F1260" s="249"/>
      <c r="G1260" s="249"/>
      <c r="H1260" s="250"/>
    </row>
    <row r="1261" spans="2:8" ht="18" customHeight="1" x14ac:dyDescent="0.25">
      <c r="B1261" s="245"/>
      <c r="C1261" s="247"/>
      <c r="D1261" s="248"/>
      <c r="E1261" s="248"/>
      <c r="F1261" s="249"/>
      <c r="G1261" s="249"/>
      <c r="H1261" s="250"/>
    </row>
    <row r="1262" spans="2:8" ht="18" customHeight="1" x14ac:dyDescent="0.25">
      <c r="B1262" s="245"/>
      <c r="C1262" s="247"/>
      <c r="D1262" s="248"/>
      <c r="E1262" s="248"/>
      <c r="F1262" s="249"/>
      <c r="G1262" s="249"/>
      <c r="H1262" s="250"/>
    </row>
    <row r="1263" spans="2:8" ht="18" customHeight="1" x14ac:dyDescent="0.25">
      <c r="B1263" s="245"/>
      <c r="C1263" s="247"/>
      <c r="D1263" s="248"/>
      <c r="E1263" s="248"/>
      <c r="F1263" s="249"/>
      <c r="G1263" s="249"/>
      <c r="H1263" s="250"/>
    </row>
    <row r="1264" spans="2:8" ht="18" customHeight="1" x14ac:dyDescent="0.25">
      <c r="B1264" s="245"/>
      <c r="C1264" s="247"/>
      <c r="D1264" s="248"/>
      <c r="E1264" s="248"/>
      <c r="F1264" s="249"/>
      <c r="G1264" s="249"/>
      <c r="H1264" s="250"/>
    </row>
    <row r="1265" spans="2:8" ht="18" customHeight="1" x14ac:dyDescent="0.25">
      <c r="B1265" s="245"/>
      <c r="C1265" s="247"/>
      <c r="D1265" s="248"/>
      <c r="E1265" s="248"/>
      <c r="F1265" s="249"/>
      <c r="G1265" s="249"/>
      <c r="H1265" s="250"/>
    </row>
    <row r="1266" spans="2:8" ht="18" customHeight="1" x14ac:dyDescent="0.25">
      <c r="B1266" s="245"/>
      <c r="C1266" s="247"/>
      <c r="D1266" s="248"/>
      <c r="E1266" s="248"/>
      <c r="F1266" s="249"/>
      <c r="G1266" s="249"/>
      <c r="H1266" s="250"/>
    </row>
    <row r="1267" spans="2:8" ht="18" customHeight="1" x14ac:dyDescent="0.25">
      <c r="B1267" s="245"/>
      <c r="C1267" s="247"/>
      <c r="D1267" s="248"/>
      <c r="E1267" s="248"/>
      <c r="F1267" s="249"/>
      <c r="G1267" s="249"/>
      <c r="H1267" s="250"/>
    </row>
    <row r="1268" spans="2:8" ht="18" customHeight="1" x14ac:dyDescent="0.25">
      <c r="B1268" s="245"/>
      <c r="C1268" s="247"/>
      <c r="D1268" s="248"/>
      <c r="E1268" s="248"/>
      <c r="F1268" s="249"/>
      <c r="G1268" s="249"/>
      <c r="H1268" s="250"/>
    </row>
    <row r="1269" spans="2:8" ht="18" customHeight="1" x14ac:dyDescent="0.25">
      <c r="B1269" s="245"/>
      <c r="C1269" s="247"/>
      <c r="D1269" s="248"/>
      <c r="E1269" s="248"/>
      <c r="F1269" s="249"/>
      <c r="G1269" s="249"/>
      <c r="H1269" s="250"/>
    </row>
    <row r="1270" spans="2:8" ht="18" customHeight="1" x14ac:dyDescent="0.25">
      <c r="B1270" s="245"/>
      <c r="C1270" s="247"/>
      <c r="D1270" s="248"/>
      <c r="E1270" s="248"/>
      <c r="F1270" s="249"/>
      <c r="G1270" s="249"/>
      <c r="H1270" s="250"/>
    </row>
    <row r="1271" spans="2:8" ht="18" customHeight="1" x14ac:dyDescent="0.25">
      <c r="B1271" s="245"/>
      <c r="C1271" s="247"/>
      <c r="D1271" s="248"/>
      <c r="E1271" s="248"/>
      <c r="F1271" s="249"/>
      <c r="G1271" s="249"/>
      <c r="H1271" s="250"/>
    </row>
    <row r="1272" spans="2:8" ht="18" customHeight="1" x14ac:dyDescent="0.25">
      <c r="B1272" s="245"/>
      <c r="C1272" s="247"/>
      <c r="D1272" s="248"/>
      <c r="E1272" s="248"/>
      <c r="F1272" s="249"/>
      <c r="G1272" s="249"/>
      <c r="H1272" s="250"/>
    </row>
    <row r="1273" spans="2:8" ht="18" customHeight="1" x14ac:dyDescent="0.25">
      <c r="B1273" s="245"/>
      <c r="C1273" s="247"/>
      <c r="D1273" s="248"/>
      <c r="E1273" s="248"/>
      <c r="F1273" s="249"/>
      <c r="G1273" s="249"/>
      <c r="H1273" s="250"/>
    </row>
    <row r="1274" spans="2:8" ht="18" customHeight="1" x14ac:dyDescent="0.25">
      <c r="B1274" s="245"/>
      <c r="C1274" s="247"/>
      <c r="D1274" s="248"/>
      <c r="E1274" s="248"/>
      <c r="F1274" s="249"/>
      <c r="G1274" s="249"/>
      <c r="H1274" s="250"/>
    </row>
    <row r="1275" spans="2:8" ht="18" customHeight="1" x14ac:dyDescent="0.25">
      <c r="B1275" s="245"/>
      <c r="C1275" s="247"/>
      <c r="D1275" s="248"/>
      <c r="E1275" s="248"/>
      <c r="F1275" s="249"/>
      <c r="G1275" s="249"/>
      <c r="H1275" s="250"/>
    </row>
    <row r="1276" spans="2:8" ht="18" customHeight="1" x14ac:dyDescent="0.25">
      <c r="B1276" s="245"/>
      <c r="C1276" s="247"/>
      <c r="D1276" s="248"/>
      <c r="E1276" s="248"/>
      <c r="F1276" s="249"/>
      <c r="G1276" s="249"/>
      <c r="H1276" s="250"/>
    </row>
    <row r="1277" spans="2:8" ht="18" customHeight="1" x14ac:dyDescent="0.25">
      <c r="B1277" s="245"/>
      <c r="C1277" s="247"/>
      <c r="D1277" s="248"/>
      <c r="E1277" s="248"/>
      <c r="F1277" s="249"/>
      <c r="G1277" s="249"/>
      <c r="H1277" s="250"/>
    </row>
    <row r="1278" spans="2:8" ht="18" customHeight="1" x14ac:dyDescent="0.25">
      <c r="B1278" s="245"/>
      <c r="C1278" s="247"/>
      <c r="D1278" s="248"/>
      <c r="E1278" s="248"/>
      <c r="F1278" s="249"/>
      <c r="G1278" s="249"/>
      <c r="H1278" s="250"/>
    </row>
    <row r="1279" spans="2:8" ht="18" customHeight="1" x14ac:dyDescent="0.25">
      <c r="B1279" s="245"/>
      <c r="C1279" s="247"/>
      <c r="D1279" s="248"/>
      <c r="E1279" s="248"/>
      <c r="F1279" s="249"/>
      <c r="G1279" s="249"/>
      <c r="H1279" s="250"/>
    </row>
    <row r="1280" spans="2:8" ht="18" customHeight="1" x14ac:dyDescent="0.25">
      <c r="B1280" s="245"/>
      <c r="C1280" s="246"/>
      <c r="D1280" s="248"/>
      <c r="E1280" s="248"/>
      <c r="F1280" s="249"/>
      <c r="G1280" s="249"/>
      <c r="H1280" s="250"/>
    </row>
    <row r="1281" spans="2:8" ht="18" customHeight="1" x14ac:dyDescent="0.25">
      <c r="B1281" s="245"/>
      <c r="C1281" s="247"/>
      <c r="D1281" s="248"/>
      <c r="E1281" s="248"/>
      <c r="F1281" s="249"/>
      <c r="G1281" s="249"/>
      <c r="H1281" s="250"/>
    </row>
    <row r="1282" spans="2:8" ht="18" customHeight="1" x14ac:dyDescent="0.25">
      <c r="B1282" s="245"/>
      <c r="C1282" s="247"/>
      <c r="D1282" s="248"/>
      <c r="E1282" s="248"/>
      <c r="F1282" s="249"/>
      <c r="G1282" s="249"/>
      <c r="H1282" s="250"/>
    </row>
    <row r="1283" spans="2:8" ht="18" customHeight="1" x14ac:dyDescent="0.25">
      <c r="B1283" s="245"/>
      <c r="C1283" s="247"/>
      <c r="D1283" s="248"/>
      <c r="E1283" s="248"/>
      <c r="F1283" s="249"/>
      <c r="G1283" s="249"/>
      <c r="H1283" s="250"/>
    </row>
    <row r="1284" spans="2:8" ht="18" customHeight="1" x14ac:dyDescent="0.25">
      <c r="B1284" s="245"/>
      <c r="C1284" s="247"/>
      <c r="D1284" s="248"/>
      <c r="E1284" s="248"/>
      <c r="F1284" s="249"/>
      <c r="G1284" s="249"/>
      <c r="H1284" s="250"/>
    </row>
    <row r="1285" spans="2:8" ht="18" customHeight="1" x14ac:dyDescent="0.25">
      <c r="B1285" s="251"/>
      <c r="C1285" s="252"/>
      <c r="D1285" s="253"/>
      <c r="E1285" s="253"/>
      <c r="F1285" s="254"/>
      <c r="G1285" s="254"/>
      <c r="H1285" s="255"/>
    </row>
    <row r="1286" spans="2:8" ht="18" customHeight="1" x14ac:dyDescent="0.25">
      <c r="B1286" s="245"/>
      <c r="C1286" s="247"/>
      <c r="D1286" s="248"/>
      <c r="E1286" s="248"/>
      <c r="F1286" s="249"/>
      <c r="G1286" s="249"/>
      <c r="H1286" s="250"/>
    </row>
    <row r="1287" spans="2:8" ht="18" customHeight="1" x14ac:dyDescent="0.25">
      <c r="B1287" s="245"/>
      <c r="C1287" s="247"/>
      <c r="D1287" s="248"/>
      <c r="E1287" s="248"/>
      <c r="F1287" s="249"/>
      <c r="G1287" s="249"/>
      <c r="H1287" s="250"/>
    </row>
    <row r="1288" spans="2:8" ht="18" customHeight="1" x14ac:dyDescent="0.25">
      <c r="B1288" s="245"/>
      <c r="C1288" s="247"/>
      <c r="D1288" s="248"/>
      <c r="E1288" s="248"/>
      <c r="F1288" s="249"/>
      <c r="G1288" s="249"/>
      <c r="H1288" s="250"/>
    </row>
    <row r="1289" spans="2:8" ht="18" customHeight="1" x14ac:dyDescent="0.25">
      <c r="B1289" s="245"/>
      <c r="C1289" s="247"/>
      <c r="D1289" s="248"/>
      <c r="E1289" s="248"/>
      <c r="F1289" s="249"/>
      <c r="G1289" s="249"/>
      <c r="H1289" s="250"/>
    </row>
    <row r="1290" spans="2:8" ht="18" customHeight="1" x14ac:dyDescent="0.25">
      <c r="B1290" s="245"/>
      <c r="C1290" s="247"/>
      <c r="D1290" s="248"/>
      <c r="E1290" s="248"/>
      <c r="F1290" s="249"/>
      <c r="G1290" s="249"/>
      <c r="H1290" s="250"/>
    </row>
    <row r="1291" spans="2:8" ht="18" customHeight="1" x14ac:dyDescent="0.25">
      <c r="B1291" s="245"/>
      <c r="C1291" s="247"/>
      <c r="D1291" s="248"/>
      <c r="E1291" s="248"/>
      <c r="F1291" s="249"/>
      <c r="G1291" s="249"/>
      <c r="H1291" s="250"/>
    </row>
    <row r="1292" spans="2:8" ht="18" customHeight="1" x14ac:dyDescent="0.25">
      <c r="B1292" s="245"/>
      <c r="C1292" s="247"/>
      <c r="D1292" s="248"/>
      <c r="E1292" s="248"/>
      <c r="F1292" s="249"/>
      <c r="G1292" s="249"/>
      <c r="H1292" s="250"/>
    </row>
    <row r="1293" spans="2:8" ht="18" customHeight="1" x14ac:dyDescent="0.25">
      <c r="B1293" s="245"/>
      <c r="C1293" s="247"/>
      <c r="D1293" s="248"/>
      <c r="E1293" s="248"/>
      <c r="F1293" s="249"/>
      <c r="G1293" s="249"/>
      <c r="H1293" s="250"/>
    </row>
    <row r="1294" spans="2:8" ht="18" customHeight="1" x14ac:dyDescent="0.25">
      <c r="B1294" s="245"/>
      <c r="C1294" s="247"/>
      <c r="D1294" s="248"/>
      <c r="E1294" s="248"/>
      <c r="F1294" s="249"/>
      <c r="G1294" s="249"/>
      <c r="H1294" s="250"/>
    </row>
    <row r="1295" spans="2:8" ht="18" customHeight="1" x14ac:dyDescent="0.25">
      <c r="B1295" s="245"/>
      <c r="C1295" s="247"/>
      <c r="D1295" s="248"/>
      <c r="E1295" s="248"/>
      <c r="F1295" s="249"/>
      <c r="G1295" s="249"/>
      <c r="H1295" s="250"/>
    </row>
    <row r="1296" spans="2:8" ht="18" customHeight="1" x14ac:dyDescent="0.25">
      <c r="B1296" s="245"/>
      <c r="C1296" s="247"/>
      <c r="D1296" s="248"/>
      <c r="E1296" s="248"/>
      <c r="F1296" s="249"/>
      <c r="G1296" s="249"/>
      <c r="H1296" s="250"/>
    </row>
    <row r="1297" spans="2:8" ht="18" customHeight="1" x14ac:dyDescent="0.25">
      <c r="B1297" s="245"/>
      <c r="C1297" s="247"/>
      <c r="D1297" s="248"/>
      <c r="E1297" s="248"/>
      <c r="F1297" s="249"/>
      <c r="G1297" s="249"/>
      <c r="H1297" s="250"/>
    </row>
    <row r="1298" spans="2:8" ht="18" customHeight="1" x14ac:dyDescent="0.25">
      <c r="B1298" s="245"/>
      <c r="C1298" s="247"/>
      <c r="D1298" s="248"/>
      <c r="E1298" s="248"/>
      <c r="F1298" s="249"/>
      <c r="G1298" s="249"/>
      <c r="H1298" s="250"/>
    </row>
    <row r="1299" spans="2:8" ht="18" customHeight="1" x14ac:dyDescent="0.25">
      <c r="B1299" s="245"/>
      <c r="C1299" s="247"/>
      <c r="D1299" s="248"/>
      <c r="E1299" s="248"/>
      <c r="F1299" s="249"/>
      <c r="G1299" s="249"/>
      <c r="H1299" s="250"/>
    </row>
    <row r="1300" spans="2:8" ht="18" customHeight="1" x14ac:dyDescent="0.25">
      <c r="B1300" s="245"/>
      <c r="C1300" s="247"/>
      <c r="D1300" s="248"/>
      <c r="E1300" s="248"/>
      <c r="F1300" s="249"/>
      <c r="G1300" s="249"/>
      <c r="H1300" s="250"/>
    </row>
    <row r="1301" spans="2:8" ht="18" customHeight="1" x14ac:dyDescent="0.25">
      <c r="B1301" s="245"/>
      <c r="C1301" s="247"/>
      <c r="D1301" s="248"/>
      <c r="E1301" s="248"/>
      <c r="F1301" s="249"/>
      <c r="G1301" s="249"/>
      <c r="H1301" s="250"/>
    </row>
    <row r="1302" spans="2:8" ht="18" customHeight="1" x14ac:dyDescent="0.25">
      <c r="B1302" s="245"/>
      <c r="C1302" s="247"/>
      <c r="D1302" s="248"/>
      <c r="E1302" s="248"/>
      <c r="F1302" s="249"/>
      <c r="G1302" s="249"/>
      <c r="H1302" s="250"/>
    </row>
    <row r="1303" spans="2:8" ht="18" customHeight="1" x14ac:dyDescent="0.25">
      <c r="B1303" s="245"/>
      <c r="C1303" s="247"/>
      <c r="D1303" s="248"/>
      <c r="E1303" s="248"/>
      <c r="F1303" s="249"/>
      <c r="G1303" s="249"/>
      <c r="H1303" s="250"/>
    </row>
    <row r="1304" spans="2:8" ht="18" customHeight="1" x14ac:dyDescent="0.25">
      <c r="B1304" s="245"/>
      <c r="C1304" s="247"/>
      <c r="D1304" s="248"/>
      <c r="E1304" s="248"/>
      <c r="F1304" s="249"/>
      <c r="G1304" s="249"/>
      <c r="H1304" s="250"/>
    </row>
    <row r="1305" spans="2:8" ht="18" customHeight="1" x14ac:dyDescent="0.25">
      <c r="B1305" s="245"/>
      <c r="C1305" s="247"/>
      <c r="D1305" s="248"/>
      <c r="E1305" s="248"/>
      <c r="F1305" s="249"/>
      <c r="G1305" s="249"/>
      <c r="H1305" s="250"/>
    </row>
    <row r="1306" spans="2:8" ht="18" customHeight="1" x14ac:dyDescent="0.25">
      <c r="B1306" s="245"/>
      <c r="C1306" s="247"/>
      <c r="D1306" s="248"/>
      <c r="E1306" s="248"/>
      <c r="F1306" s="249"/>
      <c r="G1306" s="249"/>
      <c r="H1306" s="250"/>
    </row>
    <row r="1307" spans="2:8" ht="18" customHeight="1" x14ac:dyDescent="0.25">
      <c r="B1307" s="245"/>
      <c r="C1307" s="247"/>
      <c r="D1307" s="248"/>
      <c r="E1307" s="248"/>
      <c r="F1307" s="249"/>
      <c r="G1307" s="249"/>
      <c r="H1307" s="250"/>
    </row>
    <row r="1308" spans="2:8" ht="18" customHeight="1" x14ac:dyDescent="0.25">
      <c r="B1308" s="245"/>
      <c r="C1308" s="247"/>
      <c r="D1308" s="248"/>
      <c r="E1308" s="248"/>
      <c r="F1308" s="249"/>
      <c r="G1308" s="249"/>
      <c r="H1308" s="250"/>
    </row>
    <row r="1309" spans="2:8" ht="18" customHeight="1" x14ac:dyDescent="0.25">
      <c r="B1309" s="245"/>
      <c r="C1309" s="247"/>
      <c r="D1309" s="248"/>
      <c r="E1309" s="248"/>
      <c r="F1309" s="249"/>
      <c r="G1309" s="249"/>
      <c r="H1309" s="250"/>
    </row>
    <row r="1310" spans="2:8" ht="18" customHeight="1" x14ac:dyDescent="0.25">
      <c r="B1310" s="245"/>
      <c r="C1310" s="247"/>
      <c r="D1310" s="248"/>
      <c r="E1310" s="248"/>
      <c r="F1310" s="249"/>
      <c r="G1310" s="249"/>
      <c r="H1310" s="250"/>
    </row>
    <row r="1311" spans="2:8" ht="18" customHeight="1" x14ac:dyDescent="0.25">
      <c r="B1311" s="245"/>
      <c r="C1311" s="247"/>
      <c r="D1311" s="248"/>
      <c r="E1311" s="248"/>
      <c r="F1311" s="249"/>
      <c r="G1311" s="249"/>
      <c r="H1311" s="250"/>
    </row>
    <row r="1312" spans="2:8" ht="18" customHeight="1" x14ac:dyDescent="0.25">
      <c r="B1312" s="245"/>
      <c r="C1312" s="247"/>
      <c r="D1312" s="248"/>
      <c r="E1312" s="248"/>
      <c r="F1312" s="249"/>
      <c r="G1312" s="249"/>
      <c r="H1312" s="250"/>
    </row>
    <row r="1313" spans="2:8" ht="18" customHeight="1" x14ac:dyDescent="0.25">
      <c r="B1313" s="245"/>
      <c r="C1313" s="247"/>
      <c r="D1313" s="248"/>
      <c r="E1313" s="248"/>
      <c r="F1313" s="249"/>
      <c r="G1313" s="249"/>
      <c r="H1313" s="250"/>
    </row>
    <row r="1314" spans="2:8" ht="18" customHeight="1" x14ac:dyDescent="0.25">
      <c r="B1314" s="245"/>
      <c r="C1314" s="247"/>
      <c r="D1314" s="248"/>
      <c r="E1314" s="248"/>
      <c r="F1314" s="249"/>
      <c r="G1314" s="249"/>
      <c r="H1314" s="250"/>
    </row>
    <row r="1315" spans="2:8" ht="18" customHeight="1" x14ac:dyDescent="0.25">
      <c r="B1315" s="245"/>
      <c r="C1315" s="247"/>
      <c r="D1315" s="248"/>
      <c r="E1315" s="248"/>
      <c r="F1315" s="249"/>
      <c r="G1315" s="249"/>
      <c r="H1315" s="250"/>
    </row>
    <row r="1316" spans="2:8" ht="18" customHeight="1" x14ac:dyDescent="0.25">
      <c r="B1316" s="245"/>
      <c r="C1316" s="247"/>
      <c r="D1316" s="248"/>
      <c r="E1316" s="248"/>
      <c r="F1316" s="249"/>
      <c r="G1316" s="249"/>
      <c r="H1316" s="250"/>
    </row>
    <row r="1317" spans="2:8" ht="18" customHeight="1" x14ac:dyDescent="0.25">
      <c r="B1317" s="245"/>
      <c r="C1317" s="247"/>
      <c r="D1317" s="248"/>
      <c r="E1317" s="248"/>
      <c r="F1317" s="249"/>
      <c r="G1317" s="249"/>
      <c r="H1317" s="250"/>
    </row>
    <row r="1318" spans="2:8" ht="18" customHeight="1" x14ac:dyDescent="0.25">
      <c r="B1318" s="245"/>
      <c r="C1318" s="247"/>
      <c r="D1318" s="248"/>
      <c r="E1318" s="248"/>
      <c r="F1318" s="249"/>
      <c r="G1318" s="249"/>
      <c r="H1318" s="250"/>
    </row>
    <row r="1319" spans="2:8" ht="18" customHeight="1" x14ac:dyDescent="0.25">
      <c r="B1319" s="245"/>
      <c r="C1319" s="247"/>
      <c r="D1319" s="248"/>
      <c r="E1319" s="248"/>
      <c r="F1319" s="249"/>
      <c r="G1319" s="249"/>
      <c r="H1319" s="250"/>
    </row>
    <row r="1320" spans="2:8" ht="18" customHeight="1" x14ac:dyDescent="0.25">
      <c r="B1320" s="245"/>
      <c r="C1320" s="247"/>
      <c r="D1320" s="248"/>
      <c r="E1320" s="248"/>
      <c r="F1320" s="249"/>
      <c r="G1320" s="249"/>
      <c r="H1320" s="250"/>
    </row>
    <row r="1321" spans="2:8" ht="18" customHeight="1" x14ac:dyDescent="0.25">
      <c r="B1321" s="245"/>
      <c r="C1321" s="247"/>
      <c r="D1321" s="248"/>
      <c r="E1321" s="248"/>
      <c r="F1321" s="249"/>
      <c r="G1321" s="249"/>
      <c r="H1321" s="250"/>
    </row>
    <row r="1322" spans="2:8" ht="18" customHeight="1" x14ac:dyDescent="0.25">
      <c r="B1322" s="245"/>
      <c r="C1322" s="247"/>
      <c r="D1322" s="248"/>
      <c r="E1322" s="248"/>
      <c r="F1322" s="249"/>
      <c r="G1322" s="249"/>
      <c r="H1322" s="250"/>
    </row>
    <row r="1323" spans="2:8" ht="18" customHeight="1" x14ac:dyDescent="0.25">
      <c r="B1323" s="245"/>
      <c r="C1323" s="247"/>
      <c r="D1323" s="248"/>
      <c r="E1323" s="248"/>
      <c r="F1323" s="249"/>
      <c r="G1323" s="249"/>
      <c r="H1323" s="250"/>
    </row>
    <row r="1324" spans="2:8" ht="18" customHeight="1" x14ac:dyDescent="0.25">
      <c r="B1324" s="245"/>
      <c r="C1324" s="247"/>
      <c r="D1324" s="248"/>
      <c r="E1324" s="248"/>
      <c r="F1324" s="249"/>
      <c r="G1324" s="249"/>
      <c r="H1324" s="250"/>
    </row>
    <row r="1325" spans="2:8" ht="18" customHeight="1" x14ac:dyDescent="0.25">
      <c r="B1325" s="245"/>
      <c r="C1325" s="247"/>
      <c r="D1325" s="248"/>
      <c r="E1325" s="248"/>
      <c r="F1325" s="249"/>
      <c r="G1325" s="249"/>
      <c r="H1325" s="250"/>
    </row>
    <row r="1326" spans="2:8" ht="18" customHeight="1" x14ac:dyDescent="0.25">
      <c r="B1326" s="245"/>
      <c r="C1326" s="247"/>
      <c r="D1326" s="248"/>
      <c r="E1326" s="248"/>
      <c r="F1326" s="249"/>
      <c r="G1326" s="249"/>
      <c r="H1326" s="250"/>
    </row>
    <row r="1327" spans="2:8" ht="18" customHeight="1" x14ac:dyDescent="0.25">
      <c r="B1327" s="245"/>
      <c r="C1327" s="247"/>
      <c r="D1327" s="248"/>
      <c r="E1327" s="248"/>
      <c r="F1327" s="249"/>
      <c r="G1327" s="249"/>
      <c r="H1327" s="250"/>
    </row>
    <row r="1328" spans="2:8" ht="18" customHeight="1" x14ac:dyDescent="0.25">
      <c r="B1328" s="245"/>
      <c r="C1328" s="247"/>
      <c r="D1328" s="248"/>
      <c r="E1328" s="248"/>
      <c r="F1328" s="249"/>
      <c r="G1328" s="249"/>
      <c r="H1328" s="250"/>
    </row>
    <row r="1329" spans="2:8" ht="18" customHeight="1" x14ac:dyDescent="0.25">
      <c r="B1329" s="245"/>
      <c r="C1329" s="247"/>
      <c r="D1329" s="248"/>
      <c r="E1329" s="248"/>
      <c r="F1329" s="249"/>
      <c r="G1329" s="249"/>
      <c r="H1329" s="250"/>
    </row>
    <row r="1330" spans="2:8" ht="18" customHeight="1" x14ac:dyDescent="0.25">
      <c r="B1330" s="245"/>
      <c r="C1330" s="247"/>
      <c r="D1330" s="248"/>
      <c r="E1330" s="248"/>
      <c r="F1330" s="249"/>
      <c r="G1330" s="249"/>
      <c r="H1330" s="250"/>
    </row>
    <row r="1331" spans="2:8" ht="18" customHeight="1" x14ac:dyDescent="0.25">
      <c r="B1331" s="245"/>
      <c r="C1331" s="247"/>
      <c r="D1331" s="248"/>
      <c r="E1331" s="248"/>
      <c r="F1331" s="249"/>
      <c r="G1331" s="249"/>
      <c r="H1331" s="250"/>
    </row>
    <row r="1332" spans="2:8" ht="18" customHeight="1" x14ac:dyDescent="0.25">
      <c r="B1332" s="245"/>
      <c r="C1332" s="247"/>
      <c r="D1332" s="248"/>
      <c r="E1332" s="248"/>
      <c r="F1332" s="249"/>
      <c r="G1332" s="249"/>
      <c r="H1332" s="250"/>
    </row>
    <row r="1333" spans="2:8" ht="18" customHeight="1" x14ac:dyDescent="0.25">
      <c r="B1333" s="245"/>
      <c r="C1333" s="247"/>
      <c r="D1333" s="248"/>
      <c r="E1333" s="248"/>
      <c r="F1333" s="249"/>
      <c r="G1333" s="249"/>
      <c r="H1333" s="250"/>
    </row>
    <row r="1334" spans="2:8" ht="18" customHeight="1" x14ac:dyDescent="0.25">
      <c r="B1334" s="245"/>
      <c r="C1334" s="247"/>
      <c r="D1334" s="248"/>
      <c r="E1334" s="248"/>
      <c r="F1334" s="249"/>
      <c r="G1334" s="249"/>
      <c r="H1334" s="250"/>
    </row>
    <row r="1335" spans="2:8" ht="18" customHeight="1" x14ac:dyDescent="0.25">
      <c r="B1335" s="245"/>
      <c r="C1335" s="247"/>
      <c r="D1335" s="248"/>
      <c r="E1335" s="248"/>
      <c r="F1335" s="249"/>
      <c r="G1335" s="249"/>
      <c r="H1335" s="250"/>
    </row>
    <row r="1336" spans="2:8" ht="18" customHeight="1" x14ac:dyDescent="0.25">
      <c r="B1336" s="245"/>
      <c r="C1336" s="247"/>
      <c r="D1336" s="248"/>
      <c r="E1336" s="248"/>
      <c r="F1336" s="249"/>
      <c r="G1336" s="249"/>
      <c r="H1336" s="250"/>
    </row>
    <row r="1337" spans="2:8" ht="18" customHeight="1" x14ac:dyDescent="0.25">
      <c r="B1337" s="245"/>
      <c r="C1337" s="247"/>
      <c r="D1337" s="248"/>
      <c r="E1337" s="248"/>
      <c r="F1337" s="249"/>
      <c r="G1337" s="249"/>
      <c r="H1337" s="250"/>
    </row>
    <row r="1338" spans="2:8" ht="18" customHeight="1" x14ac:dyDescent="0.25">
      <c r="B1338" s="245"/>
      <c r="C1338" s="247"/>
      <c r="D1338" s="248"/>
      <c r="E1338" s="248"/>
      <c r="F1338" s="249"/>
      <c r="G1338" s="249"/>
      <c r="H1338" s="250"/>
    </row>
    <row r="1339" spans="2:8" ht="18" customHeight="1" x14ac:dyDescent="0.25">
      <c r="B1339" s="245"/>
      <c r="C1339" s="247"/>
      <c r="D1339" s="248"/>
      <c r="E1339" s="248"/>
      <c r="F1339" s="249"/>
      <c r="G1339" s="249"/>
      <c r="H1339" s="250"/>
    </row>
    <row r="1340" spans="2:8" ht="18" customHeight="1" x14ac:dyDescent="0.25">
      <c r="B1340" s="245"/>
      <c r="C1340" s="247"/>
      <c r="D1340" s="248"/>
      <c r="E1340" s="248"/>
      <c r="F1340" s="249"/>
      <c r="G1340" s="249"/>
      <c r="H1340" s="250"/>
    </row>
    <row r="1341" spans="2:8" ht="18" customHeight="1" x14ac:dyDescent="0.25">
      <c r="B1341" s="245"/>
      <c r="C1341" s="246"/>
      <c r="D1341" s="248"/>
      <c r="E1341" s="248"/>
      <c r="F1341" s="249"/>
      <c r="G1341" s="249"/>
      <c r="H1341" s="250"/>
    </row>
    <row r="1342" spans="2:8" ht="18" customHeight="1" x14ac:dyDescent="0.25">
      <c r="B1342" s="245"/>
      <c r="C1342" s="247"/>
      <c r="D1342" s="248"/>
      <c r="E1342" s="248"/>
      <c r="F1342" s="249"/>
      <c r="G1342" s="249"/>
      <c r="H1342" s="250"/>
    </row>
    <row r="1343" spans="2:8" ht="18" customHeight="1" x14ac:dyDescent="0.25">
      <c r="B1343" s="245"/>
      <c r="C1343" s="247"/>
      <c r="D1343" s="248"/>
      <c r="E1343" s="248"/>
      <c r="F1343" s="249"/>
      <c r="G1343" s="249"/>
      <c r="H1343" s="250"/>
    </row>
    <row r="1344" spans="2:8" ht="18" customHeight="1" x14ac:dyDescent="0.25">
      <c r="B1344" s="245"/>
      <c r="C1344" s="247"/>
      <c r="D1344" s="248"/>
      <c r="E1344" s="248"/>
      <c r="F1344" s="249"/>
      <c r="G1344" s="249"/>
      <c r="H1344" s="250"/>
    </row>
    <row r="1345" spans="2:8" ht="18" customHeight="1" x14ac:dyDescent="0.25">
      <c r="B1345" s="245"/>
      <c r="C1345" s="247"/>
      <c r="D1345" s="248"/>
      <c r="E1345" s="248"/>
      <c r="F1345" s="249"/>
      <c r="G1345" s="249"/>
      <c r="H1345" s="250"/>
    </row>
    <row r="1346" spans="2:8" ht="18" customHeight="1" x14ac:dyDescent="0.25">
      <c r="B1346" s="245"/>
      <c r="C1346" s="247"/>
      <c r="D1346" s="248"/>
      <c r="E1346" s="248"/>
      <c r="F1346" s="249"/>
      <c r="G1346" s="249"/>
      <c r="H1346" s="250"/>
    </row>
    <row r="1347" spans="2:8" ht="18" customHeight="1" x14ac:dyDescent="0.25">
      <c r="B1347" s="245"/>
      <c r="C1347" s="247"/>
      <c r="D1347" s="248"/>
      <c r="E1347" s="248"/>
      <c r="F1347" s="249"/>
      <c r="G1347" s="249"/>
      <c r="H1347" s="250"/>
    </row>
    <row r="1348" spans="2:8" ht="18" customHeight="1" x14ac:dyDescent="0.25">
      <c r="B1348" s="245"/>
      <c r="C1348" s="247"/>
      <c r="D1348" s="248"/>
      <c r="E1348" s="248"/>
      <c r="F1348" s="249"/>
      <c r="G1348" s="249"/>
      <c r="H1348" s="250"/>
    </row>
    <row r="1349" spans="2:8" ht="18" customHeight="1" x14ac:dyDescent="0.25">
      <c r="B1349" s="245"/>
      <c r="C1349" s="247"/>
      <c r="D1349" s="248"/>
      <c r="E1349" s="248"/>
      <c r="F1349" s="249"/>
      <c r="G1349" s="249"/>
      <c r="H1349" s="250"/>
    </row>
    <row r="1350" spans="2:8" ht="18" customHeight="1" x14ac:dyDescent="0.25">
      <c r="B1350" s="245"/>
      <c r="C1350" s="247"/>
      <c r="D1350" s="248"/>
      <c r="E1350" s="248"/>
      <c r="F1350" s="249"/>
      <c r="G1350" s="249"/>
      <c r="H1350" s="250"/>
    </row>
    <row r="1351" spans="2:8" ht="18" customHeight="1" x14ac:dyDescent="0.25">
      <c r="B1351" s="245"/>
      <c r="C1351" s="247"/>
      <c r="D1351" s="248"/>
      <c r="E1351" s="248"/>
      <c r="F1351" s="249"/>
      <c r="G1351" s="249"/>
      <c r="H1351" s="250"/>
    </row>
    <row r="1352" spans="2:8" ht="18" customHeight="1" x14ac:dyDescent="0.25">
      <c r="B1352" s="245"/>
      <c r="C1352" s="247"/>
      <c r="D1352" s="248"/>
      <c r="E1352" s="248"/>
      <c r="F1352" s="249"/>
      <c r="G1352" s="249"/>
      <c r="H1352" s="250"/>
    </row>
    <row r="1353" spans="2:8" ht="18" customHeight="1" x14ac:dyDescent="0.25">
      <c r="B1353" s="245"/>
      <c r="C1353" s="247"/>
      <c r="D1353" s="248"/>
      <c r="E1353" s="248"/>
      <c r="F1353" s="249"/>
      <c r="G1353" s="249"/>
      <c r="H1353" s="250"/>
    </row>
    <row r="1354" spans="2:8" ht="18" customHeight="1" x14ac:dyDescent="0.25">
      <c r="B1354" s="245"/>
      <c r="C1354" s="247"/>
      <c r="D1354" s="248"/>
      <c r="E1354" s="248"/>
      <c r="F1354" s="249"/>
      <c r="G1354" s="249"/>
      <c r="H1354" s="250"/>
    </row>
    <row r="1355" spans="2:8" ht="18" customHeight="1" x14ac:dyDescent="0.25">
      <c r="B1355" s="245"/>
      <c r="C1355" s="247"/>
      <c r="D1355" s="248"/>
      <c r="E1355" s="248"/>
      <c r="F1355" s="249"/>
      <c r="G1355" s="249"/>
      <c r="H1355" s="250"/>
    </row>
    <row r="1356" spans="2:8" ht="18" customHeight="1" x14ac:dyDescent="0.25">
      <c r="B1356" s="245"/>
      <c r="C1356" s="247"/>
      <c r="D1356" s="248"/>
      <c r="E1356" s="248"/>
      <c r="F1356" s="249"/>
      <c r="G1356" s="249"/>
      <c r="H1356" s="250"/>
    </row>
    <row r="1357" spans="2:8" ht="18" customHeight="1" x14ac:dyDescent="0.25">
      <c r="B1357" s="245"/>
      <c r="C1357" s="247"/>
      <c r="D1357" s="248"/>
      <c r="E1357" s="248"/>
      <c r="F1357" s="249"/>
      <c r="G1357" s="249"/>
      <c r="H1357" s="250"/>
    </row>
    <row r="1358" spans="2:8" ht="18" customHeight="1" x14ac:dyDescent="0.25">
      <c r="B1358" s="245"/>
      <c r="C1358" s="247"/>
      <c r="D1358" s="248"/>
      <c r="E1358" s="248"/>
      <c r="F1358" s="249"/>
      <c r="G1358" s="249"/>
      <c r="H1358" s="250"/>
    </row>
    <row r="1359" spans="2:8" ht="18" customHeight="1" x14ac:dyDescent="0.25">
      <c r="B1359" s="245"/>
      <c r="C1359" s="247"/>
      <c r="D1359" s="248"/>
      <c r="E1359" s="248"/>
      <c r="F1359" s="249"/>
      <c r="G1359" s="249"/>
      <c r="H1359" s="250"/>
    </row>
    <row r="1360" spans="2:8" ht="18" customHeight="1" x14ac:dyDescent="0.25">
      <c r="B1360" s="245"/>
      <c r="C1360" s="247"/>
      <c r="D1360" s="248"/>
      <c r="E1360" s="248"/>
      <c r="F1360" s="249"/>
      <c r="G1360" s="249"/>
      <c r="H1360" s="250"/>
    </row>
    <row r="1361" spans="2:8" ht="18" customHeight="1" x14ac:dyDescent="0.25">
      <c r="B1361" s="245"/>
      <c r="C1361" s="247"/>
      <c r="D1361" s="248"/>
      <c r="E1361" s="248"/>
      <c r="F1361" s="249"/>
      <c r="G1361" s="249"/>
      <c r="H1361" s="250"/>
    </row>
    <row r="1362" spans="2:8" ht="18" customHeight="1" x14ac:dyDescent="0.25">
      <c r="B1362" s="245"/>
      <c r="C1362" s="247"/>
      <c r="D1362" s="248"/>
      <c r="E1362" s="248"/>
      <c r="F1362" s="249"/>
      <c r="G1362" s="249"/>
      <c r="H1362" s="250"/>
    </row>
    <row r="1363" spans="2:8" ht="18" customHeight="1" x14ac:dyDescent="0.25">
      <c r="B1363" s="245"/>
      <c r="C1363" s="247"/>
      <c r="D1363" s="248"/>
      <c r="E1363" s="248"/>
      <c r="F1363" s="249"/>
      <c r="G1363" s="249"/>
      <c r="H1363" s="250"/>
    </row>
    <row r="1364" spans="2:8" ht="18" customHeight="1" x14ac:dyDescent="0.25">
      <c r="B1364" s="245"/>
      <c r="C1364" s="247"/>
      <c r="D1364" s="248"/>
      <c r="E1364" s="248"/>
      <c r="F1364" s="249"/>
      <c r="G1364" s="249"/>
      <c r="H1364" s="250"/>
    </row>
    <row r="1365" spans="2:8" ht="18" customHeight="1" x14ac:dyDescent="0.25">
      <c r="B1365" s="245"/>
      <c r="C1365" s="247"/>
      <c r="D1365" s="248"/>
      <c r="E1365" s="248"/>
      <c r="F1365" s="249"/>
      <c r="G1365" s="249"/>
      <c r="H1365" s="250"/>
    </row>
    <row r="1366" spans="2:8" ht="18" customHeight="1" x14ac:dyDescent="0.25">
      <c r="B1366" s="245"/>
      <c r="C1366" s="247"/>
      <c r="D1366" s="248"/>
      <c r="E1366" s="248"/>
      <c r="F1366" s="249"/>
      <c r="G1366" s="249"/>
      <c r="H1366" s="250"/>
    </row>
    <row r="1367" spans="2:8" ht="18" customHeight="1" x14ac:dyDescent="0.25">
      <c r="B1367" s="245"/>
      <c r="C1367" s="247"/>
      <c r="D1367" s="248"/>
      <c r="E1367" s="248"/>
      <c r="F1367" s="249"/>
      <c r="G1367" s="249"/>
      <c r="H1367" s="250"/>
    </row>
    <row r="1368" spans="2:8" ht="18" customHeight="1" x14ac:dyDescent="0.25">
      <c r="B1368" s="245"/>
      <c r="C1368" s="247"/>
      <c r="D1368" s="248"/>
      <c r="E1368" s="248"/>
      <c r="F1368" s="249"/>
      <c r="G1368" s="249"/>
      <c r="H1368" s="250"/>
    </row>
    <row r="1369" spans="2:8" ht="18" customHeight="1" x14ac:dyDescent="0.25">
      <c r="B1369" s="245"/>
      <c r="C1369" s="247"/>
      <c r="D1369" s="248"/>
      <c r="E1369" s="248"/>
      <c r="F1369" s="249"/>
      <c r="G1369" s="249"/>
      <c r="H1369" s="250"/>
    </row>
    <row r="1370" spans="2:8" ht="18" customHeight="1" x14ac:dyDescent="0.25">
      <c r="B1370" s="245"/>
      <c r="C1370" s="247"/>
      <c r="D1370" s="248"/>
      <c r="E1370" s="248"/>
      <c r="F1370" s="249"/>
      <c r="G1370" s="249"/>
      <c r="H1370" s="250"/>
    </row>
    <row r="1371" spans="2:8" ht="18" customHeight="1" x14ac:dyDescent="0.25">
      <c r="B1371" s="245"/>
      <c r="C1371" s="247"/>
      <c r="D1371" s="248"/>
      <c r="E1371" s="248"/>
      <c r="F1371" s="249"/>
      <c r="G1371" s="249"/>
      <c r="H1371" s="250"/>
    </row>
    <row r="1372" spans="2:8" ht="18" customHeight="1" x14ac:dyDescent="0.25">
      <c r="B1372" s="245"/>
      <c r="C1372" s="247"/>
      <c r="D1372" s="248"/>
      <c r="E1372" s="248"/>
      <c r="F1372" s="249"/>
      <c r="G1372" s="249"/>
      <c r="H1372" s="250"/>
    </row>
    <row r="1373" spans="2:8" ht="18" customHeight="1" x14ac:dyDescent="0.25">
      <c r="B1373" s="245"/>
      <c r="C1373" s="247"/>
      <c r="D1373" s="248"/>
      <c r="E1373" s="248"/>
      <c r="F1373" s="249"/>
      <c r="G1373" s="249"/>
      <c r="H1373" s="250"/>
    </row>
    <row r="1374" spans="2:8" ht="18" customHeight="1" x14ac:dyDescent="0.25">
      <c r="B1374" s="245"/>
      <c r="C1374" s="247"/>
      <c r="D1374" s="248"/>
      <c r="E1374" s="248"/>
      <c r="F1374" s="249"/>
      <c r="G1374" s="249"/>
      <c r="H1374" s="250"/>
    </row>
    <row r="1375" spans="2:8" ht="18" customHeight="1" x14ac:dyDescent="0.25">
      <c r="B1375" s="245"/>
      <c r="C1375" s="247"/>
      <c r="D1375" s="248"/>
      <c r="E1375" s="248"/>
      <c r="F1375" s="249"/>
      <c r="G1375" s="249"/>
      <c r="H1375" s="250"/>
    </row>
    <row r="1376" spans="2:8" ht="18" customHeight="1" x14ac:dyDescent="0.25">
      <c r="B1376" s="245"/>
      <c r="C1376" s="247"/>
      <c r="D1376" s="248"/>
      <c r="E1376" s="248"/>
      <c r="F1376" s="249"/>
      <c r="G1376" s="249"/>
      <c r="H1376" s="250"/>
    </row>
    <row r="1377" spans="2:8" ht="18" customHeight="1" x14ac:dyDescent="0.25">
      <c r="B1377" s="245"/>
      <c r="C1377" s="247"/>
      <c r="D1377" s="248"/>
      <c r="E1377" s="248"/>
      <c r="F1377" s="249"/>
      <c r="G1377" s="249"/>
      <c r="H1377" s="250"/>
    </row>
    <row r="1378" spans="2:8" ht="18" customHeight="1" x14ac:dyDescent="0.25">
      <c r="B1378" s="245"/>
      <c r="C1378" s="247"/>
      <c r="D1378" s="248"/>
      <c r="E1378" s="248"/>
      <c r="F1378" s="249"/>
      <c r="G1378" s="249"/>
      <c r="H1378" s="250"/>
    </row>
    <row r="1379" spans="2:8" ht="18" customHeight="1" x14ac:dyDescent="0.25">
      <c r="B1379" s="245"/>
      <c r="C1379" s="247"/>
      <c r="D1379" s="248"/>
      <c r="E1379" s="248"/>
      <c r="F1379" s="249"/>
      <c r="G1379" s="249"/>
      <c r="H1379" s="250"/>
    </row>
    <row r="1380" spans="2:8" ht="18" customHeight="1" x14ac:dyDescent="0.25">
      <c r="B1380" s="245"/>
      <c r="C1380" s="247"/>
      <c r="D1380" s="248"/>
      <c r="E1380" s="248"/>
      <c r="F1380" s="249"/>
      <c r="G1380" s="249"/>
      <c r="H1380" s="250"/>
    </row>
    <row r="1381" spans="2:8" ht="18" customHeight="1" x14ac:dyDescent="0.25">
      <c r="B1381" s="245"/>
      <c r="C1381" s="247"/>
      <c r="D1381" s="248"/>
      <c r="E1381" s="248"/>
      <c r="F1381" s="249"/>
      <c r="G1381" s="249"/>
      <c r="H1381" s="250"/>
    </row>
    <row r="1382" spans="2:8" ht="18" customHeight="1" x14ac:dyDescent="0.25">
      <c r="B1382" s="245"/>
      <c r="C1382" s="247"/>
      <c r="D1382" s="248"/>
      <c r="E1382" s="248"/>
      <c r="F1382" s="249"/>
      <c r="G1382" s="249"/>
      <c r="H1382" s="250"/>
    </row>
    <row r="1383" spans="2:8" ht="18" customHeight="1" x14ac:dyDescent="0.25">
      <c r="B1383" s="245"/>
      <c r="C1383" s="247"/>
      <c r="D1383" s="248"/>
      <c r="E1383" s="248"/>
      <c r="F1383" s="249"/>
      <c r="G1383" s="249"/>
      <c r="H1383" s="250"/>
    </row>
    <row r="1384" spans="2:8" ht="18" customHeight="1" x14ac:dyDescent="0.25">
      <c r="B1384" s="245"/>
      <c r="C1384" s="247"/>
      <c r="D1384" s="248"/>
      <c r="E1384" s="248"/>
      <c r="F1384" s="249"/>
      <c r="G1384" s="249"/>
      <c r="H1384" s="250"/>
    </row>
    <row r="1385" spans="2:8" ht="18" customHeight="1" x14ac:dyDescent="0.25">
      <c r="B1385" s="245"/>
      <c r="C1385" s="247"/>
      <c r="D1385" s="248"/>
      <c r="E1385" s="248"/>
      <c r="F1385" s="249"/>
      <c r="G1385" s="249"/>
      <c r="H1385" s="250"/>
    </row>
    <row r="1386" spans="2:8" ht="18" customHeight="1" x14ac:dyDescent="0.25">
      <c r="B1386" s="245"/>
      <c r="C1386" s="247"/>
      <c r="D1386" s="248"/>
      <c r="E1386" s="248"/>
      <c r="F1386" s="249"/>
      <c r="G1386" s="249"/>
      <c r="H1386" s="250"/>
    </row>
    <row r="1387" spans="2:8" ht="18" customHeight="1" x14ac:dyDescent="0.25">
      <c r="B1387" s="245"/>
      <c r="C1387" s="247"/>
      <c r="D1387" s="248"/>
      <c r="E1387" s="248"/>
      <c r="F1387" s="249"/>
      <c r="G1387" s="249"/>
      <c r="H1387" s="250"/>
    </row>
    <row r="1388" spans="2:8" ht="18" customHeight="1" x14ac:dyDescent="0.25">
      <c r="B1388" s="245"/>
      <c r="C1388" s="247"/>
      <c r="D1388" s="248"/>
      <c r="E1388" s="248"/>
      <c r="F1388" s="249"/>
      <c r="G1388" s="249"/>
      <c r="H1388" s="250"/>
    </row>
    <row r="1389" spans="2:8" ht="18" customHeight="1" x14ac:dyDescent="0.25">
      <c r="B1389" s="245"/>
      <c r="C1389" s="247"/>
      <c r="D1389" s="248"/>
      <c r="E1389" s="248"/>
      <c r="F1389" s="249"/>
      <c r="G1389" s="249"/>
      <c r="H1389" s="250"/>
    </row>
    <row r="1390" spans="2:8" ht="18" customHeight="1" x14ac:dyDescent="0.25">
      <c r="B1390" s="245"/>
      <c r="C1390" s="247"/>
      <c r="D1390" s="248"/>
      <c r="E1390" s="248"/>
      <c r="F1390" s="249"/>
      <c r="G1390" s="249"/>
      <c r="H1390" s="250"/>
    </row>
    <row r="1391" spans="2:8" ht="18" customHeight="1" x14ac:dyDescent="0.25">
      <c r="B1391" s="245"/>
      <c r="C1391" s="247"/>
      <c r="D1391" s="248"/>
      <c r="E1391" s="248"/>
      <c r="F1391" s="249"/>
      <c r="G1391" s="249"/>
      <c r="H1391" s="250"/>
    </row>
    <row r="1392" spans="2:8" ht="18" customHeight="1" x14ac:dyDescent="0.25">
      <c r="B1392" s="245"/>
      <c r="C1392" s="247"/>
      <c r="D1392" s="248"/>
      <c r="E1392" s="248"/>
      <c r="F1392" s="249"/>
      <c r="G1392" s="249"/>
      <c r="H1392" s="250"/>
    </row>
    <row r="1393" spans="2:8" ht="18" customHeight="1" x14ac:dyDescent="0.25">
      <c r="B1393" s="245"/>
      <c r="C1393" s="247"/>
      <c r="D1393" s="248"/>
      <c r="E1393" s="248"/>
      <c r="F1393" s="249"/>
      <c r="G1393" s="249"/>
      <c r="H1393" s="250"/>
    </row>
    <row r="1394" spans="2:8" ht="18" customHeight="1" x14ac:dyDescent="0.25">
      <c r="B1394" s="245"/>
      <c r="C1394" s="247"/>
      <c r="D1394" s="248"/>
      <c r="E1394" s="248"/>
      <c r="F1394" s="249"/>
      <c r="G1394" s="249"/>
      <c r="H1394" s="250"/>
    </row>
    <row r="1395" spans="2:8" ht="18" customHeight="1" x14ac:dyDescent="0.25">
      <c r="B1395" s="245"/>
      <c r="C1395" s="247"/>
      <c r="D1395" s="248"/>
      <c r="E1395" s="248"/>
      <c r="F1395" s="249"/>
      <c r="G1395" s="249"/>
      <c r="H1395" s="250"/>
    </row>
    <row r="1396" spans="2:8" ht="18" customHeight="1" x14ac:dyDescent="0.25">
      <c r="B1396" s="245"/>
      <c r="C1396" s="247"/>
      <c r="D1396" s="248"/>
      <c r="E1396" s="248"/>
      <c r="F1396" s="249"/>
      <c r="G1396" s="249"/>
      <c r="H1396" s="250"/>
    </row>
    <row r="1397" spans="2:8" ht="18" customHeight="1" x14ac:dyDescent="0.25">
      <c r="B1397" s="245"/>
      <c r="C1397" s="247"/>
      <c r="D1397" s="248"/>
      <c r="E1397" s="248"/>
      <c r="F1397" s="249"/>
      <c r="G1397" s="249"/>
      <c r="H1397" s="250"/>
    </row>
    <row r="1398" spans="2:8" ht="18" customHeight="1" x14ac:dyDescent="0.25">
      <c r="B1398" s="245"/>
      <c r="C1398" s="247"/>
      <c r="D1398" s="248"/>
      <c r="E1398" s="248"/>
      <c r="F1398" s="249"/>
      <c r="G1398" s="249"/>
      <c r="H1398" s="250"/>
    </row>
    <row r="1399" spans="2:8" ht="18" customHeight="1" x14ac:dyDescent="0.25">
      <c r="B1399" s="245"/>
      <c r="C1399" s="247"/>
      <c r="D1399" s="248"/>
      <c r="E1399" s="248"/>
      <c r="F1399" s="249"/>
      <c r="G1399" s="249"/>
      <c r="H1399" s="250"/>
    </row>
    <row r="1400" spans="2:8" ht="18" customHeight="1" x14ac:dyDescent="0.25">
      <c r="B1400" s="245"/>
      <c r="C1400" s="247"/>
      <c r="D1400" s="248"/>
      <c r="E1400" s="248"/>
      <c r="F1400" s="249"/>
      <c r="G1400" s="249"/>
      <c r="H1400" s="250"/>
    </row>
    <row r="1401" spans="2:8" ht="18" customHeight="1" x14ac:dyDescent="0.25">
      <c r="B1401" s="245"/>
      <c r="C1401" s="247"/>
      <c r="D1401" s="248"/>
      <c r="E1401" s="248"/>
      <c r="F1401" s="249"/>
      <c r="G1401" s="249"/>
      <c r="H1401" s="250"/>
    </row>
    <row r="1402" spans="2:8" ht="18" customHeight="1" x14ac:dyDescent="0.25">
      <c r="B1402" s="245"/>
      <c r="C1402" s="247"/>
      <c r="D1402" s="248"/>
      <c r="E1402" s="248"/>
      <c r="F1402" s="249"/>
      <c r="G1402" s="249"/>
      <c r="H1402" s="250"/>
    </row>
    <row r="1403" spans="2:8" ht="18" customHeight="1" x14ac:dyDescent="0.25">
      <c r="B1403" s="245"/>
      <c r="C1403" s="247"/>
      <c r="D1403" s="248"/>
      <c r="E1403" s="248"/>
      <c r="F1403" s="249"/>
      <c r="G1403" s="249"/>
      <c r="H1403" s="250"/>
    </row>
    <row r="1404" spans="2:8" ht="18" customHeight="1" x14ac:dyDescent="0.25">
      <c r="B1404" s="245"/>
      <c r="C1404" s="247"/>
      <c r="D1404" s="248"/>
      <c r="E1404" s="248"/>
      <c r="F1404" s="249"/>
      <c r="G1404" s="249"/>
      <c r="H1404" s="250"/>
    </row>
    <row r="1405" spans="2:8" ht="18" customHeight="1" x14ac:dyDescent="0.25">
      <c r="B1405" s="245"/>
      <c r="C1405" s="247"/>
      <c r="D1405" s="248"/>
      <c r="E1405" s="248"/>
      <c r="F1405" s="249"/>
      <c r="G1405" s="249"/>
      <c r="H1405" s="250"/>
    </row>
    <row r="1406" spans="2:8" ht="18" customHeight="1" x14ac:dyDescent="0.25">
      <c r="B1406" s="251"/>
      <c r="C1406" s="252"/>
      <c r="D1406" s="253"/>
      <c r="E1406" s="253"/>
      <c r="F1406" s="254"/>
      <c r="G1406" s="254"/>
      <c r="H1406" s="255"/>
    </row>
    <row r="1407" spans="2:8" ht="18" customHeight="1" x14ac:dyDescent="0.25">
      <c r="B1407" s="245"/>
      <c r="C1407" s="247"/>
      <c r="D1407" s="248"/>
      <c r="E1407" s="248"/>
      <c r="F1407" s="249"/>
      <c r="G1407" s="249"/>
      <c r="H1407" s="250"/>
    </row>
    <row r="1408" spans="2:8" ht="18" customHeight="1" x14ac:dyDescent="0.25">
      <c r="B1408" s="245"/>
      <c r="C1408" s="247"/>
      <c r="D1408" s="248"/>
      <c r="E1408" s="248"/>
      <c r="F1408" s="249"/>
      <c r="G1408" s="249"/>
      <c r="H1408" s="250"/>
    </row>
    <row r="1409" spans="2:8" ht="18" customHeight="1" x14ac:dyDescent="0.25">
      <c r="B1409" s="245"/>
      <c r="C1409" s="247"/>
      <c r="D1409" s="248"/>
      <c r="E1409" s="248"/>
      <c r="F1409" s="249"/>
      <c r="G1409" s="249"/>
      <c r="H1409" s="250"/>
    </row>
    <row r="1410" spans="2:8" ht="18" customHeight="1" x14ac:dyDescent="0.25">
      <c r="B1410" s="245"/>
      <c r="C1410" s="247"/>
      <c r="D1410" s="248"/>
      <c r="E1410" s="248"/>
      <c r="F1410" s="249"/>
      <c r="G1410" s="249"/>
      <c r="H1410" s="250"/>
    </row>
    <row r="1411" spans="2:8" ht="18" customHeight="1" x14ac:dyDescent="0.25">
      <c r="B1411" s="245"/>
      <c r="C1411" s="247"/>
      <c r="D1411" s="248"/>
      <c r="E1411" s="248"/>
      <c r="F1411" s="249"/>
      <c r="G1411" s="249"/>
      <c r="H1411" s="250"/>
    </row>
    <row r="1412" spans="2:8" ht="18" customHeight="1" x14ac:dyDescent="0.25">
      <c r="B1412" s="245"/>
      <c r="C1412" s="247"/>
      <c r="D1412" s="248"/>
      <c r="E1412" s="248"/>
      <c r="F1412" s="249"/>
      <c r="G1412" s="249"/>
      <c r="H1412" s="250"/>
    </row>
    <row r="1413" spans="2:8" ht="18" customHeight="1" x14ac:dyDescent="0.25">
      <c r="B1413" s="245"/>
      <c r="C1413" s="247"/>
      <c r="D1413" s="248"/>
      <c r="E1413" s="248"/>
      <c r="F1413" s="249"/>
      <c r="G1413" s="249"/>
      <c r="H1413" s="250"/>
    </row>
    <row r="1414" spans="2:8" ht="18" customHeight="1" x14ac:dyDescent="0.25">
      <c r="B1414" s="245"/>
      <c r="C1414" s="247"/>
      <c r="D1414" s="248"/>
      <c r="E1414" s="248"/>
      <c r="F1414" s="249"/>
      <c r="G1414" s="249"/>
      <c r="H1414" s="250"/>
    </row>
    <row r="1415" spans="2:8" ht="18" customHeight="1" x14ac:dyDescent="0.25">
      <c r="B1415" s="245"/>
      <c r="C1415" s="247"/>
      <c r="D1415" s="248"/>
      <c r="E1415" s="248"/>
      <c r="F1415" s="249"/>
      <c r="G1415" s="249"/>
      <c r="H1415" s="250"/>
    </row>
    <row r="1416" spans="2:8" ht="18" customHeight="1" x14ac:dyDescent="0.25">
      <c r="B1416" s="245"/>
      <c r="C1416" s="247"/>
      <c r="D1416" s="248"/>
      <c r="E1416" s="248"/>
      <c r="F1416" s="249"/>
      <c r="G1416" s="249"/>
      <c r="H1416" s="250"/>
    </row>
    <row r="1417" spans="2:8" ht="18" customHeight="1" x14ac:dyDescent="0.25">
      <c r="B1417" s="245"/>
      <c r="C1417" s="247"/>
      <c r="D1417" s="248"/>
      <c r="E1417" s="248"/>
      <c r="F1417" s="249"/>
      <c r="G1417" s="249"/>
      <c r="H1417" s="250"/>
    </row>
    <row r="1418" spans="2:8" ht="18" customHeight="1" x14ac:dyDescent="0.25">
      <c r="B1418" s="245"/>
      <c r="C1418" s="247"/>
      <c r="D1418" s="248"/>
      <c r="E1418" s="248"/>
      <c r="F1418" s="249"/>
      <c r="G1418" s="249"/>
      <c r="H1418" s="250"/>
    </row>
    <row r="1419" spans="2:8" ht="18" customHeight="1" x14ac:dyDescent="0.25">
      <c r="B1419" s="245"/>
      <c r="C1419" s="247"/>
      <c r="D1419" s="248"/>
      <c r="E1419" s="248"/>
      <c r="F1419" s="249"/>
      <c r="G1419" s="249"/>
      <c r="H1419" s="250"/>
    </row>
    <row r="1420" spans="2:8" ht="18" customHeight="1" x14ac:dyDescent="0.25">
      <c r="B1420" s="245"/>
      <c r="C1420" s="247"/>
      <c r="D1420" s="248"/>
      <c r="E1420" s="248"/>
      <c r="F1420" s="249"/>
      <c r="G1420" s="249"/>
      <c r="H1420" s="250"/>
    </row>
    <row r="1421" spans="2:8" ht="18" customHeight="1" x14ac:dyDescent="0.25">
      <c r="B1421" s="245"/>
      <c r="C1421" s="247"/>
      <c r="D1421" s="248"/>
      <c r="E1421" s="248"/>
      <c r="F1421" s="249"/>
      <c r="G1421" s="249"/>
      <c r="H1421" s="250"/>
    </row>
    <row r="1422" spans="2:8" ht="18" customHeight="1" x14ac:dyDescent="0.25">
      <c r="B1422" s="245"/>
      <c r="C1422" s="247"/>
      <c r="D1422" s="248"/>
      <c r="E1422" s="248"/>
      <c r="F1422" s="249"/>
      <c r="G1422" s="249"/>
      <c r="H1422" s="250"/>
    </row>
    <row r="1423" spans="2:8" ht="18" customHeight="1" x14ac:dyDescent="0.25">
      <c r="B1423" s="245"/>
      <c r="C1423" s="247"/>
      <c r="D1423" s="248"/>
      <c r="E1423" s="248"/>
      <c r="F1423" s="249"/>
      <c r="G1423" s="249"/>
      <c r="H1423" s="250"/>
    </row>
    <row r="1424" spans="2:8" ht="18" customHeight="1" x14ac:dyDescent="0.25">
      <c r="B1424" s="245"/>
      <c r="C1424" s="247"/>
      <c r="D1424" s="248"/>
      <c r="E1424" s="248"/>
      <c r="F1424" s="249"/>
      <c r="G1424" s="249"/>
      <c r="H1424" s="250"/>
    </row>
    <row r="1425" spans="2:8" ht="18" customHeight="1" x14ac:dyDescent="0.25">
      <c r="B1425" s="245"/>
      <c r="C1425" s="247"/>
      <c r="D1425" s="248"/>
      <c r="E1425" s="248"/>
      <c r="F1425" s="249"/>
      <c r="G1425" s="249"/>
      <c r="H1425" s="250"/>
    </row>
    <row r="1426" spans="2:8" ht="18" customHeight="1" x14ac:dyDescent="0.25">
      <c r="B1426" s="245"/>
      <c r="C1426" s="247"/>
      <c r="D1426" s="248"/>
      <c r="E1426" s="248"/>
      <c r="F1426" s="249"/>
      <c r="G1426" s="249"/>
      <c r="H1426" s="250"/>
    </row>
    <row r="1427" spans="2:8" ht="18" customHeight="1" x14ac:dyDescent="0.25">
      <c r="B1427" s="245"/>
      <c r="C1427" s="247"/>
      <c r="D1427" s="248"/>
      <c r="E1427" s="248"/>
      <c r="F1427" s="249"/>
      <c r="G1427" s="249"/>
      <c r="H1427" s="250"/>
    </row>
    <row r="1428" spans="2:8" ht="18" customHeight="1" x14ac:dyDescent="0.25">
      <c r="B1428" s="245"/>
      <c r="C1428" s="247"/>
      <c r="D1428" s="248"/>
      <c r="E1428" s="248"/>
      <c r="F1428" s="249"/>
      <c r="G1428" s="249"/>
      <c r="H1428" s="250"/>
    </row>
    <row r="1429" spans="2:8" ht="18" customHeight="1" x14ac:dyDescent="0.25">
      <c r="B1429" s="245"/>
      <c r="C1429" s="247"/>
      <c r="D1429" s="248"/>
      <c r="E1429" s="248"/>
      <c r="F1429" s="249"/>
      <c r="G1429" s="249"/>
      <c r="H1429" s="250"/>
    </row>
    <row r="1430" spans="2:8" ht="18" customHeight="1" x14ac:dyDescent="0.25">
      <c r="B1430" s="245"/>
      <c r="C1430" s="247"/>
      <c r="D1430" s="248"/>
      <c r="E1430" s="248"/>
      <c r="F1430" s="249"/>
      <c r="G1430" s="249"/>
      <c r="H1430" s="250"/>
    </row>
    <row r="1431" spans="2:8" ht="18" customHeight="1" x14ac:dyDescent="0.25">
      <c r="B1431" s="245"/>
      <c r="C1431" s="246"/>
      <c r="D1431" s="248"/>
      <c r="E1431" s="248"/>
      <c r="F1431" s="249"/>
      <c r="G1431" s="249"/>
      <c r="H1431" s="250"/>
    </row>
    <row r="1432" spans="2:8" ht="18" customHeight="1" x14ac:dyDescent="0.25">
      <c r="B1432" s="245"/>
      <c r="C1432" s="247"/>
      <c r="D1432" s="248"/>
      <c r="E1432" s="248"/>
      <c r="F1432" s="249"/>
      <c r="G1432" s="249"/>
      <c r="H1432" s="250"/>
    </row>
    <row r="1433" spans="2:8" ht="18" customHeight="1" x14ac:dyDescent="0.25">
      <c r="B1433" s="245"/>
      <c r="C1433" s="247"/>
      <c r="D1433" s="248"/>
      <c r="E1433" s="248"/>
      <c r="F1433" s="249"/>
      <c r="G1433" s="249"/>
      <c r="H1433" s="250"/>
    </row>
    <row r="1434" spans="2:8" ht="18" customHeight="1" x14ac:dyDescent="0.25">
      <c r="B1434" s="245"/>
      <c r="C1434" s="247"/>
      <c r="D1434" s="248"/>
      <c r="E1434" s="248"/>
      <c r="F1434" s="249"/>
      <c r="G1434" s="249"/>
      <c r="H1434" s="250"/>
    </row>
    <row r="1435" spans="2:8" ht="18" customHeight="1" x14ac:dyDescent="0.25">
      <c r="B1435" s="245"/>
      <c r="C1435" s="247"/>
      <c r="D1435" s="248"/>
      <c r="E1435" s="248"/>
      <c r="F1435" s="249"/>
      <c r="G1435" s="249"/>
      <c r="H1435" s="250"/>
    </row>
    <row r="1436" spans="2:8" ht="18" customHeight="1" x14ac:dyDescent="0.25">
      <c r="B1436" s="245"/>
      <c r="C1436" s="247"/>
      <c r="D1436" s="248"/>
      <c r="E1436" s="248"/>
      <c r="F1436" s="249"/>
      <c r="G1436" s="249"/>
      <c r="H1436" s="250"/>
    </row>
    <row r="1437" spans="2:8" ht="18" customHeight="1" x14ac:dyDescent="0.25">
      <c r="B1437" s="245"/>
      <c r="C1437" s="247"/>
      <c r="D1437" s="248"/>
      <c r="E1437" s="248"/>
      <c r="F1437" s="249"/>
      <c r="G1437" s="249"/>
      <c r="H1437" s="250"/>
    </row>
    <row r="1438" spans="2:8" ht="18" customHeight="1" x14ac:dyDescent="0.25">
      <c r="B1438" s="245"/>
      <c r="C1438" s="247"/>
      <c r="D1438" s="248"/>
      <c r="E1438" s="248"/>
      <c r="F1438" s="249"/>
      <c r="G1438" s="249"/>
      <c r="H1438" s="250"/>
    </row>
    <row r="1439" spans="2:8" ht="18" customHeight="1" x14ac:dyDescent="0.25">
      <c r="B1439" s="245"/>
      <c r="C1439" s="247"/>
      <c r="D1439" s="248"/>
      <c r="E1439" s="248"/>
      <c r="F1439" s="249"/>
      <c r="G1439" s="249"/>
      <c r="H1439" s="250"/>
    </row>
    <row r="1440" spans="2:8" ht="18" customHeight="1" x14ac:dyDescent="0.25">
      <c r="B1440" s="245"/>
      <c r="C1440" s="247"/>
      <c r="D1440" s="248"/>
      <c r="E1440" s="248"/>
      <c r="F1440" s="249"/>
      <c r="G1440" s="249"/>
      <c r="H1440" s="250"/>
    </row>
    <row r="1441" spans="2:8" ht="18" customHeight="1" x14ac:dyDescent="0.25">
      <c r="B1441" s="245"/>
      <c r="C1441" s="247"/>
      <c r="D1441" s="248"/>
      <c r="E1441" s="248"/>
      <c r="F1441" s="249"/>
      <c r="G1441" s="249"/>
      <c r="H1441" s="250"/>
    </row>
    <row r="1442" spans="2:8" ht="18" customHeight="1" x14ac:dyDescent="0.25">
      <c r="B1442" s="245"/>
      <c r="C1442" s="247"/>
      <c r="D1442" s="248"/>
      <c r="E1442" s="248"/>
      <c r="F1442" s="249"/>
      <c r="G1442" s="249"/>
      <c r="H1442" s="250"/>
    </row>
    <row r="1443" spans="2:8" ht="18" customHeight="1" x14ac:dyDescent="0.25">
      <c r="B1443" s="245"/>
      <c r="C1443" s="247"/>
      <c r="D1443" s="248"/>
      <c r="E1443" s="248"/>
      <c r="F1443" s="249"/>
      <c r="G1443" s="249"/>
      <c r="H1443" s="250"/>
    </row>
    <row r="1444" spans="2:8" ht="18" customHeight="1" x14ac:dyDescent="0.25">
      <c r="B1444" s="245"/>
      <c r="C1444" s="247"/>
      <c r="D1444" s="248"/>
      <c r="E1444" s="248"/>
      <c r="F1444" s="249"/>
      <c r="G1444" s="249"/>
      <c r="H1444" s="250"/>
    </row>
    <row r="1445" spans="2:8" ht="18" customHeight="1" x14ac:dyDescent="0.25">
      <c r="B1445" s="245"/>
      <c r="C1445" s="247"/>
      <c r="D1445" s="248"/>
      <c r="E1445" s="248"/>
      <c r="F1445" s="249"/>
      <c r="G1445" s="249"/>
      <c r="H1445" s="250"/>
    </row>
    <row r="1446" spans="2:8" ht="18" customHeight="1" x14ac:dyDescent="0.25">
      <c r="B1446" s="245"/>
      <c r="C1446" s="247"/>
      <c r="D1446" s="248"/>
      <c r="E1446" s="248"/>
      <c r="F1446" s="249"/>
      <c r="G1446" s="249"/>
      <c r="H1446" s="250"/>
    </row>
    <row r="1447" spans="2:8" ht="18" customHeight="1" x14ac:dyDescent="0.25">
      <c r="B1447" s="245"/>
      <c r="C1447" s="247"/>
      <c r="D1447" s="248"/>
      <c r="E1447" s="248"/>
      <c r="F1447" s="249"/>
      <c r="G1447" s="249"/>
      <c r="H1447" s="250"/>
    </row>
    <row r="1448" spans="2:8" ht="18" customHeight="1" x14ac:dyDescent="0.25">
      <c r="B1448" s="245"/>
      <c r="C1448" s="247"/>
      <c r="D1448" s="248"/>
      <c r="E1448" s="248"/>
      <c r="F1448" s="249"/>
      <c r="G1448" s="249"/>
      <c r="H1448" s="250"/>
    </row>
    <row r="1449" spans="2:8" ht="18" customHeight="1" x14ac:dyDescent="0.25">
      <c r="B1449" s="245"/>
      <c r="C1449" s="247"/>
      <c r="D1449" s="248"/>
      <c r="E1449" s="248"/>
      <c r="F1449" s="249"/>
      <c r="G1449" s="249"/>
      <c r="H1449" s="250"/>
    </row>
    <row r="1450" spans="2:8" ht="18" customHeight="1" x14ac:dyDescent="0.25">
      <c r="B1450" s="245"/>
      <c r="C1450" s="247"/>
      <c r="D1450" s="248"/>
      <c r="E1450" s="248"/>
      <c r="F1450" s="249"/>
      <c r="G1450" s="249"/>
      <c r="H1450" s="250"/>
    </row>
    <row r="1451" spans="2:8" ht="18" customHeight="1" x14ac:dyDescent="0.25">
      <c r="B1451" s="245"/>
      <c r="C1451" s="247"/>
      <c r="D1451" s="248"/>
      <c r="E1451" s="248"/>
      <c r="F1451" s="249"/>
      <c r="G1451" s="249"/>
      <c r="H1451" s="250"/>
    </row>
    <row r="1452" spans="2:8" ht="18" customHeight="1" x14ac:dyDescent="0.25">
      <c r="B1452" s="245"/>
      <c r="C1452" s="247"/>
      <c r="D1452" s="248"/>
      <c r="E1452" s="248"/>
      <c r="F1452" s="249"/>
      <c r="G1452" s="249"/>
      <c r="H1452" s="250"/>
    </row>
    <row r="1453" spans="2:8" ht="18" customHeight="1" x14ac:dyDescent="0.25">
      <c r="B1453" s="245"/>
      <c r="C1453" s="247"/>
      <c r="D1453" s="248"/>
      <c r="E1453" s="248"/>
      <c r="F1453" s="249"/>
      <c r="G1453" s="249"/>
      <c r="H1453" s="250"/>
    </row>
    <row r="1454" spans="2:8" ht="18" customHeight="1" x14ac:dyDescent="0.25">
      <c r="B1454" s="245"/>
      <c r="C1454" s="247"/>
      <c r="D1454" s="248"/>
      <c r="E1454" s="248"/>
      <c r="F1454" s="249"/>
      <c r="G1454" s="249"/>
      <c r="H1454" s="250"/>
    </row>
    <row r="1455" spans="2:8" ht="18" customHeight="1" x14ac:dyDescent="0.25">
      <c r="B1455" s="245"/>
      <c r="C1455" s="247"/>
      <c r="D1455" s="248"/>
      <c r="E1455" s="248"/>
      <c r="F1455" s="249"/>
      <c r="G1455" s="249"/>
      <c r="H1455" s="250"/>
    </row>
    <row r="1456" spans="2:8" ht="18" customHeight="1" x14ac:dyDescent="0.25">
      <c r="B1456" s="245"/>
      <c r="C1456" s="247"/>
      <c r="D1456" s="248"/>
      <c r="E1456" s="248"/>
      <c r="F1456" s="249"/>
      <c r="G1456" s="249"/>
      <c r="H1456" s="250"/>
    </row>
    <row r="1457" spans="2:8" ht="18" customHeight="1" x14ac:dyDescent="0.25">
      <c r="B1457" s="245"/>
      <c r="C1457" s="247"/>
      <c r="D1457" s="248"/>
      <c r="E1457" s="248"/>
      <c r="F1457" s="249"/>
      <c r="G1457" s="249"/>
      <c r="H1457" s="250"/>
    </row>
    <row r="1458" spans="2:8" ht="18" customHeight="1" x14ac:dyDescent="0.25">
      <c r="B1458" s="245"/>
      <c r="C1458" s="247"/>
      <c r="D1458" s="248"/>
      <c r="E1458" s="248"/>
      <c r="F1458" s="249"/>
      <c r="G1458" s="249"/>
      <c r="H1458" s="250"/>
    </row>
    <row r="1459" spans="2:8" ht="18" customHeight="1" x14ac:dyDescent="0.25">
      <c r="B1459" s="245"/>
      <c r="C1459" s="247"/>
      <c r="D1459" s="248"/>
      <c r="E1459" s="248"/>
      <c r="F1459" s="249"/>
      <c r="G1459" s="249"/>
      <c r="H1459" s="250"/>
    </row>
    <row r="1460" spans="2:8" ht="18" customHeight="1" x14ac:dyDescent="0.25">
      <c r="B1460" s="245"/>
      <c r="C1460" s="247"/>
      <c r="D1460" s="248"/>
      <c r="E1460" s="248"/>
      <c r="F1460" s="249"/>
      <c r="G1460" s="249"/>
      <c r="H1460" s="250"/>
    </row>
    <row r="1461" spans="2:8" ht="18" customHeight="1" x14ac:dyDescent="0.25">
      <c r="B1461" s="245"/>
      <c r="C1461" s="247"/>
      <c r="D1461" s="248"/>
      <c r="E1461" s="248"/>
      <c r="F1461" s="249"/>
      <c r="G1461" s="249"/>
      <c r="H1461" s="250"/>
    </row>
    <row r="1462" spans="2:8" ht="18" customHeight="1" x14ac:dyDescent="0.25">
      <c r="B1462" s="245"/>
      <c r="C1462" s="247"/>
      <c r="D1462" s="248"/>
      <c r="E1462" s="248"/>
      <c r="F1462" s="249"/>
      <c r="G1462" s="249"/>
      <c r="H1462" s="250"/>
    </row>
    <row r="1463" spans="2:8" ht="18" customHeight="1" x14ac:dyDescent="0.25">
      <c r="B1463" s="245"/>
      <c r="C1463" s="247"/>
      <c r="D1463" s="248"/>
      <c r="E1463" s="248"/>
      <c r="F1463" s="249"/>
      <c r="G1463" s="249"/>
      <c r="H1463" s="250"/>
    </row>
    <row r="1464" spans="2:8" ht="18" customHeight="1" x14ac:dyDescent="0.25">
      <c r="B1464" s="245"/>
      <c r="C1464" s="247"/>
      <c r="D1464" s="248"/>
      <c r="E1464" s="248"/>
      <c r="F1464" s="249"/>
      <c r="G1464" s="249"/>
      <c r="H1464" s="250"/>
    </row>
    <row r="1465" spans="2:8" ht="18" customHeight="1" x14ac:dyDescent="0.25">
      <c r="B1465" s="245"/>
      <c r="C1465" s="247"/>
      <c r="D1465" s="248"/>
      <c r="E1465" s="248"/>
      <c r="F1465" s="249"/>
      <c r="G1465" s="249"/>
      <c r="H1465" s="250"/>
    </row>
    <row r="1466" spans="2:8" ht="18" customHeight="1" x14ac:dyDescent="0.25">
      <c r="B1466" s="245"/>
      <c r="C1466" s="247"/>
      <c r="D1466" s="248"/>
      <c r="E1466" s="248"/>
      <c r="F1466" s="249"/>
      <c r="G1466" s="249"/>
      <c r="H1466" s="250"/>
    </row>
    <row r="1467" spans="2:8" ht="18" customHeight="1" x14ac:dyDescent="0.25">
      <c r="B1467" s="245"/>
      <c r="C1467" s="247"/>
      <c r="D1467" s="248"/>
      <c r="E1467" s="248"/>
      <c r="F1467" s="249"/>
      <c r="G1467" s="249"/>
      <c r="H1467" s="250"/>
    </row>
    <row r="1468" spans="2:8" ht="18" customHeight="1" x14ac:dyDescent="0.25">
      <c r="B1468" s="245"/>
      <c r="C1468" s="247"/>
      <c r="D1468" s="248"/>
      <c r="E1468" s="248"/>
      <c r="F1468" s="249"/>
      <c r="G1468" s="249"/>
      <c r="H1468" s="250"/>
    </row>
    <row r="1469" spans="2:8" ht="18" customHeight="1" x14ac:dyDescent="0.25">
      <c r="B1469" s="245"/>
      <c r="C1469" s="247"/>
      <c r="D1469" s="248"/>
      <c r="E1469" s="248"/>
      <c r="F1469" s="249"/>
      <c r="G1469" s="249"/>
      <c r="H1469" s="250"/>
    </row>
    <row r="1470" spans="2:8" ht="18" customHeight="1" x14ac:dyDescent="0.25">
      <c r="B1470" s="245"/>
      <c r="C1470" s="247"/>
      <c r="D1470" s="248"/>
      <c r="E1470" s="248"/>
      <c r="F1470" s="249"/>
      <c r="G1470" s="249"/>
      <c r="H1470" s="250"/>
    </row>
    <row r="1471" spans="2:8" ht="18" customHeight="1" x14ac:dyDescent="0.25">
      <c r="B1471" s="245"/>
      <c r="C1471" s="247"/>
      <c r="D1471" s="248"/>
      <c r="E1471" s="248"/>
      <c r="F1471" s="249"/>
      <c r="G1471" s="249"/>
      <c r="H1471" s="250"/>
    </row>
    <row r="1472" spans="2:8" ht="18" customHeight="1" x14ac:dyDescent="0.25">
      <c r="B1472" s="245"/>
      <c r="C1472" s="247"/>
      <c r="D1472" s="248"/>
      <c r="E1472" s="248"/>
      <c r="F1472" s="249"/>
      <c r="G1472" s="249"/>
      <c r="H1472" s="250"/>
    </row>
    <row r="1473" spans="2:8" ht="18" customHeight="1" x14ac:dyDescent="0.25">
      <c r="B1473" s="245"/>
      <c r="C1473" s="247"/>
      <c r="D1473" s="248"/>
      <c r="E1473" s="248"/>
      <c r="F1473" s="249"/>
      <c r="G1473" s="249"/>
      <c r="H1473" s="250"/>
    </row>
    <row r="1474" spans="2:8" ht="18" customHeight="1" x14ac:dyDescent="0.25">
      <c r="B1474" s="245"/>
      <c r="C1474" s="247"/>
      <c r="D1474" s="248"/>
      <c r="E1474" s="248"/>
      <c r="F1474" s="249"/>
      <c r="G1474" s="249"/>
      <c r="H1474" s="250"/>
    </row>
    <row r="1475" spans="2:8" ht="18" customHeight="1" x14ac:dyDescent="0.25">
      <c r="B1475" s="245"/>
      <c r="C1475" s="247"/>
      <c r="D1475" s="248"/>
      <c r="E1475" s="248"/>
      <c r="F1475" s="249"/>
      <c r="G1475" s="249"/>
      <c r="H1475" s="250"/>
    </row>
    <row r="1476" spans="2:8" ht="18" customHeight="1" x14ac:dyDescent="0.25">
      <c r="B1476" s="245"/>
      <c r="C1476" s="247"/>
      <c r="D1476" s="248"/>
      <c r="E1476" s="248"/>
      <c r="F1476" s="249"/>
      <c r="G1476" s="249"/>
      <c r="H1476" s="250"/>
    </row>
    <row r="1477" spans="2:8" ht="18" customHeight="1" x14ac:dyDescent="0.25">
      <c r="B1477" s="245"/>
      <c r="C1477" s="247"/>
      <c r="D1477" s="248"/>
      <c r="E1477" s="248"/>
      <c r="F1477" s="249"/>
      <c r="G1477" s="249"/>
      <c r="H1477" s="250"/>
    </row>
    <row r="1478" spans="2:8" ht="18" customHeight="1" x14ac:dyDescent="0.25">
      <c r="B1478" s="245"/>
      <c r="C1478" s="247"/>
      <c r="D1478" s="248"/>
      <c r="E1478" s="248"/>
      <c r="F1478" s="249"/>
      <c r="G1478" s="249"/>
      <c r="H1478" s="250"/>
    </row>
    <row r="1479" spans="2:8" ht="18" customHeight="1" x14ac:dyDescent="0.25">
      <c r="B1479" s="245"/>
      <c r="C1479" s="247"/>
      <c r="D1479" s="248"/>
      <c r="E1479" s="248"/>
      <c r="F1479" s="249"/>
      <c r="G1479" s="249"/>
      <c r="H1479" s="250"/>
    </row>
    <row r="1480" spans="2:8" ht="18" customHeight="1" x14ac:dyDescent="0.25">
      <c r="B1480" s="245"/>
      <c r="C1480" s="247"/>
      <c r="D1480" s="248"/>
      <c r="E1480" s="248"/>
      <c r="F1480" s="249"/>
      <c r="G1480" s="249"/>
      <c r="H1480" s="250"/>
    </row>
    <row r="1481" spans="2:8" ht="18" customHeight="1" x14ac:dyDescent="0.25">
      <c r="B1481" s="245"/>
      <c r="C1481" s="247"/>
      <c r="D1481" s="248"/>
      <c r="E1481" s="248"/>
      <c r="F1481" s="249"/>
      <c r="G1481" s="249"/>
      <c r="H1481" s="250"/>
    </row>
    <row r="1482" spans="2:8" ht="18" customHeight="1" x14ac:dyDescent="0.25">
      <c r="B1482" s="245"/>
      <c r="C1482" s="247"/>
      <c r="D1482" s="248"/>
      <c r="E1482" s="248"/>
      <c r="F1482" s="249"/>
      <c r="G1482" s="249"/>
      <c r="H1482" s="250"/>
    </row>
    <row r="1483" spans="2:8" ht="18" customHeight="1" x14ac:dyDescent="0.25">
      <c r="B1483" s="245"/>
      <c r="C1483" s="247"/>
      <c r="D1483" s="248"/>
      <c r="E1483" s="248"/>
      <c r="F1483" s="249"/>
      <c r="G1483" s="249"/>
      <c r="H1483" s="250"/>
    </row>
    <row r="1484" spans="2:8" ht="18" customHeight="1" x14ac:dyDescent="0.25">
      <c r="B1484" s="245"/>
      <c r="C1484" s="247"/>
      <c r="D1484" s="248"/>
      <c r="E1484" s="248"/>
      <c r="F1484" s="249"/>
      <c r="G1484" s="249"/>
      <c r="H1484" s="250"/>
    </row>
    <row r="1485" spans="2:8" ht="18" customHeight="1" x14ac:dyDescent="0.25">
      <c r="B1485" s="245"/>
      <c r="C1485" s="247"/>
      <c r="D1485" s="248"/>
      <c r="E1485" s="248"/>
      <c r="F1485" s="249"/>
      <c r="G1485" s="249"/>
      <c r="H1485" s="250"/>
    </row>
    <row r="1486" spans="2:8" ht="18" customHeight="1" x14ac:dyDescent="0.25">
      <c r="B1486" s="245"/>
      <c r="C1486" s="247"/>
      <c r="D1486" s="248"/>
      <c r="E1486" s="248"/>
      <c r="F1486" s="249"/>
      <c r="G1486" s="249"/>
      <c r="H1486" s="250"/>
    </row>
    <row r="1487" spans="2:8" ht="18" customHeight="1" x14ac:dyDescent="0.25">
      <c r="B1487" s="245"/>
      <c r="C1487" s="247"/>
      <c r="D1487" s="248"/>
      <c r="E1487" s="248"/>
      <c r="F1487" s="249"/>
      <c r="G1487" s="249"/>
      <c r="H1487" s="250"/>
    </row>
    <row r="1488" spans="2:8" ht="18" customHeight="1" x14ac:dyDescent="0.25">
      <c r="B1488" s="245"/>
      <c r="C1488" s="247"/>
      <c r="D1488" s="248"/>
      <c r="E1488" s="248"/>
      <c r="F1488" s="249"/>
      <c r="G1488" s="249"/>
      <c r="H1488" s="250"/>
    </row>
    <row r="1489" spans="2:8" ht="18" customHeight="1" x14ac:dyDescent="0.25">
      <c r="B1489" s="245"/>
      <c r="C1489" s="247"/>
      <c r="D1489" s="248"/>
      <c r="E1489" s="248"/>
      <c r="F1489" s="249"/>
      <c r="G1489" s="249"/>
      <c r="H1489" s="250"/>
    </row>
    <row r="1490" spans="2:8" ht="18" customHeight="1" x14ac:dyDescent="0.25">
      <c r="B1490" s="245"/>
      <c r="C1490" s="247"/>
      <c r="D1490" s="248"/>
      <c r="E1490" s="248"/>
      <c r="F1490" s="249"/>
      <c r="G1490" s="249"/>
      <c r="H1490" s="250"/>
    </row>
    <row r="1491" spans="2:8" ht="18" customHeight="1" x14ac:dyDescent="0.25">
      <c r="B1491" s="245"/>
      <c r="C1491" s="247"/>
      <c r="D1491" s="248"/>
      <c r="E1491" s="248"/>
      <c r="F1491" s="249"/>
      <c r="G1491" s="249"/>
      <c r="H1491" s="250"/>
    </row>
    <row r="1492" spans="2:8" ht="18" customHeight="1" x14ac:dyDescent="0.25">
      <c r="B1492" s="245"/>
      <c r="C1492" s="247"/>
      <c r="D1492" s="248"/>
      <c r="E1492" s="248"/>
      <c r="F1492" s="249"/>
      <c r="G1492" s="249"/>
      <c r="H1492" s="250"/>
    </row>
    <row r="1493" spans="2:8" ht="18" customHeight="1" x14ac:dyDescent="0.25">
      <c r="B1493" s="245"/>
      <c r="C1493" s="247"/>
      <c r="D1493" s="248"/>
      <c r="E1493" s="248"/>
      <c r="F1493" s="249"/>
      <c r="G1493" s="249"/>
      <c r="H1493" s="250"/>
    </row>
    <row r="1494" spans="2:8" ht="18" customHeight="1" x14ac:dyDescent="0.25">
      <c r="B1494" s="245"/>
      <c r="C1494" s="247"/>
      <c r="D1494" s="248"/>
      <c r="E1494" s="248"/>
      <c r="F1494" s="249"/>
      <c r="G1494" s="249"/>
      <c r="H1494" s="250"/>
    </row>
    <row r="1495" spans="2:8" ht="18" customHeight="1" x14ac:dyDescent="0.25">
      <c r="B1495" s="245"/>
      <c r="C1495" s="247"/>
      <c r="D1495" s="248"/>
      <c r="E1495" s="248"/>
      <c r="F1495" s="249"/>
      <c r="G1495" s="249"/>
      <c r="H1495" s="250"/>
    </row>
    <row r="1496" spans="2:8" ht="18" customHeight="1" x14ac:dyDescent="0.25">
      <c r="B1496" s="245"/>
      <c r="C1496" s="247"/>
      <c r="D1496" s="248"/>
      <c r="E1496" s="248"/>
      <c r="F1496" s="249"/>
      <c r="G1496" s="249"/>
      <c r="H1496" s="250"/>
    </row>
    <row r="1497" spans="2:8" ht="18" customHeight="1" x14ac:dyDescent="0.25">
      <c r="B1497" s="245"/>
      <c r="C1497" s="247"/>
      <c r="D1497" s="248"/>
      <c r="E1497" s="248"/>
      <c r="F1497" s="249"/>
      <c r="G1497" s="249"/>
      <c r="H1497" s="250"/>
    </row>
    <row r="1498" spans="2:8" ht="18" customHeight="1" x14ac:dyDescent="0.25">
      <c r="B1498" s="245"/>
      <c r="C1498" s="247"/>
      <c r="D1498" s="248"/>
      <c r="E1498" s="248"/>
      <c r="F1498" s="249"/>
      <c r="G1498" s="249"/>
      <c r="H1498" s="250"/>
    </row>
    <row r="1499" spans="2:8" ht="18" customHeight="1" x14ac:dyDescent="0.25">
      <c r="B1499" s="245"/>
      <c r="C1499" s="247"/>
      <c r="D1499" s="248"/>
      <c r="E1499" s="248"/>
      <c r="F1499" s="249"/>
      <c r="G1499" s="249"/>
      <c r="H1499" s="250"/>
    </row>
    <row r="1500" spans="2:8" ht="18" customHeight="1" x14ac:dyDescent="0.25">
      <c r="B1500" s="245"/>
      <c r="C1500" s="247"/>
      <c r="D1500" s="248"/>
      <c r="E1500" s="248"/>
      <c r="F1500" s="249"/>
      <c r="G1500" s="249"/>
      <c r="H1500" s="250"/>
    </row>
    <row r="1501" spans="2:8" ht="18" customHeight="1" x14ac:dyDescent="0.25">
      <c r="B1501" s="245"/>
      <c r="C1501" s="247"/>
      <c r="D1501" s="248"/>
      <c r="E1501" s="248"/>
      <c r="F1501" s="249"/>
      <c r="G1501" s="249"/>
      <c r="H1501" s="250"/>
    </row>
    <row r="1502" spans="2:8" ht="18" customHeight="1" x14ac:dyDescent="0.25">
      <c r="B1502" s="245"/>
      <c r="C1502" s="247"/>
      <c r="D1502" s="248"/>
      <c r="E1502" s="248"/>
      <c r="F1502" s="249"/>
      <c r="G1502" s="249"/>
      <c r="H1502" s="250"/>
    </row>
    <row r="1503" spans="2:8" ht="18" customHeight="1" x14ac:dyDescent="0.25">
      <c r="B1503" s="245"/>
      <c r="C1503" s="247"/>
      <c r="D1503" s="248"/>
      <c r="E1503" s="248"/>
      <c r="F1503" s="249"/>
      <c r="G1503" s="249"/>
      <c r="H1503" s="250"/>
    </row>
    <row r="1504" spans="2:8" ht="18" customHeight="1" x14ac:dyDescent="0.25">
      <c r="B1504" s="245"/>
      <c r="C1504" s="247"/>
      <c r="D1504" s="248"/>
      <c r="E1504" s="248"/>
      <c r="F1504" s="249"/>
      <c r="G1504" s="249"/>
      <c r="H1504" s="250"/>
    </row>
    <row r="1505" spans="2:8" ht="18" customHeight="1" x14ac:dyDescent="0.25">
      <c r="B1505" s="245"/>
      <c r="C1505" s="247"/>
      <c r="D1505" s="248"/>
      <c r="E1505" s="248"/>
      <c r="F1505" s="249"/>
      <c r="G1505" s="249"/>
      <c r="H1505" s="250"/>
    </row>
    <row r="1506" spans="2:8" ht="18" customHeight="1" x14ac:dyDescent="0.25">
      <c r="B1506" s="245"/>
      <c r="C1506" s="247"/>
      <c r="D1506" s="248"/>
      <c r="E1506" s="248"/>
      <c r="F1506" s="249"/>
      <c r="G1506" s="249"/>
      <c r="H1506" s="250"/>
    </row>
    <row r="1507" spans="2:8" ht="18" customHeight="1" x14ac:dyDescent="0.25">
      <c r="B1507" s="245"/>
      <c r="C1507" s="247"/>
      <c r="D1507" s="248"/>
      <c r="E1507" s="248"/>
      <c r="F1507" s="249"/>
      <c r="G1507" s="249"/>
      <c r="H1507" s="250"/>
    </row>
    <row r="1508" spans="2:8" ht="18" customHeight="1" x14ac:dyDescent="0.25">
      <c r="B1508" s="245"/>
      <c r="C1508" s="247"/>
      <c r="D1508" s="248"/>
      <c r="E1508" s="248"/>
      <c r="F1508" s="249"/>
      <c r="G1508" s="249"/>
      <c r="H1508" s="250"/>
    </row>
    <row r="1509" spans="2:8" ht="18" customHeight="1" x14ac:dyDescent="0.25">
      <c r="B1509" s="245"/>
      <c r="C1509" s="247"/>
      <c r="D1509" s="248"/>
      <c r="E1509" s="248"/>
      <c r="F1509" s="249"/>
      <c r="G1509" s="249"/>
      <c r="H1509" s="250"/>
    </row>
    <row r="1510" spans="2:8" ht="18" customHeight="1" x14ac:dyDescent="0.25">
      <c r="B1510" s="245"/>
      <c r="C1510" s="247"/>
      <c r="D1510" s="248"/>
      <c r="E1510" s="248"/>
      <c r="F1510" s="249"/>
      <c r="G1510" s="249"/>
      <c r="H1510" s="250"/>
    </row>
    <row r="1511" spans="2:8" ht="18" customHeight="1" x14ac:dyDescent="0.25">
      <c r="B1511" s="245"/>
      <c r="C1511" s="247"/>
      <c r="D1511" s="248"/>
      <c r="E1511" s="248"/>
      <c r="F1511" s="249"/>
      <c r="G1511" s="249"/>
      <c r="H1511" s="250"/>
    </row>
    <row r="1512" spans="2:8" ht="18" customHeight="1" x14ac:dyDescent="0.25">
      <c r="B1512" s="245"/>
      <c r="C1512" s="247"/>
      <c r="D1512" s="248"/>
      <c r="E1512" s="248"/>
      <c r="F1512" s="249"/>
      <c r="G1512" s="249"/>
      <c r="H1512" s="250"/>
    </row>
    <row r="1513" spans="2:8" ht="18" customHeight="1" x14ac:dyDescent="0.25">
      <c r="B1513" s="245"/>
      <c r="C1513" s="247"/>
      <c r="D1513" s="248"/>
      <c r="E1513" s="248"/>
      <c r="F1513" s="249"/>
      <c r="G1513" s="249"/>
      <c r="H1513" s="250"/>
    </row>
    <row r="1514" spans="2:8" ht="18" customHeight="1" x14ac:dyDescent="0.25">
      <c r="B1514" s="245"/>
      <c r="C1514" s="247"/>
      <c r="D1514" s="248"/>
      <c r="E1514" s="248"/>
      <c r="F1514" s="249"/>
      <c r="G1514" s="249"/>
      <c r="H1514" s="250"/>
    </row>
    <row r="1515" spans="2:8" ht="18" customHeight="1" x14ac:dyDescent="0.25">
      <c r="B1515" s="245"/>
      <c r="C1515" s="247"/>
      <c r="D1515" s="248"/>
      <c r="E1515" s="248"/>
      <c r="F1515" s="249"/>
      <c r="G1515" s="249"/>
      <c r="H1515" s="250"/>
    </row>
    <row r="1516" spans="2:8" ht="18" customHeight="1" x14ac:dyDescent="0.25">
      <c r="B1516" s="245"/>
      <c r="C1516" s="247"/>
      <c r="D1516" s="248"/>
      <c r="E1516" s="248"/>
      <c r="F1516" s="249"/>
      <c r="G1516" s="249"/>
      <c r="H1516" s="250"/>
    </row>
    <row r="1517" spans="2:8" ht="18" customHeight="1" x14ac:dyDescent="0.25">
      <c r="B1517" s="245"/>
      <c r="C1517" s="247"/>
      <c r="D1517" s="248"/>
      <c r="E1517" s="248"/>
      <c r="F1517" s="249"/>
      <c r="G1517" s="249"/>
      <c r="H1517" s="250"/>
    </row>
    <row r="1518" spans="2:8" ht="18" customHeight="1" x14ac:dyDescent="0.25">
      <c r="B1518" s="245"/>
      <c r="C1518" s="247"/>
      <c r="D1518" s="248"/>
      <c r="E1518" s="248"/>
      <c r="F1518" s="249"/>
      <c r="G1518" s="249"/>
      <c r="H1518" s="250"/>
    </row>
    <row r="1519" spans="2:8" ht="18" customHeight="1" x14ac:dyDescent="0.25">
      <c r="B1519" s="245"/>
      <c r="C1519" s="247"/>
      <c r="D1519" s="248"/>
      <c r="E1519" s="248"/>
      <c r="F1519" s="249"/>
      <c r="G1519" s="249"/>
      <c r="H1519" s="250"/>
    </row>
    <row r="1520" spans="2:8" ht="18" customHeight="1" x14ac:dyDescent="0.25">
      <c r="B1520" s="245"/>
      <c r="C1520" s="247"/>
      <c r="D1520" s="248"/>
      <c r="E1520" s="248"/>
      <c r="F1520" s="249"/>
      <c r="G1520" s="249"/>
      <c r="H1520" s="250"/>
    </row>
    <row r="1521" spans="2:8" ht="18" customHeight="1" x14ac:dyDescent="0.25">
      <c r="B1521" s="245"/>
      <c r="C1521" s="247"/>
      <c r="D1521" s="248"/>
      <c r="E1521" s="248"/>
      <c r="F1521" s="249"/>
      <c r="G1521" s="249"/>
      <c r="H1521" s="250"/>
    </row>
    <row r="1522" spans="2:8" ht="18" customHeight="1" x14ac:dyDescent="0.25">
      <c r="B1522" s="245"/>
      <c r="C1522" s="247"/>
      <c r="D1522" s="248"/>
      <c r="E1522" s="248"/>
      <c r="F1522" s="249"/>
      <c r="G1522" s="249"/>
      <c r="H1522" s="250"/>
    </row>
    <row r="1523" spans="2:8" ht="18" customHeight="1" x14ac:dyDescent="0.25">
      <c r="B1523" s="245"/>
      <c r="C1523" s="247"/>
      <c r="D1523" s="248"/>
      <c r="E1523" s="248"/>
      <c r="F1523" s="249"/>
      <c r="G1523" s="249"/>
      <c r="H1523" s="250"/>
    </row>
    <row r="1524" spans="2:8" ht="18" customHeight="1" x14ac:dyDescent="0.25">
      <c r="B1524" s="245"/>
      <c r="C1524" s="247"/>
      <c r="D1524" s="248"/>
      <c r="E1524" s="248"/>
      <c r="F1524" s="249"/>
      <c r="G1524" s="249"/>
      <c r="H1524" s="250"/>
    </row>
    <row r="1525" spans="2:8" ht="18" customHeight="1" x14ac:dyDescent="0.25">
      <c r="B1525" s="245"/>
      <c r="C1525" s="247"/>
      <c r="D1525" s="248"/>
      <c r="E1525" s="248"/>
      <c r="F1525" s="249"/>
      <c r="G1525" s="249"/>
      <c r="H1525" s="250"/>
    </row>
    <row r="1526" spans="2:8" ht="18" customHeight="1" x14ac:dyDescent="0.25">
      <c r="B1526" s="245"/>
      <c r="C1526" s="247"/>
      <c r="D1526" s="248"/>
      <c r="E1526" s="248"/>
      <c r="F1526" s="249"/>
      <c r="G1526" s="249"/>
      <c r="H1526" s="250"/>
    </row>
    <row r="1527" spans="2:8" ht="18" customHeight="1" x14ac:dyDescent="0.25">
      <c r="B1527" s="245"/>
      <c r="C1527" s="247"/>
      <c r="D1527" s="248"/>
      <c r="E1527" s="248"/>
      <c r="F1527" s="249"/>
      <c r="G1527" s="249"/>
      <c r="H1527" s="250"/>
    </row>
    <row r="1528" spans="2:8" ht="18" customHeight="1" x14ac:dyDescent="0.25">
      <c r="B1528" s="245"/>
      <c r="C1528" s="247"/>
      <c r="D1528" s="248"/>
      <c r="E1528" s="248"/>
      <c r="F1528" s="249"/>
      <c r="G1528" s="249"/>
      <c r="H1528" s="250"/>
    </row>
    <row r="1529" spans="2:8" ht="18" customHeight="1" x14ac:dyDescent="0.25">
      <c r="B1529" s="245"/>
      <c r="C1529" s="247"/>
      <c r="D1529" s="248"/>
      <c r="E1529" s="248"/>
      <c r="F1529" s="249"/>
      <c r="G1529" s="249"/>
      <c r="H1529" s="250"/>
    </row>
    <row r="1530" spans="2:8" ht="18" customHeight="1" x14ac:dyDescent="0.25">
      <c r="B1530" s="245"/>
      <c r="C1530" s="247"/>
      <c r="D1530" s="248"/>
      <c r="E1530" s="248"/>
      <c r="F1530" s="249"/>
      <c r="G1530" s="249"/>
      <c r="H1530" s="250"/>
    </row>
    <row r="1531" spans="2:8" ht="18" customHeight="1" x14ac:dyDescent="0.25">
      <c r="B1531" s="245"/>
      <c r="C1531" s="247"/>
      <c r="D1531" s="248"/>
      <c r="E1531" s="248"/>
      <c r="F1531" s="249"/>
      <c r="G1531" s="249"/>
      <c r="H1531" s="250"/>
    </row>
    <row r="1532" spans="2:8" ht="18" customHeight="1" x14ac:dyDescent="0.25">
      <c r="B1532" s="245"/>
      <c r="C1532" s="247"/>
      <c r="D1532" s="248"/>
      <c r="E1532" s="248"/>
      <c r="F1532" s="249"/>
      <c r="G1532" s="249"/>
      <c r="H1532" s="250"/>
    </row>
    <row r="1533" spans="2:8" ht="18" customHeight="1" x14ac:dyDescent="0.25">
      <c r="B1533" s="245"/>
      <c r="C1533" s="247"/>
      <c r="D1533" s="248"/>
      <c r="E1533" s="248"/>
      <c r="F1533" s="249"/>
      <c r="G1533" s="249"/>
      <c r="H1533" s="250"/>
    </row>
    <row r="1534" spans="2:8" ht="18" customHeight="1" x14ac:dyDescent="0.25">
      <c r="B1534" s="245"/>
      <c r="C1534" s="247"/>
      <c r="D1534" s="248"/>
      <c r="E1534" s="248"/>
      <c r="F1534" s="249"/>
      <c r="G1534" s="249"/>
      <c r="H1534" s="250"/>
    </row>
    <row r="1535" spans="2:8" ht="18" customHeight="1" x14ac:dyDescent="0.25">
      <c r="B1535" s="245"/>
      <c r="C1535" s="247"/>
      <c r="D1535" s="248"/>
      <c r="E1535" s="248"/>
      <c r="F1535" s="249"/>
      <c r="G1535" s="249"/>
      <c r="H1535" s="250"/>
    </row>
    <row r="1536" spans="2:8" ht="18" customHeight="1" x14ac:dyDescent="0.25">
      <c r="B1536" s="245"/>
      <c r="C1536" s="247"/>
      <c r="D1536" s="248"/>
      <c r="E1536" s="248"/>
      <c r="F1536" s="249"/>
      <c r="G1536" s="249"/>
      <c r="H1536" s="250"/>
    </row>
    <row r="1537" spans="2:8" ht="18" customHeight="1" x14ac:dyDescent="0.25">
      <c r="B1537" s="245"/>
      <c r="C1537" s="247"/>
      <c r="D1537" s="248"/>
      <c r="E1537" s="248"/>
      <c r="F1537" s="249"/>
      <c r="G1537" s="249"/>
      <c r="H1537" s="250"/>
    </row>
    <row r="1538" spans="2:8" ht="18" customHeight="1" x14ac:dyDescent="0.25">
      <c r="B1538" s="245"/>
      <c r="C1538" s="247"/>
      <c r="D1538" s="248"/>
      <c r="E1538" s="248"/>
      <c r="F1538" s="249"/>
      <c r="G1538" s="249"/>
      <c r="H1538" s="250"/>
    </row>
    <row r="1539" spans="2:8" ht="18" customHeight="1" x14ac:dyDescent="0.25">
      <c r="B1539" s="245"/>
      <c r="C1539" s="247"/>
      <c r="D1539" s="248"/>
      <c r="E1539" s="248"/>
      <c r="F1539" s="249"/>
      <c r="G1539" s="249"/>
      <c r="H1539" s="250"/>
    </row>
    <row r="1540" spans="2:8" ht="18" customHeight="1" x14ac:dyDescent="0.25">
      <c r="B1540" s="245"/>
      <c r="C1540" s="247"/>
      <c r="D1540" s="248"/>
      <c r="E1540" s="248"/>
      <c r="F1540" s="249"/>
      <c r="G1540" s="249"/>
      <c r="H1540" s="250"/>
    </row>
    <row r="1541" spans="2:8" ht="18" customHeight="1" x14ac:dyDescent="0.25">
      <c r="B1541" s="245"/>
      <c r="C1541" s="247"/>
      <c r="D1541" s="248"/>
      <c r="E1541" s="248"/>
      <c r="F1541" s="249"/>
      <c r="G1541" s="249"/>
      <c r="H1541" s="250"/>
    </row>
    <row r="1542" spans="2:8" ht="18" customHeight="1" x14ac:dyDescent="0.25">
      <c r="B1542" s="245"/>
      <c r="C1542" s="247"/>
      <c r="D1542" s="248"/>
      <c r="E1542" s="248"/>
      <c r="F1542" s="249"/>
      <c r="G1542" s="249"/>
      <c r="H1542" s="250"/>
    </row>
    <row r="1543" spans="2:8" ht="18" customHeight="1" x14ac:dyDescent="0.25">
      <c r="B1543" s="245"/>
      <c r="C1543" s="247"/>
      <c r="D1543" s="248"/>
      <c r="E1543" s="248"/>
      <c r="F1543" s="249"/>
      <c r="G1543" s="249"/>
      <c r="H1543" s="250"/>
    </row>
    <row r="1544" spans="2:8" ht="18" customHeight="1" x14ac:dyDescent="0.25">
      <c r="B1544" s="245"/>
      <c r="C1544" s="247"/>
      <c r="D1544" s="248"/>
      <c r="E1544" s="248"/>
      <c r="F1544" s="249"/>
      <c r="G1544" s="249"/>
      <c r="H1544" s="250"/>
    </row>
    <row r="1545" spans="2:8" ht="18" customHeight="1" x14ac:dyDescent="0.25">
      <c r="B1545" s="245"/>
      <c r="C1545" s="247"/>
      <c r="D1545" s="248"/>
      <c r="E1545" s="248"/>
      <c r="F1545" s="249"/>
      <c r="G1545" s="249"/>
      <c r="H1545" s="250"/>
    </row>
    <row r="1546" spans="2:8" ht="18" customHeight="1" x14ac:dyDescent="0.25">
      <c r="B1546" s="245"/>
      <c r="C1546" s="247"/>
      <c r="D1546" s="248"/>
      <c r="E1546" s="248"/>
      <c r="F1546" s="249"/>
      <c r="G1546" s="249"/>
      <c r="H1546" s="250"/>
    </row>
    <row r="1547" spans="2:8" ht="18" customHeight="1" x14ac:dyDescent="0.25">
      <c r="B1547" s="245"/>
      <c r="C1547" s="247"/>
      <c r="D1547" s="248"/>
      <c r="E1547" s="248"/>
      <c r="F1547" s="249"/>
      <c r="G1547" s="249"/>
      <c r="H1547" s="250"/>
    </row>
    <row r="1548" spans="2:8" ht="18" customHeight="1" x14ac:dyDescent="0.25">
      <c r="B1548" s="251"/>
      <c r="C1548" s="252"/>
      <c r="D1548" s="253"/>
      <c r="E1548" s="253"/>
      <c r="F1548" s="254"/>
      <c r="G1548" s="254"/>
      <c r="H1548" s="255"/>
    </row>
  </sheetData>
  <mergeCells count="1">
    <mergeCell ref="B2:F4"/>
  </mergeCells>
  <phoneticPr fontId="1" type="noConversion"/>
  <conditionalFormatting sqref="B2 G2:H2 G4:H4 A968:A1048576 I968:XFD1048576 B875:H1048576">
    <cfRule type="containsBlanks" dxfId="37" priority="9">
      <formula>LEN(TRIM(A2))=0</formula>
    </cfRule>
  </conditionalFormatting>
  <conditionalFormatting sqref="G3:H3">
    <cfRule type="containsBlanks" dxfId="36" priority="8">
      <formula>LEN(TRIM(G3))=0</formula>
    </cfRule>
  </conditionalFormatting>
  <conditionalFormatting sqref="A1:XFD4 A5:A873 I5:XFD967 A875:A967">
    <cfRule type="containsBlanks" dxfId="35" priority="7">
      <formula>LEN(TRIM(A1))=0</formula>
    </cfRule>
  </conditionalFormatting>
  <conditionalFormatting sqref="B5:H5">
    <cfRule type="containsBlanks" dxfId="34" priority="5">
      <formula>LEN(TRIM(B5))=0</formula>
    </cfRule>
  </conditionalFormatting>
  <conditionalFormatting sqref="B5:H5">
    <cfRule type="containsBlanks" dxfId="33" priority="4">
      <formula>LEN(TRIM(B5))=0</formula>
    </cfRule>
  </conditionalFormatting>
  <conditionalFormatting sqref="B6:H873">
    <cfRule type="containsBlanks" dxfId="32" priority="3">
      <formula>LEN(TRIM(B6))=0</formula>
    </cfRule>
  </conditionalFormatting>
  <conditionalFormatting sqref="A874">
    <cfRule type="containsBlanks" dxfId="31" priority="2">
      <formula>LEN(TRIM(A874))=0</formula>
    </cfRule>
  </conditionalFormatting>
  <conditionalFormatting sqref="B874:H874">
    <cfRule type="containsBlanks" dxfId="30" priority="1">
      <formula>LEN(TRIM(B874))=0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09"/>
  <dimension ref="B2:H117"/>
  <sheetViews>
    <sheetView zoomScale="85" zoomScaleNormal="85" workbookViewId="0"/>
  </sheetViews>
  <sheetFormatPr defaultColWidth="9" defaultRowHeight="18" customHeight="1" x14ac:dyDescent="0.25"/>
  <cols>
    <col min="1" max="1" width="3.6640625" style="15" customWidth="1"/>
    <col min="2" max="2" width="9" style="15"/>
    <col min="3" max="3" width="27" style="15" bestFit="1" customWidth="1"/>
    <col min="4" max="5" width="9" style="15"/>
    <col min="6" max="6" width="10.21875" style="15" customWidth="1"/>
    <col min="7" max="7" width="9" style="15"/>
    <col min="8" max="8" width="10.21875" style="15" customWidth="1"/>
    <col min="9" max="16384" width="9" style="15"/>
  </cols>
  <sheetData>
    <row r="2" spans="2:8" ht="18" customHeight="1" x14ac:dyDescent="0.25">
      <c r="B2" s="351" t="s">
        <v>179</v>
      </c>
      <c r="C2" s="352"/>
      <c r="D2" s="352"/>
      <c r="E2" s="352"/>
      <c r="F2" s="352"/>
      <c r="G2" s="135"/>
      <c r="H2" s="136"/>
    </row>
    <row r="3" spans="2:8" ht="18" customHeight="1" x14ac:dyDescent="0.25">
      <c r="B3" s="353"/>
      <c r="C3" s="354"/>
      <c r="D3" s="354"/>
      <c r="E3" s="354"/>
      <c r="F3" s="354"/>
      <c r="G3" s="50" t="s">
        <v>178</v>
      </c>
      <c r="H3" s="54">
        <f>COUNTA(C:C)-1</f>
        <v>1</v>
      </c>
    </row>
    <row r="4" spans="2:8" ht="18" customHeight="1" x14ac:dyDescent="0.25">
      <c r="B4" s="353"/>
      <c r="C4" s="354"/>
      <c r="D4" s="354"/>
      <c r="E4" s="354"/>
      <c r="F4" s="354"/>
      <c r="G4" s="197"/>
      <c r="H4" s="198"/>
    </row>
    <row r="5" spans="2:8" ht="18" customHeight="1" x14ac:dyDescent="0.25">
      <c r="B5" s="193" t="s">
        <v>87</v>
      </c>
      <c r="C5" s="185" t="s">
        <v>184</v>
      </c>
      <c r="D5" s="186" t="s">
        <v>13</v>
      </c>
      <c r="E5" s="186" t="s">
        <v>14</v>
      </c>
      <c r="F5" s="187" t="s">
        <v>19</v>
      </c>
      <c r="G5" s="187" t="s">
        <v>15</v>
      </c>
      <c r="H5" s="195" t="s">
        <v>18</v>
      </c>
    </row>
    <row r="6" spans="2:8" ht="18" customHeight="1" x14ac:dyDescent="0.25">
      <c r="B6" s="194">
        <v>1</v>
      </c>
      <c r="C6" s="39" t="s">
        <v>249</v>
      </c>
      <c r="D6" s="68">
        <f>COUNTIF(书库!AN:AN,编者统计[[#This Row],[编者]])+COUNTIF(书库!AO:AO,编者统计[[#This Row],[编者]])+COUNTIF(书库!AP:AP,编者统计[[#This Row],[编者]])</f>
        <v>4</v>
      </c>
      <c r="E6" s="68">
        <f>SUMIF(书库!AN:AN,编者统计[[#This Row],[编者]],书库!X:X)+SUMIF(书库!AO:AO,编者统计[[#This Row],[编者]],书库!X:X)+SUMIF(书库!AP:AP,编者统计[[#This Row],[编者]],书库!X:X)</f>
        <v>4</v>
      </c>
      <c r="F6" s="58">
        <f>SUMIF(书库!AN:AN,编者统计[[#This Row],[编者]],书库!T:T)+SUMIF(书库!AO:AO,编者统计[[#This Row],[编者]],书库!T:T)+SUMIF(书库!AP:AP,编者统计[[#This Row],[编者]],书库!T:T)</f>
        <v>140</v>
      </c>
      <c r="G6" s="58">
        <f>F6/E6</f>
        <v>35</v>
      </c>
      <c r="H6" s="196" t="str">
        <f>ROUND(F6/(SUMIF(书库!AN:AN,编者统计[[#This Row],[编者]],书库!S:S)+SUMIF(书库!AO:AO,编者统计[[#This Row],[编者]],书库!S:S)+SUMIF(书库!AP:AP,编者统计[[#This Row],[编者]],书库!S:S))*10,2)&amp;"折"</f>
        <v>7.78折</v>
      </c>
    </row>
    <row r="7" spans="2:8" ht="18" customHeight="1" x14ac:dyDescent="0.25">
      <c r="B7" s="194"/>
      <c r="C7" s="39"/>
      <c r="D7" s="68"/>
      <c r="E7" s="68"/>
      <c r="F7" s="58"/>
      <c r="G7" s="58"/>
      <c r="H7" s="196"/>
    </row>
    <row r="8" spans="2:8" ht="18" customHeight="1" x14ac:dyDescent="0.25">
      <c r="B8" s="287"/>
      <c r="C8" s="288"/>
      <c r="D8" s="261"/>
      <c r="E8" s="261"/>
      <c r="F8" s="289"/>
      <c r="G8" s="289"/>
      <c r="H8" s="290"/>
    </row>
    <row r="9" spans="2:8" ht="18" customHeight="1" x14ac:dyDescent="0.25">
      <c r="B9" s="194"/>
      <c r="C9" s="39"/>
      <c r="D9" s="68"/>
      <c r="E9" s="68"/>
      <c r="F9" s="58"/>
      <c r="G9" s="58"/>
      <c r="H9" s="196"/>
    </row>
    <row r="10" spans="2:8" ht="18" customHeight="1" x14ac:dyDescent="0.25">
      <c r="B10" s="194"/>
      <c r="C10" s="39"/>
      <c r="D10" s="68"/>
      <c r="E10" s="68"/>
      <c r="F10" s="58"/>
      <c r="G10" s="58"/>
      <c r="H10" s="196"/>
    </row>
    <row r="11" spans="2:8" ht="18" customHeight="1" x14ac:dyDescent="0.25">
      <c r="B11" s="194"/>
      <c r="C11" s="39"/>
      <c r="D11" s="68"/>
      <c r="E11" s="68"/>
      <c r="F11" s="58"/>
      <c r="G11" s="58"/>
      <c r="H11" s="196"/>
    </row>
    <row r="12" spans="2:8" ht="18" customHeight="1" x14ac:dyDescent="0.25">
      <c r="B12" s="194"/>
      <c r="C12" s="39"/>
      <c r="D12" s="68"/>
      <c r="E12" s="68"/>
      <c r="F12" s="58"/>
      <c r="G12" s="58"/>
      <c r="H12" s="196"/>
    </row>
    <row r="13" spans="2:8" ht="18" customHeight="1" x14ac:dyDescent="0.25">
      <c r="B13" s="287"/>
      <c r="C13" s="288"/>
      <c r="D13" s="261"/>
      <c r="E13" s="261"/>
      <c r="F13" s="289"/>
      <c r="G13" s="289"/>
      <c r="H13" s="290"/>
    </row>
    <row r="14" spans="2:8" ht="18" customHeight="1" x14ac:dyDescent="0.25">
      <c r="B14" s="194"/>
      <c r="C14" s="39"/>
      <c r="D14" s="68"/>
      <c r="E14" s="68"/>
      <c r="F14" s="58"/>
      <c r="G14" s="58"/>
      <c r="H14" s="196"/>
    </row>
    <row r="15" spans="2:8" ht="18" customHeight="1" x14ac:dyDescent="0.25">
      <c r="B15" s="287"/>
      <c r="C15" s="288"/>
      <c r="D15" s="261"/>
      <c r="E15" s="261"/>
      <c r="F15" s="289"/>
      <c r="G15" s="289"/>
      <c r="H15" s="290"/>
    </row>
    <row r="16" spans="2:8" ht="18" customHeight="1" x14ac:dyDescent="0.25">
      <c r="B16" s="75"/>
      <c r="C16" s="76"/>
      <c r="D16" s="77"/>
      <c r="E16" s="77"/>
      <c r="F16" s="199"/>
      <c r="G16" s="199"/>
      <c r="H16" s="200"/>
    </row>
    <row r="17" spans="2:8" ht="18" customHeight="1" x14ac:dyDescent="0.25">
      <c r="B17" s="287"/>
      <c r="C17" s="288"/>
      <c r="D17" s="261"/>
      <c r="E17" s="261"/>
      <c r="F17" s="289"/>
      <c r="G17" s="289"/>
      <c r="H17" s="290"/>
    </row>
    <row r="18" spans="2:8" ht="18" customHeight="1" x14ac:dyDescent="0.25">
      <c r="B18" s="194"/>
      <c r="C18" s="39"/>
      <c r="D18" s="68"/>
      <c r="E18" s="68"/>
      <c r="F18" s="58"/>
      <c r="G18" s="58"/>
      <c r="H18" s="196"/>
    </row>
    <row r="19" spans="2:8" ht="18" customHeight="1" x14ac:dyDescent="0.25">
      <c r="B19" s="194"/>
      <c r="C19" s="39"/>
      <c r="D19" s="68"/>
      <c r="E19" s="68"/>
      <c r="F19" s="58"/>
      <c r="G19" s="58"/>
      <c r="H19" s="196"/>
    </row>
    <row r="20" spans="2:8" ht="18" customHeight="1" x14ac:dyDescent="0.25">
      <c r="B20" s="194"/>
      <c r="C20" s="39"/>
      <c r="D20" s="68"/>
      <c r="E20" s="68"/>
      <c r="F20" s="58"/>
      <c r="G20" s="58"/>
      <c r="H20" s="196"/>
    </row>
    <row r="21" spans="2:8" ht="18" customHeight="1" x14ac:dyDescent="0.25">
      <c r="B21" s="194"/>
      <c r="C21" s="39"/>
      <c r="D21" s="68"/>
      <c r="E21" s="68"/>
      <c r="F21" s="58"/>
      <c r="G21" s="58"/>
      <c r="H21" s="196"/>
    </row>
    <row r="22" spans="2:8" ht="18" customHeight="1" x14ac:dyDescent="0.25">
      <c r="B22" s="287"/>
      <c r="C22" s="288"/>
      <c r="D22" s="261"/>
      <c r="E22" s="261"/>
      <c r="F22" s="289"/>
      <c r="G22" s="289"/>
      <c r="H22" s="290"/>
    </row>
    <row r="23" spans="2:8" ht="18" customHeight="1" x14ac:dyDescent="0.25">
      <c r="B23" s="194"/>
      <c r="C23" s="39"/>
      <c r="D23" s="68"/>
      <c r="E23" s="68"/>
      <c r="F23" s="58"/>
      <c r="G23" s="58"/>
      <c r="H23" s="196"/>
    </row>
    <row r="24" spans="2:8" ht="18" customHeight="1" x14ac:dyDescent="0.25">
      <c r="B24" s="194"/>
      <c r="C24" s="39"/>
      <c r="D24" s="68"/>
      <c r="E24" s="68"/>
      <c r="F24" s="58"/>
      <c r="G24" s="58"/>
      <c r="H24" s="196"/>
    </row>
    <row r="25" spans="2:8" ht="18" customHeight="1" x14ac:dyDescent="0.25">
      <c r="B25" s="194"/>
      <c r="C25" s="39"/>
      <c r="D25" s="68"/>
      <c r="E25" s="68"/>
      <c r="F25" s="58"/>
      <c r="G25" s="58"/>
      <c r="H25" s="196"/>
    </row>
    <row r="26" spans="2:8" ht="18" customHeight="1" x14ac:dyDescent="0.25">
      <c r="B26" s="287"/>
      <c r="C26" s="288"/>
      <c r="D26" s="261"/>
      <c r="E26" s="261"/>
      <c r="F26" s="289"/>
      <c r="G26" s="289"/>
      <c r="H26" s="290"/>
    </row>
    <row r="27" spans="2:8" ht="18" customHeight="1" x14ac:dyDescent="0.25">
      <c r="B27" s="194"/>
      <c r="C27" s="39"/>
      <c r="D27" s="68"/>
      <c r="E27" s="68"/>
      <c r="F27" s="58"/>
      <c r="G27" s="58"/>
      <c r="H27" s="196"/>
    </row>
    <row r="28" spans="2:8" ht="18" customHeight="1" x14ac:dyDescent="0.25">
      <c r="B28" s="194"/>
      <c r="C28" s="39"/>
      <c r="D28" s="68"/>
      <c r="E28" s="68"/>
      <c r="F28" s="58"/>
      <c r="G28" s="58"/>
      <c r="H28" s="196"/>
    </row>
    <row r="29" spans="2:8" ht="18" customHeight="1" x14ac:dyDescent="0.25">
      <c r="B29" s="287"/>
      <c r="C29" s="288"/>
      <c r="D29" s="261"/>
      <c r="E29" s="261"/>
      <c r="F29" s="289"/>
      <c r="G29" s="289"/>
      <c r="H29" s="290"/>
    </row>
    <row r="30" spans="2:8" ht="18" customHeight="1" x14ac:dyDescent="0.25">
      <c r="B30" s="194"/>
      <c r="C30" s="39"/>
      <c r="D30" s="68"/>
      <c r="E30" s="68"/>
      <c r="F30" s="58"/>
      <c r="G30" s="58"/>
      <c r="H30" s="196"/>
    </row>
    <row r="31" spans="2:8" ht="18" customHeight="1" x14ac:dyDescent="0.25">
      <c r="B31" s="194"/>
      <c r="C31" s="39"/>
      <c r="D31" s="68"/>
      <c r="E31" s="68"/>
      <c r="F31" s="58"/>
      <c r="G31" s="58"/>
      <c r="H31" s="196"/>
    </row>
    <row r="32" spans="2:8" ht="18" customHeight="1" x14ac:dyDescent="0.25">
      <c r="B32" s="194"/>
      <c r="C32" s="39"/>
      <c r="D32" s="68"/>
      <c r="E32" s="68"/>
      <c r="F32" s="58"/>
      <c r="G32" s="58"/>
      <c r="H32" s="196"/>
    </row>
    <row r="33" spans="2:8" ht="18" customHeight="1" x14ac:dyDescent="0.25">
      <c r="B33" s="194"/>
      <c r="C33" s="39"/>
      <c r="D33" s="68"/>
      <c r="E33" s="68"/>
      <c r="F33" s="58"/>
      <c r="G33" s="58"/>
      <c r="H33" s="196"/>
    </row>
    <row r="34" spans="2:8" ht="18" customHeight="1" x14ac:dyDescent="0.25">
      <c r="B34" s="194"/>
      <c r="C34" s="39"/>
      <c r="D34" s="68"/>
      <c r="E34" s="68"/>
      <c r="F34" s="58"/>
      <c r="G34" s="58"/>
      <c r="H34" s="196"/>
    </row>
    <row r="35" spans="2:8" ht="18" customHeight="1" x14ac:dyDescent="0.25">
      <c r="B35" s="194"/>
      <c r="C35" s="39"/>
      <c r="D35" s="68"/>
      <c r="E35" s="68"/>
      <c r="F35" s="58"/>
      <c r="G35" s="58"/>
      <c r="H35" s="196"/>
    </row>
    <row r="36" spans="2:8" ht="18" customHeight="1" x14ac:dyDescent="0.25">
      <c r="B36" s="194"/>
      <c r="C36" s="39"/>
      <c r="D36" s="68"/>
      <c r="E36" s="68"/>
      <c r="F36" s="58"/>
      <c r="G36" s="58"/>
      <c r="H36" s="196"/>
    </row>
    <row r="37" spans="2:8" ht="18" customHeight="1" x14ac:dyDescent="0.25">
      <c r="B37" s="287"/>
      <c r="C37" s="288"/>
      <c r="D37" s="261"/>
      <c r="E37" s="261"/>
      <c r="F37" s="289"/>
      <c r="G37" s="289"/>
      <c r="H37" s="290"/>
    </row>
    <row r="38" spans="2:8" ht="18" customHeight="1" x14ac:dyDescent="0.25">
      <c r="B38" s="194"/>
      <c r="C38" s="39"/>
      <c r="D38" s="68"/>
      <c r="E38" s="68"/>
      <c r="F38" s="58"/>
      <c r="G38" s="58"/>
      <c r="H38" s="196"/>
    </row>
    <row r="39" spans="2:8" ht="18" customHeight="1" x14ac:dyDescent="0.25">
      <c r="B39" s="287"/>
      <c r="C39" s="288"/>
      <c r="D39" s="261"/>
      <c r="E39" s="261"/>
      <c r="F39" s="289"/>
      <c r="G39" s="289"/>
      <c r="H39" s="290"/>
    </row>
    <row r="40" spans="2:8" ht="18" customHeight="1" x14ac:dyDescent="0.25">
      <c r="B40" s="287"/>
      <c r="C40" s="288"/>
      <c r="D40" s="261"/>
      <c r="E40" s="261"/>
      <c r="F40" s="289"/>
      <c r="G40" s="289"/>
      <c r="H40" s="290"/>
    </row>
    <row r="41" spans="2:8" ht="18" customHeight="1" x14ac:dyDescent="0.25">
      <c r="B41" s="287"/>
      <c r="C41" s="288"/>
      <c r="D41" s="261"/>
      <c r="E41" s="261"/>
      <c r="F41" s="289"/>
      <c r="G41" s="289"/>
      <c r="H41" s="290"/>
    </row>
    <row r="42" spans="2:8" ht="18" customHeight="1" x14ac:dyDescent="0.25">
      <c r="B42" s="194"/>
      <c r="C42" s="39"/>
      <c r="D42" s="68"/>
      <c r="E42" s="68"/>
      <c r="F42" s="58"/>
      <c r="G42" s="58"/>
      <c r="H42" s="196"/>
    </row>
    <row r="43" spans="2:8" ht="18" customHeight="1" x14ac:dyDescent="0.25">
      <c r="B43" s="287"/>
      <c r="C43" s="288"/>
      <c r="D43" s="261"/>
      <c r="E43" s="261"/>
      <c r="F43" s="289"/>
      <c r="G43" s="289"/>
      <c r="H43" s="290"/>
    </row>
    <row r="44" spans="2:8" ht="18" customHeight="1" x14ac:dyDescent="0.25">
      <c r="B44" s="287"/>
      <c r="C44" s="288"/>
      <c r="D44" s="261"/>
      <c r="E44" s="261"/>
      <c r="F44" s="289"/>
      <c r="G44" s="289"/>
      <c r="H44" s="290"/>
    </row>
    <row r="45" spans="2:8" ht="18" customHeight="1" x14ac:dyDescent="0.25">
      <c r="B45" s="194"/>
      <c r="C45" s="39"/>
      <c r="D45" s="68"/>
      <c r="E45" s="68"/>
      <c r="F45" s="58"/>
      <c r="G45" s="58"/>
      <c r="H45" s="196"/>
    </row>
    <row r="46" spans="2:8" ht="18" customHeight="1" x14ac:dyDescent="0.25">
      <c r="B46" s="287"/>
      <c r="C46" s="288"/>
      <c r="D46" s="261"/>
      <c r="E46" s="261"/>
      <c r="F46" s="289"/>
      <c r="G46" s="289"/>
      <c r="H46" s="290"/>
    </row>
    <row r="47" spans="2:8" ht="18" customHeight="1" x14ac:dyDescent="0.25">
      <c r="B47" s="194"/>
      <c r="C47" s="39"/>
      <c r="D47" s="68"/>
      <c r="E47" s="68"/>
      <c r="F47" s="58"/>
      <c r="G47" s="58"/>
      <c r="H47" s="196"/>
    </row>
    <row r="48" spans="2:8" ht="18" customHeight="1" x14ac:dyDescent="0.25">
      <c r="B48" s="194"/>
      <c r="C48" s="39"/>
      <c r="D48" s="68"/>
      <c r="E48" s="68"/>
      <c r="F48" s="58"/>
      <c r="G48" s="58"/>
      <c r="H48" s="196"/>
    </row>
    <row r="49" spans="2:8" ht="18" customHeight="1" x14ac:dyDescent="0.25">
      <c r="B49" s="287"/>
      <c r="C49" s="288"/>
      <c r="D49" s="261"/>
      <c r="E49" s="261"/>
      <c r="F49" s="289"/>
      <c r="G49" s="289"/>
      <c r="H49" s="290"/>
    </row>
    <row r="50" spans="2:8" ht="18" customHeight="1" x14ac:dyDescent="0.25">
      <c r="B50" s="194"/>
      <c r="C50" s="39"/>
      <c r="D50" s="68"/>
      <c r="E50" s="68"/>
      <c r="F50" s="58"/>
      <c r="G50" s="58"/>
      <c r="H50" s="196"/>
    </row>
    <row r="51" spans="2:8" ht="18" customHeight="1" x14ac:dyDescent="0.25">
      <c r="B51" s="287"/>
      <c r="C51" s="288"/>
      <c r="D51" s="261"/>
      <c r="E51" s="261"/>
      <c r="F51" s="289"/>
      <c r="G51" s="289"/>
      <c r="H51" s="290"/>
    </row>
    <row r="52" spans="2:8" ht="18" customHeight="1" x14ac:dyDescent="0.25">
      <c r="B52" s="287"/>
      <c r="C52" s="288"/>
      <c r="D52" s="261"/>
      <c r="E52" s="261"/>
      <c r="F52" s="289"/>
      <c r="G52" s="289"/>
      <c r="H52" s="290"/>
    </row>
    <row r="53" spans="2:8" ht="18" customHeight="1" x14ac:dyDescent="0.25">
      <c r="B53" s="194"/>
      <c r="C53" s="39"/>
      <c r="D53" s="68"/>
      <c r="E53" s="68"/>
      <c r="F53" s="58"/>
      <c r="G53" s="58"/>
      <c r="H53" s="196"/>
    </row>
    <row r="54" spans="2:8" ht="18" customHeight="1" x14ac:dyDescent="0.25">
      <c r="B54" s="194"/>
      <c r="C54" s="39"/>
      <c r="D54" s="68"/>
      <c r="E54" s="68"/>
      <c r="F54" s="58"/>
      <c r="G54" s="58"/>
      <c r="H54" s="196"/>
    </row>
    <row r="55" spans="2:8" ht="18" customHeight="1" x14ac:dyDescent="0.25">
      <c r="B55" s="194"/>
      <c r="C55" s="39"/>
      <c r="D55" s="68"/>
      <c r="E55" s="68"/>
      <c r="F55" s="58"/>
      <c r="G55" s="58"/>
      <c r="H55" s="196"/>
    </row>
    <row r="56" spans="2:8" ht="18" customHeight="1" x14ac:dyDescent="0.25">
      <c r="B56" s="287"/>
      <c r="C56" s="288"/>
      <c r="D56" s="261"/>
      <c r="E56" s="261"/>
      <c r="F56" s="289"/>
      <c r="G56" s="289"/>
      <c r="H56" s="290"/>
    </row>
    <row r="57" spans="2:8" ht="18" customHeight="1" x14ac:dyDescent="0.25">
      <c r="B57" s="194"/>
      <c r="C57" s="39"/>
      <c r="D57" s="68"/>
      <c r="E57" s="68"/>
      <c r="F57" s="58"/>
      <c r="G57" s="58"/>
      <c r="H57" s="196"/>
    </row>
    <row r="58" spans="2:8" ht="18" customHeight="1" x14ac:dyDescent="0.25">
      <c r="B58" s="194"/>
      <c r="C58" s="39"/>
      <c r="D58" s="68"/>
      <c r="E58" s="68"/>
      <c r="F58" s="58"/>
      <c r="G58" s="58"/>
      <c r="H58" s="196"/>
    </row>
    <row r="59" spans="2:8" ht="18" customHeight="1" x14ac:dyDescent="0.25">
      <c r="B59" s="194"/>
      <c r="C59" s="39"/>
      <c r="D59" s="68"/>
      <c r="E59" s="68"/>
      <c r="F59" s="58"/>
      <c r="G59" s="58"/>
      <c r="H59" s="196"/>
    </row>
    <row r="60" spans="2:8" ht="18" customHeight="1" x14ac:dyDescent="0.25">
      <c r="B60" s="194"/>
      <c r="C60" s="39"/>
      <c r="D60" s="68"/>
      <c r="E60" s="68"/>
      <c r="F60" s="58"/>
      <c r="G60" s="58"/>
      <c r="H60" s="196"/>
    </row>
    <row r="61" spans="2:8" ht="18" customHeight="1" x14ac:dyDescent="0.25">
      <c r="B61" s="287"/>
      <c r="C61" s="288"/>
      <c r="D61" s="261"/>
      <c r="E61" s="261"/>
      <c r="F61" s="289"/>
      <c r="G61" s="289"/>
      <c r="H61" s="290"/>
    </row>
    <row r="62" spans="2:8" ht="18" customHeight="1" x14ac:dyDescent="0.25">
      <c r="B62" s="194"/>
      <c r="C62" s="39"/>
      <c r="D62" s="68"/>
      <c r="E62" s="68"/>
      <c r="F62" s="58"/>
      <c r="G62" s="58"/>
      <c r="H62" s="196"/>
    </row>
    <row r="63" spans="2:8" ht="18" customHeight="1" x14ac:dyDescent="0.25">
      <c r="B63" s="287"/>
      <c r="C63" s="288"/>
      <c r="D63" s="261"/>
      <c r="E63" s="261"/>
      <c r="F63" s="289"/>
      <c r="G63" s="289"/>
      <c r="H63" s="290"/>
    </row>
    <row r="64" spans="2:8" ht="18" customHeight="1" x14ac:dyDescent="0.25">
      <c r="B64" s="194"/>
      <c r="C64" s="39"/>
      <c r="D64" s="68"/>
      <c r="E64" s="68"/>
      <c r="F64" s="58"/>
      <c r="G64" s="58"/>
      <c r="H64" s="196"/>
    </row>
    <row r="65" spans="2:8" ht="18" customHeight="1" x14ac:dyDescent="0.25">
      <c r="B65" s="194"/>
      <c r="C65" s="39"/>
      <c r="D65" s="68"/>
      <c r="E65" s="68"/>
      <c r="F65" s="58"/>
      <c r="G65" s="58"/>
      <c r="H65" s="196"/>
    </row>
    <row r="66" spans="2:8" ht="18" customHeight="1" x14ac:dyDescent="0.25">
      <c r="B66" s="194"/>
      <c r="C66" s="39"/>
      <c r="D66" s="68"/>
      <c r="E66" s="68"/>
      <c r="F66" s="58"/>
      <c r="G66" s="58"/>
      <c r="H66" s="196"/>
    </row>
    <row r="67" spans="2:8" ht="18" customHeight="1" x14ac:dyDescent="0.25">
      <c r="B67" s="194"/>
      <c r="C67" s="39"/>
      <c r="D67" s="68"/>
      <c r="E67" s="68"/>
      <c r="F67" s="58"/>
      <c r="G67" s="58"/>
      <c r="H67" s="196"/>
    </row>
    <row r="68" spans="2:8" ht="18" customHeight="1" x14ac:dyDescent="0.25">
      <c r="B68" s="291"/>
      <c r="C68" s="292"/>
      <c r="D68" s="267"/>
      <c r="E68" s="267"/>
      <c r="F68" s="293"/>
      <c r="G68" s="293"/>
      <c r="H68" s="294"/>
    </row>
    <row r="69" spans="2:8" ht="18" customHeight="1" x14ac:dyDescent="0.25">
      <c r="B69" s="194"/>
      <c r="C69" s="39"/>
      <c r="D69" s="68"/>
      <c r="E69" s="68"/>
      <c r="F69" s="58"/>
      <c r="G69" s="58"/>
      <c r="H69" s="196"/>
    </row>
    <row r="70" spans="2:8" ht="18" customHeight="1" x14ac:dyDescent="0.25">
      <c r="B70" s="194"/>
      <c r="C70" s="39"/>
      <c r="D70" s="68"/>
      <c r="E70" s="68"/>
      <c r="F70" s="58"/>
      <c r="G70" s="58"/>
      <c r="H70" s="196"/>
    </row>
    <row r="71" spans="2:8" ht="18" customHeight="1" x14ac:dyDescent="0.25">
      <c r="B71" s="287"/>
      <c r="C71" s="288"/>
      <c r="D71" s="261"/>
      <c r="E71" s="261"/>
      <c r="F71" s="289"/>
      <c r="G71" s="289"/>
      <c r="H71" s="290"/>
    </row>
    <row r="72" spans="2:8" ht="18" customHeight="1" x14ac:dyDescent="0.25">
      <c r="B72" s="75"/>
      <c r="C72" s="76"/>
      <c r="D72" s="77"/>
      <c r="E72" s="77"/>
      <c r="F72" s="199"/>
      <c r="G72" s="199"/>
      <c r="H72" s="200"/>
    </row>
    <row r="73" spans="2:8" ht="18" customHeight="1" x14ac:dyDescent="0.25">
      <c r="B73" s="75"/>
      <c r="C73" s="76"/>
      <c r="D73" s="77"/>
      <c r="E73" s="77"/>
      <c r="F73" s="199"/>
      <c r="G73" s="199"/>
      <c r="H73" s="200"/>
    </row>
    <row r="74" spans="2:8" ht="18" customHeight="1" x14ac:dyDescent="0.25">
      <c r="B74" s="75"/>
      <c r="C74" s="76"/>
      <c r="D74" s="77"/>
      <c r="E74" s="77"/>
      <c r="F74" s="199"/>
      <c r="G74" s="199"/>
      <c r="H74" s="200"/>
    </row>
    <row r="75" spans="2:8" ht="18" customHeight="1" x14ac:dyDescent="0.25">
      <c r="B75" s="287"/>
      <c r="C75" s="288"/>
      <c r="D75" s="261"/>
      <c r="E75" s="261"/>
      <c r="F75" s="289"/>
      <c r="G75" s="289"/>
      <c r="H75" s="290"/>
    </row>
    <row r="76" spans="2:8" ht="18" customHeight="1" x14ac:dyDescent="0.25">
      <c r="B76" s="75"/>
      <c r="C76" s="76"/>
      <c r="D76" s="77"/>
      <c r="E76" s="77"/>
      <c r="F76" s="199"/>
      <c r="G76" s="199"/>
      <c r="H76" s="200"/>
    </row>
    <row r="77" spans="2:8" ht="18" customHeight="1" x14ac:dyDescent="0.25">
      <c r="B77" s="194"/>
      <c r="C77" s="39"/>
      <c r="D77" s="68"/>
      <c r="E77" s="68"/>
      <c r="F77" s="58"/>
      <c r="G77" s="58"/>
      <c r="H77" s="196"/>
    </row>
    <row r="78" spans="2:8" ht="18" customHeight="1" x14ac:dyDescent="0.25">
      <c r="B78" s="287"/>
      <c r="C78" s="288"/>
      <c r="D78" s="261"/>
      <c r="E78" s="261"/>
      <c r="F78" s="289"/>
      <c r="G78" s="289"/>
      <c r="H78" s="290"/>
    </row>
    <row r="79" spans="2:8" ht="18" customHeight="1" x14ac:dyDescent="0.25">
      <c r="B79" s="194"/>
      <c r="C79" s="39"/>
      <c r="D79" s="68"/>
      <c r="E79" s="68"/>
      <c r="F79" s="58"/>
      <c r="G79" s="58"/>
      <c r="H79" s="196"/>
    </row>
    <row r="80" spans="2:8" ht="18" customHeight="1" x14ac:dyDescent="0.25">
      <c r="B80" s="194"/>
      <c r="C80" s="39"/>
      <c r="D80" s="68"/>
      <c r="E80" s="68"/>
      <c r="F80" s="58"/>
      <c r="G80" s="58"/>
      <c r="H80" s="196"/>
    </row>
    <row r="81" spans="2:8" ht="18" customHeight="1" x14ac:dyDescent="0.25">
      <c r="B81" s="194"/>
      <c r="C81" s="39"/>
      <c r="D81" s="68"/>
      <c r="E81" s="68"/>
      <c r="F81" s="58"/>
      <c r="G81" s="58"/>
      <c r="H81" s="196"/>
    </row>
    <row r="82" spans="2:8" ht="18" customHeight="1" x14ac:dyDescent="0.25">
      <c r="B82" s="194"/>
      <c r="C82" s="39"/>
      <c r="D82" s="68"/>
      <c r="E82" s="68"/>
      <c r="F82" s="58"/>
      <c r="G82" s="58"/>
      <c r="H82" s="196"/>
    </row>
    <row r="83" spans="2:8" ht="18" customHeight="1" x14ac:dyDescent="0.25">
      <c r="B83" s="194"/>
      <c r="C83" s="39"/>
      <c r="D83" s="68"/>
      <c r="E83" s="68"/>
      <c r="F83" s="58"/>
      <c r="G83" s="58"/>
      <c r="H83" s="196"/>
    </row>
    <row r="84" spans="2:8" ht="18" customHeight="1" x14ac:dyDescent="0.25">
      <c r="B84" s="194"/>
      <c r="C84" s="39"/>
      <c r="D84" s="68"/>
      <c r="E84" s="68"/>
      <c r="F84" s="58"/>
      <c r="G84" s="58"/>
      <c r="H84" s="196"/>
    </row>
    <row r="85" spans="2:8" ht="18" customHeight="1" x14ac:dyDescent="0.25">
      <c r="B85" s="194"/>
      <c r="C85" s="39"/>
      <c r="D85" s="68"/>
      <c r="E85" s="68"/>
      <c r="F85" s="58"/>
      <c r="G85" s="58"/>
      <c r="H85" s="196"/>
    </row>
    <row r="86" spans="2:8" ht="18" customHeight="1" x14ac:dyDescent="0.25">
      <c r="B86" s="194"/>
      <c r="C86" s="39"/>
      <c r="D86" s="68"/>
      <c r="E86" s="68"/>
      <c r="F86" s="58"/>
      <c r="G86" s="58"/>
      <c r="H86" s="196"/>
    </row>
    <row r="87" spans="2:8" ht="18" customHeight="1" x14ac:dyDescent="0.25">
      <c r="B87" s="194"/>
      <c r="C87" s="39"/>
      <c r="D87" s="68"/>
      <c r="E87" s="68"/>
      <c r="F87" s="58"/>
      <c r="G87" s="58"/>
      <c r="H87" s="196"/>
    </row>
    <row r="88" spans="2:8" ht="18" customHeight="1" x14ac:dyDescent="0.25">
      <c r="B88" s="194"/>
      <c r="C88" s="39"/>
      <c r="D88" s="68"/>
      <c r="E88" s="68"/>
      <c r="F88" s="58"/>
      <c r="G88" s="58"/>
      <c r="H88" s="196"/>
    </row>
    <row r="89" spans="2:8" ht="18" customHeight="1" x14ac:dyDescent="0.25">
      <c r="B89" s="194"/>
      <c r="C89" s="39"/>
      <c r="D89" s="68"/>
      <c r="E89" s="68"/>
      <c r="F89" s="58"/>
      <c r="G89" s="58"/>
      <c r="H89" s="196"/>
    </row>
    <row r="90" spans="2:8" ht="18" customHeight="1" x14ac:dyDescent="0.25">
      <c r="B90" s="194"/>
      <c r="C90" s="39"/>
      <c r="D90" s="68"/>
      <c r="E90" s="68"/>
      <c r="F90" s="58"/>
      <c r="G90" s="58"/>
      <c r="H90" s="196"/>
    </row>
    <row r="91" spans="2:8" ht="18" customHeight="1" x14ac:dyDescent="0.25">
      <c r="B91" s="75"/>
      <c r="C91" s="76"/>
      <c r="D91" s="77"/>
      <c r="E91" s="77"/>
      <c r="F91" s="199"/>
      <c r="G91" s="199"/>
      <c r="H91" s="200"/>
    </row>
    <row r="92" spans="2:8" ht="18" customHeight="1" x14ac:dyDescent="0.25">
      <c r="B92" s="194"/>
      <c r="C92" s="39"/>
      <c r="D92" s="68"/>
      <c r="E92" s="68"/>
      <c r="F92" s="58"/>
      <c r="G92" s="58"/>
      <c r="H92" s="196"/>
    </row>
    <row r="93" spans="2:8" ht="18" customHeight="1" x14ac:dyDescent="0.25">
      <c r="B93" s="194"/>
      <c r="C93" s="39"/>
      <c r="D93" s="68"/>
      <c r="E93" s="68"/>
      <c r="F93" s="58"/>
      <c r="G93" s="58"/>
      <c r="H93" s="196"/>
    </row>
    <row r="94" spans="2:8" ht="18" customHeight="1" x14ac:dyDescent="0.25">
      <c r="B94" s="194"/>
      <c r="C94" s="39"/>
      <c r="D94" s="68"/>
      <c r="E94" s="68"/>
      <c r="F94" s="58"/>
      <c r="G94" s="58"/>
      <c r="H94" s="196"/>
    </row>
    <row r="95" spans="2:8" ht="18" customHeight="1" x14ac:dyDescent="0.25">
      <c r="B95" s="194"/>
      <c r="C95" s="39"/>
      <c r="D95" s="68"/>
      <c r="E95" s="68"/>
      <c r="F95" s="58"/>
      <c r="G95" s="58"/>
      <c r="H95" s="196"/>
    </row>
    <row r="96" spans="2:8" ht="18" customHeight="1" x14ac:dyDescent="0.25">
      <c r="B96" s="194"/>
      <c r="C96" s="39"/>
      <c r="D96" s="68"/>
      <c r="E96" s="68"/>
      <c r="F96" s="58"/>
      <c r="G96" s="58"/>
      <c r="H96" s="196"/>
    </row>
    <row r="97" spans="2:8" ht="18" customHeight="1" x14ac:dyDescent="0.25">
      <c r="B97" s="194"/>
      <c r="C97" s="39"/>
      <c r="D97" s="68"/>
      <c r="E97" s="68"/>
      <c r="F97" s="58"/>
      <c r="G97" s="58"/>
      <c r="H97" s="196"/>
    </row>
    <row r="98" spans="2:8" ht="18" customHeight="1" x14ac:dyDescent="0.25">
      <c r="B98" s="75"/>
      <c r="C98" s="76"/>
      <c r="D98" s="77"/>
      <c r="E98" s="77"/>
      <c r="F98" s="199"/>
      <c r="G98" s="199"/>
      <c r="H98" s="200"/>
    </row>
    <row r="99" spans="2:8" ht="18" customHeight="1" x14ac:dyDescent="0.25">
      <c r="B99" s="194"/>
      <c r="C99" s="39"/>
      <c r="D99" s="68"/>
      <c r="E99" s="68"/>
      <c r="F99" s="58"/>
      <c r="G99" s="58"/>
      <c r="H99" s="196"/>
    </row>
    <row r="100" spans="2:8" ht="18" customHeight="1" x14ac:dyDescent="0.25">
      <c r="B100" s="194"/>
      <c r="C100" s="39"/>
      <c r="D100" s="68"/>
      <c r="E100" s="68"/>
      <c r="F100" s="58"/>
      <c r="G100" s="58"/>
      <c r="H100" s="196"/>
    </row>
    <row r="101" spans="2:8" ht="18" customHeight="1" x14ac:dyDescent="0.25">
      <c r="B101" s="287"/>
      <c r="C101" s="288"/>
      <c r="D101" s="261"/>
      <c r="E101" s="261"/>
      <c r="F101" s="289"/>
      <c r="G101" s="289"/>
      <c r="H101" s="290"/>
    </row>
    <row r="102" spans="2:8" ht="18" customHeight="1" x14ac:dyDescent="0.25">
      <c r="B102" s="287"/>
      <c r="C102" s="288"/>
      <c r="D102" s="261"/>
      <c r="E102" s="261"/>
      <c r="F102" s="289"/>
      <c r="G102" s="289"/>
      <c r="H102" s="290"/>
    </row>
    <row r="103" spans="2:8" ht="18" customHeight="1" x14ac:dyDescent="0.25">
      <c r="B103" s="287"/>
      <c r="C103" s="288"/>
      <c r="D103" s="261"/>
      <c r="E103" s="261"/>
      <c r="F103" s="289"/>
      <c r="G103" s="289"/>
      <c r="H103" s="290"/>
    </row>
    <row r="104" spans="2:8" ht="18" customHeight="1" x14ac:dyDescent="0.25">
      <c r="B104" s="287"/>
      <c r="C104" s="288"/>
      <c r="D104" s="261"/>
      <c r="E104" s="261"/>
      <c r="F104" s="289"/>
      <c r="G104" s="289"/>
      <c r="H104" s="290"/>
    </row>
    <row r="105" spans="2:8" ht="18" customHeight="1" x14ac:dyDescent="0.25">
      <c r="B105" s="291"/>
      <c r="C105" s="292"/>
      <c r="D105" s="267"/>
      <c r="E105" s="267"/>
      <c r="F105" s="293"/>
      <c r="G105" s="293"/>
      <c r="H105" s="294"/>
    </row>
    <row r="106" spans="2:8" ht="18" customHeight="1" x14ac:dyDescent="0.25">
      <c r="B106" s="287"/>
      <c r="C106" s="288"/>
      <c r="D106" s="261"/>
      <c r="E106" s="261"/>
      <c r="F106" s="289"/>
      <c r="G106" s="289"/>
      <c r="H106" s="290"/>
    </row>
    <row r="107" spans="2:8" ht="18" customHeight="1" x14ac:dyDescent="0.25">
      <c r="B107" s="287"/>
      <c r="C107" s="288"/>
      <c r="D107" s="261"/>
      <c r="E107" s="261"/>
      <c r="F107" s="289"/>
      <c r="G107" s="289"/>
      <c r="H107" s="290"/>
    </row>
    <row r="108" spans="2:8" ht="18" customHeight="1" x14ac:dyDescent="0.25">
      <c r="B108" s="287"/>
      <c r="C108" s="288"/>
      <c r="D108" s="261"/>
      <c r="E108" s="261"/>
      <c r="F108" s="289"/>
      <c r="G108" s="289"/>
      <c r="H108" s="290"/>
    </row>
    <row r="109" spans="2:8" ht="18" customHeight="1" x14ac:dyDescent="0.25">
      <c r="B109" s="287"/>
      <c r="C109" s="288"/>
      <c r="D109" s="261"/>
      <c r="E109" s="261"/>
      <c r="F109" s="289"/>
      <c r="G109" s="289"/>
      <c r="H109" s="290"/>
    </row>
    <row r="110" spans="2:8" ht="18" customHeight="1" x14ac:dyDescent="0.25">
      <c r="B110" s="287"/>
      <c r="C110" s="288"/>
      <c r="D110" s="261"/>
      <c r="E110" s="261"/>
      <c r="F110" s="289"/>
      <c r="G110" s="289"/>
      <c r="H110" s="290"/>
    </row>
    <row r="111" spans="2:8" ht="18" customHeight="1" x14ac:dyDescent="0.25">
      <c r="B111" s="287"/>
      <c r="C111" s="288"/>
      <c r="D111" s="261"/>
      <c r="E111" s="261"/>
      <c r="F111" s="289"/>
      <c r="G111" s="289"/>
      <c r="H111" s="290"/>
    </row>
    <row r="112" spans="2:8" ht="18" customHeight="1" x14ac:dyDescent="0.25">
      <c r="B112" s="287"/>
      <c r="C112" s="288"/>
      <c r="D112" s="261"/>
      <c r="E112" s="261"/>
      <c r="F112" s="289"/>
      <c r="G112" s="289"/>
      <c r="H112" s="290"/>
    </row>
    <row r="113" spans="2:8" ht="18" customHeight="1" x14ac:dyDescent="0.25">
      <c r="B113" s="287"/>
      <c r="C113" s="288"/>
      <c r="D113" s="261"/>
      <c r="E113" s="261"/>
      <c r="F113" s="289"/>
      <c r="G113" s="289"/>
      <c r="H113" s="290"/>
    </row>
    <row r="114" spans="2:8" ht="18" customHeight="1" x14ac:dyDescent="0.25">
      <c r="B114" s="287"/>
      <c r="C114" s="288"/>
      <c r="D114" s="261"/>
      <c r="E114" s="261"/>
      <c r="F114" s="289"/>
      <c r="G114" s="289"/>
      <c r="H114" s="290"/>
    </row>
    <row r="115" spans="2:8" ht="18" customHeight="1" x14ac:dyDescent="0.25">
      <c r="B115" s="287"/>
      <c r="C115" s="288"/>
      <c r="D115" s="261"/>
      <c r="E115" s="261"/>
      <c r="F115" s="289"/>
      <c r="G115" s="289"/>
      <c r="H115" s="290"/>
    </row>
    <row r="116" spans="2:8" ht="18" customHeight="1" x14ac:dyDescent="0.25">
      <c r="B116" s="287"/>
      <c r="C116" s="288"/>
      <c r="D116" s="261"/>
      <c r="E116" s="261"/>
      <c r="F116" s="289"/>
      <c r="G116" s="289"/>
      <c r="H116" s="290"/>
    </row>
    <row r="117" spans="2:8" ht="18" customHeight="1" x14ac:dyDescent="0.25">
      <c r="B117" s="291"/>
      <c r="C117" s="292"/>
      <c r="D117" s="267"/>
      <c r="E117" s="267"/>
      <c r="F117" s="293"/>
      <c r="G117" s="293"/>
      <c r="H117" s="294"/>
    </row>
  </sheetData>
  <mergeCells count="1">
    <mergeCell ref="B2:F4"/>
  </mergeCells>
  <phoneticPr fontId="1" type="noConversion"/>
  <conditionalFormatting sqref="B2 G2:H2 G4:H4">
    <cfRule type="containsBlanks" dxfId="29" priority="6">
      <formula>LEN(TRIM(B2))=0</formula>
    </cfRule>
  </conditionalFormatting>
  <conditionalFormatting sqref="G3:H3">
    <cfRule type="containsBlanks" dxfId="28" priority="5">
      <formula>LEN(TRIM(G3))=0</formula>
    </cfRule>
  </conditionalFormatting>
  <conditionalFormatting sqref="B2:H4">
    <cfRule type="containsBlanks" dxfId="27" priority="4">
      <formula>LEN(TRIM(B2))=0</formula>
    </cfRule>
  </conditionalFormatting>
  <conditionalFormatting sqref="B5:H5">
    <cfRule type="containsBlanks" dxfId="26" priority="3">
      <formula>LEN(TRIM(B5))=0</formula>
    </cfRule>
  </conditionalFormatting>
  <conditionalFormatting sqref="B5:H5">
    <cfRule type="containsBlanks" dxfId="25" priority="2">
      <formula>LEN(TRIM(B5))=0</formula>
    </cfRule>
  </conditionalFormatting>
  <conditionalFormatting sqref="B6:H117">
    <cfRule type="containsBlanks" dxfId="24" priority="1">
      <formula>LEN(TRIM(B6))=0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C6D81-9964-4962-9191-50DE2995B275}">
  <sheetPr codeName="Sheet10"/>
  <dimension ref="B2:Q24"/>
  <sheetViews>
    <sheetView zoomScale="85" zoomScaleNormal="85" workbookViewId="0">
      <selection activeCell="B2" sqref="B2:D3"/>
    </sheetView>
  </sheetViews>
  <sheetFormatPr defaultRowHeight="18" customHeight="1" x14ac:dyDescent="0.25"/>
  <cols>
    <col min="1" max="1" width="3.6640625" customWidth="1"/>
    <col min="2" max="4" width="9" customWidth="1"/>
    <col min="5" max="5" width="5.6640625" style="15" customWidth="1"/>
    <col min="6" max="6" width="17.109375" bestFit="1" customWidth="1"/>
    <col min="7" max="7" width="5.21875" bestFit="1" customWidth="1"/>
    <col min="8" max="8" width="35.88671875" bestFit="1" customWidth="1"/>
    <col min="9" max="9" width="22.109375" bestFit="1" customWidth="1"/>
    <col min="10" max="10" width="16.6640625" customWidth="1"/>
    <col min="11" max="11" width="13" bestFit="1" customWidth="1"/>
    <col min="12" max="12" width="7.33203125" bestFit="1" customWidth="1"/>
    <col min="13" max="13" width="6.77734375" bestFit="1" customWidth="1"/>
    <col min="14" max="14" width="19.21875" bestFit="1" customWidth="1"/>
    <col min="15" max="15" width="64.33203125" customWidth="1"/>
  </cols>
  <sheetData>
    <row r="2" spans="2:17" ht="18" customHeight="1" x14ac:dyDescent="0.25">
      <c r="B2" s="374" t="s">
        <v>206</v>
      </c>
      <c r="C2" s="374"/>
      <c r="D2" s="374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  <row r="3" spans="2:17" ht="18" customHeight="1" x14ac:dyDescent="0.25">
      <c r="B3" s="374"/>
      <c r="C3" s="374"/>
      <c r="D3" s="374"/>
      <c r="F3" s="371" t="s">
        <v>188</v>
      </c>
      <c r="G3" s="85" t="s">
        <v>28</v>
      </c>
      <c r="H3" s="86" t="s">
        <v>29</v>
      </c>
      <c r="I3" s="101" t="s">
        <v>5</v>
      </c>
      <c r="J3" s="87" t="s">
        <v>45</v>
      </c>
      <c r="K3" s="88" t="s">
        <v>3</v>
      </c>
      <c r="L3" s="87" t="s">
        <v>30</v>
      </c>
      <c r="M3" s="87" t="s">
        <v>46</v>
      </c>
      <c r="N3" s="88" t="s">
        <v>12</v>
      </c>
      <c r="O3" s="85" t="s">
        <v>39</v>
      </c>
      <c r="P3" s="15"/>
      <c r="Q3" s="15"/>
    </row>
    <row r="4" spans="2:17" ht="18" customHeight="1" x14ac:dyDescent="0.25">
      <c r="B4" s="152" t="s">
        <v>5</v>
      </c>
      <c r="C4" s="109" t="s">
        <v>95</v>
      </c>
      <c r="D4" s="107" t="s">
        <v>13</v>
      </c>
      <c r="F4" s="372"/>
      <c r="G4" s="85">
        <v>1</v>
      </c>
      <c r="H4" s="89" t="str">
        <f>"《"&amp;INDEX(书库!C:C,MATCH(I4,书库!J:J,0),)&amp;"》"</f>
        <v>《列宁选集1》</v>
      </c>
      <c r="I4" s="218">
        <f t="array" ref="I4">SMALL(IF(书库!J:J&lt;&gt;0,书库!J:J),ROW(A1))</f>
        <v>22007</v>
      </c>
      <c r="J4" s="90">
        <f>INDEX(书库!Q:Q,MATCH(I4,书库!J:J,0),)</f>
        <v>43772</v>
      </c>
      <c r="K4" s="91" t="str">
        <f>INDEX(书库!R:R,MATCH(I4,书库!J:J,0),)</f>
        <v>淘宝网购</v>
      </c>
      <c r="L4" s="93">
        <f>INDEX(书库!T:T,MATCH(I4,书库!J:J,0),)</f>
        <v>5</v>
      </c>
      <c r="M4" s="220" t="str">
        <f>IFERROR(ROUND(INDEX(书库!U:U,MATCH(I4,书库!J:J,0),)*10,2)&amp;"折","\")</f>
        <v>5.01折</v>
      </c>
      <c r="N4" s="93" t="str">
        <f>INDEX(书库!E:E,MATCH(I4,书库!J:J,0),)</f>
        <v>人民出版社</v>
      </c>
      <c r="O4" s="91" t="str">
        <f>IF(INDEX(书库!W:W,MATCH(I4,书库!J:J,0),)=0,"",INDEX(书库!W:W,MATCH(I4,书库!J:J,0),))</f>
        <v>已拆封</v>
      </c>
      <c r="P4" s="15"/>
      <c r="Q4" s="15"/>
    </row>
    <row r="5" spans="2:17" ht="18" customHeight="1" x14ac:dyDescent="0.25">
      <c r="B5" s="377" t="s">
        <v>187</v>
      </c>
      <c r="C5" s="378"/>
      <c r="D5" s="110">
        <f t="array" ref="D5">SUM(IF(书库!J:J=书库!K:K,1))-COUNTBLANK(书库!J:J)+COUNTIF(书库!Z:Z,"*一版一印*")</f>
        <v>0</v>
      </c>
      <c r="F5" s="372"/>
      <c r="G5" s="85">
        <v>2</v>
      </c>
      <c r="H5" s="89" t="str">
        <f>"《"&amp;INDEX(书库!C:C,MATCH(I5,书库!J:J,0),)&amp;"》"</f>
        <v>《列宁选集1》</v>
      </c>
      <c r="I5" s="218">
        <f t="array" ref="I5">SMALL(IF(书库!J:J&lt;&gt;0,书库!J:J),ROW(A2))</f>
        <v>22007</v>
      </c>
      <c r="J5" s="90">
        <f>INDEX(书库!Q:Q,MATCH(I5,书库!J:J,0),)</f>
        <v>43772</v>
      </c>
      <c r="K5" s="91" t="str">
        <f>INDEX(书库!R:R,MATCH(I5,书库!J:J,0),)</f>
        <v>淘宝网购</v>
      </c>
      <c r="L5" s="93">
        <f>INDEX(书库!T:T,MATCH(I5,书库!J:J,0),)</f>
        <v>5</v>
      </c>
      <c r="M5" s="220" t="str">
        <f>IFERROR(ROUND(INDEX(书库!U:U,MATCH(I5,书库!J:J,0),)*10,2)&amp;"折","\")</f>
        <v>5.01折</v>
      </c>
      <c r="N5" s="93" t="str">
        <f>INDEX(书库!E:E,MATCH(I5,书库!J:J,0),)</f>
        <v>人民出版社</v>
      </c>
      <c r="O5" s="91" t="str">
        <f>IF(INDEX(书库!W:W,MATCH(I5,书库!J:J,0),)=0,"",INDEX(书库!W:W,MATCH(I5,书库!J:J,0),))</f>
        <v>已拆封</v>
      </c>
      <c r="P5" s="15"/>
      <c r="Q5" s="15"/>
    </row>
    <row r="6" spans="2:17" ht="18" customHeight="1" x14ac:dyDescent="0.25">
      <c r="B6" s="379" t="s">
        <v>96</v>
      </c>
      <c r="C6" s="380"/>
      <c r="D6" s="108">
        <f t="array" ref="D6">SUM(IFERROR(IF(DAY(书库!J:J)=2,1),0))</f>
        <v>0</v>
      </c>
      <c r="F6" s="373"/>
      <c r="G6" s="85">
        <v>3</v>
      </c>
      <c r="H6" s="89" t="str">
        <f>"《"&amp;INDEX(书库!C:C,MATCH(I6,书库!J:J,0),)&amp;"》"</f>
        <v>《列宁选集1》</v>
      </c>
      <c r="I6" s="218">
        <f t="array" ref="I6">SMALL(IF(书库!J:J&lt;&gt;0,书库!J:J),ROW(A3))</f>
        <v>22007</v>
      </c>
      <c r="J6" s="90">
        <f>INDEX(书库!Q:Q,MATCH(I6,书库!J:J,0),)</f>
        <v>43772</v>
      </c>
      <c r="K6" s="91" t="str">
        <f>INDEX(书库!R:R,MATCH(I6,书库!J:J,0),)</f>
        <v>淘宝网购</v>
      </c>
      <c r="L6" s="93">
        <f>INDEX(书库!T:T,MATCH(I6,书库!J:J,0),)</f>
        <v>5</v>
      </c>
      <c r="M6" s="220" t="str">
        <f>IFERROR(ROUND(INDEX(书库!U:U,MATCH(I6,书库!J:J,0),)*10,2)&amp;"折","\")</f>
        <v>5.01折</v>
      </c>
      <c r="N6" s="93" t="str">
        <f>INDEX(书库!E:E,MATCH(I6,书库!J:J,0),)</f>
        <v>人民出版社</v>
      </c>
      <c r="O6" s="91" t="str">
        <f>IF(INDEX(书库!W:W,MATCH(I6,书库!J:J,0),)=0,"",INDEX(书库!W:W,MATCH(I6,书库!J:J,0),))</f>
        <v>已拆封</v>
      </c>
      <c r="P6" s="15"/>
      <c r="Q6" s="15"/>
    </row>
    <row r="7" spans="2:17" ht="18" customHeight="1" x14ac:dyDescent="0.25">
      <c r="B7" s="383" t="s">
        <v>97</v>
      </c>
      <c r="C7" s="384"/>
      <c r="D7" s="68">
        <f t="array" ref="D7">SUM(IFERROR(IF(DAY(书库!J:J)&gt;=3,1),0))</f>
        <v>0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</row>
    <row r="8" spans="2:17" ht="18" customHeight="1" x14ac:dyDescent="0.25">
      <c r="B8" s="385"/>
      <c r="C8" s="386"/>
      <c r="D8" s="387"/>
      <c r="F8" s="371" t="s">
        <v>189</v>
      </c>
      <c r="G8" s="85" t="s">
        <v>28</v>
      </c>
      <c r="H8" s="86" t="s">
        <v>29</v>
      </c>
      <c r="I8" s="101" t="s">
        <v>95</v>
      </c>
      <c r="J8" s="87" t="s">
        <v>45</v>
      </c>
      <c r="K8" s="88" t="s">
        <v>3</v>
      </c>
      <c r="L8" s="87" t="s">
        <v>30</v>
      </c>
      <c r="M8" s="87" t="s">
        <v>46</v>
      </c>
      <c r="N8" s="88" t="s">
        <v>12</v>
      </c>
      <c r="O8" s="85" t="s">
        <v>39</v>
      </c>
      <c r="P8" s="15"/>
      <c r="Q8" s="15"/>
    </row>
    <row r="9" spans="2:17" ht="18" customHeight="1" x14ac:dyDescent="0.25">
      <c r="B9" s="375" t="s">
        <v>176</v>
      </c>
      <c r="C9" s="376"/>
      <c r="D9" s="108">
        <f t="array" ref="D9">SUM(IFERROR(IF(DAY(书库!K:K)=1,1),0))</f>
        <v>0</v>
      </c>
      <c r="F9" s="372"/>
      <c r="G9" s="85">
        <v>1</v>
      </c>
      <c r="H9" s="89" t="str">
        <f>"《"&amp;INDEX(书库!C:C,MATCH(LARGE(书库!AR:AR,ROW(A1)),书库!AR:AR,0),)&amp;"》"</f>
        <v>《列宁选集1》</v>
      </c>
      <c r="I9" s="221">
        <f>INDEX(书库!K:K,MATCH(LARGE(书库!AR:AR,ROW(A1)),书库!AR:AR,0),)</f>
        <v>28344</v>
      </c>
      <c r="J9" s="90">
        <f>INDEX(书库!Q:Q,MATCH(LARGE(书库!AR:AR,ROW(A1)),书库!AR:AR,0),)</f>
        <v>43772</v>
      </c>
      <c r="K9" s="91" t="str">
        <f>INDEX(书库!R:R,MATCH(LARGE(书库!AR:AR,ROW(A1)),书库!AR:AR,0),)</f>
        <v>淘宝网购</v>
      </c>
      <c r="L9" s="93">
        <f>INDEX(书库!T:T,MATCH(LARGE(书库!AR:AR,ROW(A1)),书库!AR:AR,0),)</f>
        <v>5</v>
      </c>
      <c r="M9" s="220" t="str">
        <f>IFERROR(ROUND(INDEX(书库!U:U,MATCH(LARGE(书库!AR:AR,ROW(A1)),书库!AR:AR,0),)*10,2)&amp;"折","\")</f>
        <v>5.01折</v>
      </c>
      <c r="N9" s="93" t="str">
        <f>INDEX(书库!E:E,MATCH(LARGE(书库!AR:AR,ROW(A1)),书库!AR:AR,0),)</f>
        <v>人民出版社</v>
      </c>
      <c r="O9" s="91" t="str">
        <f>IF(INDEX(书库!W:W,MATCH(LARGE(书库!AR:AR,ROW(A1)),书库!AR:AR,0),)=0,"",INDEX(书库!W:W,MATCH(LARGE(书库!AR:AR,ROW(A1)),书库!AR:AR,0),))</f>
        <v>已拆封</v>
      </c>
      <c r="P9" s="15"/>
      <c r="Q9" s="15"/>
    </row>
    <row r="10" spans="2:17" ht="18" customHeight="1" x14ac:dyDescent="0.25">
      <c r="B10" s="381" t="s">
        <v>177</v>
      </c>
      <c r="C10" s="382"/>
      <c r="D10" s="68">
        <f t="array" ref="D10">SUM(IFERROR(IF(DAY(书库!K:K)=2,1),0))</f>
        <v>0</v>
      </c>
      <c r="F10" s="372"/>
      <c r="G10" s="85">
        <v>2</v>
      </c>
      <c r="H10" s="89" t="str">
        <f>"《"&amp;INDEX(书库!C:C,MATCH(LARGE(书库!AR:AR,ROW(A2)),书库!AR:AR,0),)&amp;"》"</f>
        <v>《列宁选集1》</v>
      </c>
      <c r="I10" s="221">
        <f>INDEX(书库!K:K,MATCH(LARGE(书库!AR:AR,ROW(A2)),书库!AR:AR,0),)</f>
        <v>28344</v>
      </c>
      <c r="J10" s="90">
        <f>INDEX(书库!Q:Q,MATCH(LARGE(书库!AR:AR,ROW(A2)),书库!AR:AR,0),)</f>
        <v>43772</v>
      </c>
      <c r="K10" s="91" t="str">
        <f>INDEX(书库!R:R,MATCH(LARGE(书库!AR:AR,ROW(A2)),书库!AR:AR,0),)</f>
        <v>淘宝网购</v>
      </c>
      <c r="L10" s="93">
        <f>INDEX(书库!T:T,MATCH(LARGE(书库!AR:AR,ROW(A2)),书库!AR:AR,0),)</f>
        <v>5</v>
      </c>
      <c r="M10" s="220" t="str">
        <f>IFERROR(ROUND(INDEX(书库!U:U,MATCH(LARGE(书库!AR:AR,ROW(A2)),书库!AR:AR,0),)*10,2)&amp;"折","\")</f>
        <v>5.01折</v>
      </c>
      <c r="N10" s="93" t="str">
        <f>INDEX(书库!E:E,MATCH(LARGE(书库!AR:AR,ROW(A2)),书库!AR:AR,0),)</f>
        <v>人民出版社</v>
      </c>
      <c r="O10" s="91" t="str">
        <f>IF(INDEX(书库!W:W,MATCH(LARGE(书库!AR:AR,ROW(A2)),书库!AR:AR,0),)=0,"",INDEX(书库!W:W,MATCH(LARGE(书库!AR:AR,ROW(A2)),书库!AR:AR,0),))</f>
        <v>已拆封</v>
      </c>
      <c r="P10" s="15"/>
    </row>
    <row r="11" spans="2:17" ht="18" customHeight="1" x14ac:dyDescent="0.25">
      <c r="B11" s="375" t="s">
        <v>98</v>
      </c>
      <c r="C11" s="376"/>
      <c r="D11" s="108">
        <f t="array" ref="D11">SUM(IFERROR(IF(DAY(书库!K:K)&gt;=3,1),0))</f>
        <v>8</v>
      </c>
      <c r="F11" s="373"/>
      <c r="G11" s="85">
        <v>3</v>
      </c>
      <c r="H11" s="89" t="str">
        <f>"《"&amp;INDEX(书库!C:C,MATCH(LARGE(书库!AR:AR,ROW(A3)),书库!AR:AR,0),)&amp;"》"</f>
        <v>《列宁选集1》</v>
      </c>
      <c r="I11" s="221">
        <f>INDEX(书库!K:K,MATCH(LARGE(书库!AR:AR,ROW(A3)),书库!AR:AR,0),)</f>
        <v>28344</v>
      </c>
      <c r="J11" s="90">
        <f>INDEX(书库!Q:Q,MATCH(LARGE(书库!AR:AR,ROW(A3)),书库!AR:AR,0),)</f>
        <v>43772</v>
      </c>
      <c r="K11" s="91" t="str">
        <f>INDEX(书库!R:R,MATCH(LARGE(书库!AR:AR,ROW(A3)),书库!AR:AR,0),)</f>
        <v>淘宝网购</v>
      </c>
      <c r="L11" s="93">
        <f>INDEX(书库!T:T,MATCH(LARGE(书库!AR:AR,ROW(A3)),书库!AR:AR,0),)</f>
        <v>5</v>
      </c>
      <c r="M11" s="220" t="str">
        <f>IFERROR(ROUND(INDEX(书库!U:U,MATCH(LARGE(书库!AR:AR,ROW(A3)),书库!AR:AR,0),)*10,2)&amp;"折","\")</f>
        <v>5.01折</v>
      </c>
      <c r="N11" s="93" t="str">
        <f>INDEX(书库!E:E,MATCH(LARGE(书库!AR:AR,ROW(A3)),书库!AR:AR,0),)</f>
        <v>人民出版社</v>
      </c>
      <c r="O11" s="91" t="str">
        <f>IF(INDEX(书库!W:W,MATCH(LARGE(书库!AR:AR,ROW(A3)),书库!AR:AR,0),)=0,"",INDEX(书库!W:W,MATCH(LARGE(书库!AR:AR,ROW(A3)),书库!AR:AR,0),))</f>
        <v>已拆封</v>
      </c>
      <c r="P11" s="15"/>
    </row>
    <row r="12" spans="2:17" ht="18" customHeight="1" x14ac:dyDescent="0.25">
      <c r="B12" s="375" t="s">
        <v>114</v>
      </c>
      <c r="C12" s="376"/>
      <c r="D12" s="108">
        <f t="array" ref="D12">SUM(IFERROR(IF(DAY(书库!K:K)&gt;=10,1),0))</f>
        <v>0</v>
      </c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</row>
    <row r="13" spans="2:17" ht="18" customHeight="1" x14ac:dyDescent="0.25">
      <c r="F13" s="15"/>
      <c r="G13" s="15"/>
      <c r="H13" s="15"/>
      <c r="I13" s="15"/>
      <c r="J13" s="15"/>
      <c r="K13" s="15"/>
      <c r="L13" s="15"/>
      <c r="M13" s="223"/>
      <c r="N13" s="15"/>
      <c r="O13" s="15"/>
      <c r="P13" s="15"/>
    </row>
    <row r="14" spans="2:17" ht="18" customHeight="1" x14ac:dyDescent="0.25">
      <c r="F14" s="15"/>
      <c r="G14" s="15"/>
      <c r="H14" s="15"/>
      <c r="I14" s="15"/>
      <c r="J14" s="15"/>
      <c r="K14" s="15"/>
      <c r="L14" s="15"/>
      <c r="M14" s="106"/>
      <c r="N14" s="15"/>
      <c r="O14" s="15"/>
      <c r="P14" s="15"/>
    </row>
    <row r="15" spans="2:17" ht="18" customHeight="1" x14ac:dyDescent="0.25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</row>
    <row r="16" spans="2:17" ht="18" customHeight="1" x14ac:dyDescent="0.25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</row>
    <row r="17" spans="6:16" ht="18" customHeight="1" x14ac:dyDescent="0.25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</row>
    <row r="18" spans="6:16" ht="18" customHeight="1" x14ac:dyDescent="0.25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</row>
    <row r="19" spans="6:16" ht="18" customHeight="1" x14ac:dyDescent="0.25">
      <c r="F19" s="15"/>
      <c r="G19" s="15"/>
      <c r="H19" s="15"/>
      <c r="I19" s="15"/>
      <c r="J19" s="15"/>
      <c r="K19" s="15"/>
      <c r="L19" s="15"/>
      <c r="M19" s="219"/>
      <c r="N19" s="15"/>
      <c r="O19" s="15"/>
      <c r="P19" s="15"/>
    </row>
    <row r="20" spans="6:16" ht="18" customHeight="1" x14ac:dyDescent="0.25">
      <c r="F20" s="15"/>
      <c r="G20" s="15"/>
      <c r="H20" s="15"/>
      <c r="I20" s="15"/>
      <c r="J20" s="15"/>
      <c r="K20" s="15"/>
      <c r="L20" s="15"/>
      <c r="M20" s="219"/>
      <c r="N20" s="15"/>
      <c r="O20" s="15"/>
      <c r="P20" s="15"/>
    </row>
    <row r="21" spans="6:16" ht="18" customHeight="1" x14ac:dyDescent="0.25">
      <c r="F21" s="15"/>
      <c r="G21" s="15"/>
      <c r="H21" s="15"/>
      <c r="I21" s="15"/>
      <c r="J21" s="15"/>
      <c r="K21" s="15"/>
      <c r="L21" s="15"/>
      <c r="M21" s="15"/>
    </row>
    <row r="22" spans="6:16" ht="18" customHeight="1" x14ac:dyDescent="0.25">
      <c r="F22" s="15"/>
      <c r="G22" s="15"/>
      <c r="H22" s="15"/>
      <c r="I22" s="15"/>
    </row>
    <row r="23" spans="6:16" ht="18" customHeight="1" x14ac:dyDescent="0.25">
      <c r="F23" s="15"/>
      <c r="G23" s="15"/>
      <c r="H23" s="15"/>
      <c r="I23" s="15"/>
    </row>
    <row r="24" spans="6:16" ht="18" customHeight="1" x14ac:dyDescent="0.25">
      <c r="F24" s="15"/>
      <c r="G24" s="15"/>
      <c r="H24" s="15"/>
      <c r="I24" s="15"/>
    </row>
  </sheetData>
  <mergeCells count="11">
    <mergeCell ref="F3:F6"/>
    <mergeCell ref="F8:F11"/>
    <mergeCell ref="B2:D3"/>
    <mergeCell ref="B11:C11"/>
    <mergeCell ref="B12:C12"/>
    <mergeCell ref="B5:C5"/>
    <mergeCell ref="B6:C6"/>
    <mergeCell ref="B9:C9"/>
    <mergeCell ref="B10:C10"/>
    <mergeCell ref="B7:C7"/>
    <mergeCell ref="B8:D8"/>
  </mergeCells>
  <phoneticPr fontId="1" type="noConversion"/>
  <conditionalFormatting sqref="G3:H4 N3:N6 I3:I6 A1:O1 Q1:XFD11 J3:M4 M5:M6 P12:XFD12 E12 B2:D6 A2:A12 B7:B8 D7 A23:XFD1048576 I21:XFD22 A13:E22 B9:D12 M13:XFD14 M19:XFD20 P15:XFD18 M8:O11 I19:I20 I13:I14 I8:I11">
    <cfRule type="containsBlanks" dxfId="23" priority="17">
      <formula>LEN(TRIM(A1))=0</formula>
    </cfRule>
  </conditionalFormatting>
  <conditionalFormatting sqref="G5:H6 J5:L6">
    <cfRule type="containsBlanks" dxfId="22" priority="11">
      <formula>LEN(TRIM(G5))=0</formula>
    </cfRule>
  </conditionalFormatting>
  <conditionalFormatting sqref="O3">
    <cfRule type="containsBlanks" dxfId="21" priority="9">
      <formula>LEN(TRIM(O3))=0</formula>
    </cfRule>
  </conditionalFormatting>
  <conditionalFormatting sqref="O4:O6">
    <cfRule type="containsBlanks" dxfId="20" priority="8">
      <formula>LEN(TRIM(O4))=0</formula>
    </cfRule>
  </conditionalFormatting>
  <conditionalFormatting sqref="G8:H9 N8:N11 J8:M9 H10:N11 I8:I11">
    <cfRule type="containsBlanks" dxfId="19" priority="7">
      <formula>LEN(TRIM(G8))=0</formula>
    </cfRule>
  </conditionalFormatting>
  <conditionalFormatting sqref="G10:G11">
    <cfRule type="containsBlanks" dxfId="18" priority="6">
      <formula>LEN(TRIM(G10))=0</formula>
    </cfRule>
  </conditionalFormatting>
  <conditionalFormatting sqref="O8">
    <cfRule type="containsBlanks" dxfId="17" priority="4">
      <formula>LEN(TRIM(O8))=0</formula>
    </cfRule>
  </conditionalFormatting>
  <conditionalFormatting sqref="O9:O11">
    <cfRule type="containsBlanks" dxfId="16" priority="3">
      <formula>LEN(TRIM(O9))=0</formula>
    </cfRule>
  </conditionalFormatting>
  <conditionalFormatting sqref="F3">
    <cfRule type="containsBlanks" dxfId="15" priority="2">
      <formula>LEN(TRIM(F3))=0</formula>
    </cfRule>
  </conditionalFormatting>
  <conditionalFormatting sqref="F8">
    <cfRule type="containsBlanks" dxfId="14" priority="1">
      <formula>LEN(TRIM(F8))=0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B2:J9"/>
  <sheetViews>
    <sheetView zoomScale="85" zoomScaleNormal="85" workbookViewId="0">
      <selection activeCell="B2" sqref="B2:B5"/>
    </sheetView>
  </sheetViews>
  <sheetFormatPr defaultRowHeight="18" customHeight="1" x14ac:dyDescent="0.25"/>
  <cols>
    <col min="1" max="1" width="3.6640625" customWidth="1"/>
    <col min="2" max="2" width="17.109375" bestFit="1" customWidth="1"/>
    <col min="3" max="3" width="5.21875" bestFit="1" customWidth="1"/>
    <col min="4" max="4" width="31" bestFit="1" customWidth="1"/>
    <col min="5" max="5" width="6.88671875" bestFit="1" customWidth="1"/>
    <col min="6" max="6" width="19" customWidth="1"/>
    <col min="7" max="7" width="13" bestFit="1" customWidth="1"/>
    <col min="8" max="8" width="8.33203125" bestFit="1" customWidth="1"/>
    <col min="9" max="9" width="17.21875" bestFit="1" customWidth="1"/>
  </cols>
  <sheetData>
    <row r="2" spans="2:10" ht="18" customHeight="1" x14ac:dyDescent="0.25">
      <c r="B2" s="388" t="s">
        <v>109</v>
      </c>
      <c r="C2" s="85" t="s">
        <v>28</v>
      </c>
      <c r="D2" s="86" t="s">
        <v>29</v>
      </c>
      <c r="E2" s="101" t="s">
        <v>99</v>
      </c>
      <c r="F2" s="87" t="s">
        <v>45</v>
      </c>
      <c r="G2" s="88" t="s">
        <v>3</v>
      </c>
      <c r="H2" s="87" t="s">
        <v>30</v>
      </c>
      <c r="I2" s="88" t="s">
        <v>12</v>
      </c>
      <c r="J2" s="15"/>
    </row>
    <row r="3" spans="2:10" ht="18" customHeight="1" x14ac:dyDescent="0.25">
      <c r="B3" s="388"/>
      <c r="C3" s="85">
        <v>1</v>
      </c>
      <c r="D3" s="89" t="str">
        <f>"《"&amp;INDEX(书库!C:C,MATCH(E3,书库!L:L,0),)&amp;"》"</f>
        <v>《列宁选集2》</v>
      </c>
      <c r="E3" s="102">
        <f t="array" ref="E3">LARGE(IF(书库!L:L&gt;0,书库!L:L),ROW(A1))</f>
        <v>1005</v>
      </c>
      <c r="F3" s="90">
        <f>INDEX(书库!Q:Q,MATCH(E3,书库!L:L,0),)</f>
        <v>43772</v>
      </c>
      <c r="G3" s="91" t="str">
        <f>INDEX(书库!R:R,MATCH(E3,书库!L:L,0),)</f>
        <v>淘宝网购</v>
      </c>
      <c r="H3" s="93">
        <f>INDEX(书库!T:T,MATCH(E3,书库!L:L,0),)</f>
        <v>5</v>
      </c>
      <c r="I3" s="93" t="str">
        <f>INDEX(书库!E:E,MATCH(E3,书库!L:L,0),)</f>
        <v>人民出版社</v>
      </c>
      <c r="J3" s="15"/>
    </row>
    <row r="4" spans="2:10" ht="18" customHeight="1" x14ac:dyDescent="0.25">
      <c r="B4" s="388"/>
      <c r="C4" s="85">
        <v>2</v>
      </c>
      <c r="D4" s="89" t="str">
        <f>"《"&amp;INDEX(书库!C:C,MATCH(E4,书库!L:L,0),)&amp;"》"</f>
        <v>《列宁选集3》</v>
      </c>
      <c r="E4" s="102">
        <f t="array" ref="E4">LARGE(IF(书库!L:L&gt;0,书库!L:L),ROW(A2))</f>
        <v>988</v>
      </c>
      <c r="F4" s="90">
        <f>INDEX(书库!Q:Q,MATCH(E4,书库!L:L,0),)</f>
        <v>43772</v>
      </c>
      <c r="G4" s="91" t="str">
        <f>INDEX(书库!R:R,MATCH(E4,书库!L:L,0),)</f>
        <v>淘宝网购</v>
      </c>
      <c r="H4" s="93">
        <f>INDEX(书库!T:T,MATCH(E4,书库!L:L,0),)</f>
        <v>5</v>
      </c>
      <c r="I4" s="93" t="str">
        <f>INDEX(书库!E:E,MATCH(E4,书库!L:L,0),)</f>
        <v>人民出版社</v>
      </c>
      <c r="J4" s="15"/>
    </row>
    <row r="5" spans="2:10" ht="18" customHeight="1" x14ac:dyDescent="0.25">
      <c r="B5" s="388"/>
      <c r="C5" s="85">
        <v>3</v>
      </c>
      <c r="D5" s="89" t="str">
        <f>"《"&amp;INDEX(书库!C:C,MATCH(E5,书库!L:L,0),)&amp;"》"</f>
        <v>《马克思恩格斯选集1》</v>
      </c>
      <c r="E5" s="102">
        <f t="array" ref="E5">LARGE(IF(书库!L:L&gt;0,书库!L:L),ROW(A3))</f>
        <v>974</v>
      </c>
      <c r="F5" s="90">
        <f>INDEX(书库!Q:Q,MATCH(E5,书库!L:L,0),)</f>
        <v>43802</v>
      </c>
      <c r="G5" s="91" t="str">
        <f>INDEX(书库!R:R,MATCH(E5,书库!L:L,0),)</f>
        <v>孔夫子网购</v>
      </c>
      <c r="H5" s="93">
        <f>INDEX(书库!T:T,MATCH(E5,书库!L:L,0),)</f>
        <v>35</v>
      </c>
      <c r="I5" s="93" t="str">
        <f>INDEX(书库!E:E,MATCH(E5,书库!L:L,0),)</f>
        <v>人民出版社</v>
      </c>
      <c r="J5" s="15"/>
    </row>
    <row r="6" spans="2:10" ht="18" customHeight="1" x14ac:dyDescent="0.25">
      <c r="B6" s="12"/>
      <c r="C6" s="5"/>
      <c r="D6" s="14"/>
      <c r="E6" s="13"/>
      <c r="F6" s="3"/>
      <c r="H6" s="7"/>
      <c r="J6" s="15"/>
    </row>
    <row r="7" spans="2:10" ht="18" customHeight="1" x14ac:dyDescent="0.25">
      <c r="B7" s="388" t="s">
        <v>110</v>
      </c>
      <c r="C7" s="85">
        <v>1</v>
      </c>
      <c r="D7" s="89" t="str">
        <f>"《"&amp;INDEX(书库!C:C,MATCH(E7,书库!L:L,0),)&amp;"》"</f>
        <v>《马克思恩格斯选集2》</v>
      </c>
      <c r="E7" s="103">
        <f t="array" ref="E7">SMALL(IF(书库!L:L&gt;0,书库!L:L),ROW(A1))</f>
        <v>753</v>
      </c>
      <c r="F7" s="90">
        <f>INDEX(书库!Q:Q,MATCH(E7,书库!L:L,0),)</f>
        <v>43803</v>
      </c>
      <c r="G7" s="91" t="str">
        <f>INDEX(书库!R:R,MATCH(E7,书库!L:L,0),)</f>
        <v>孔夫子网购</v>
      </c>
      <c r="H7" s="93">
        <f>INDEX(书库!T:T,MATCH(E7,书库!L:L,0),)</f>
        <v>35</v>
      </c>
      <c r="I7" s="93" t="str">
        <f>INDEX(书库!E:E,MATCH(E7,书库!L:L,0),)</f>
        <v>人民出版社</v>
      </c>
      <c r="J7" s="15"/>
    </row>
    <row r="8" spans="2:10" ht="18" customHeight="1" x14ac:dyDescent="0.25">
      <c r="B8" s="388"/>
      <c r="C8" s="85">
        <v>2</v>
      </c>
      <c r="D8" s="89" t="str">
        <f>"《"&amp;INDEX(书库!C:C,MATCH(E8,书库!L:L,0),)&amp;"》"</f>
        <v>《列宁选集1》</v>
      </c>
      <c r="E8" s="103">
        <f t="array" ref="E8">SMALL(IF(书库!L:L&gt;0,书库!L:L),ROW(A2))</f>
        <v>858</v>
      </c>
      <c r="F8" s="90">
        <f>INDEX(书库!Q:Q,MATCH(E8,书库!L:L,0),)</f>
        <v>43772</v>
      </c>
      <c r="G8" s="91" t="str">
        <f>INDEX(书库!R:R,MATCH(E8,书库!L:L,0),)</f>
        <v>淘宝网购</v>
      </c>
      <c r="H8" s="93">
        <f>INDEX(书库!T:T,MATCH(E8,书库!L:L,0),)</f>
        <v>5</v>
      </c>
      <c r="I8" s="93" t="str">
        <f>INDEX(书库!E:E,MATCH(E8,书库!L:L,0),)</f>
        <v>人民出版社</v>
      </c>
      <c r="J8" s="15"/>
    </row>
    <row r="9" spans="2:10" ht="18" customHeight="1" x14ac:dyDescent="0.25">
      <c r="B9" s="388"/>
      <c r="C9" s="85">
        <v>3</v>
      </c>
      <c r="D9" s="89" t="str">
        <f>"《"&amp;INDEX(书库!C:C,MATCH(E9,书库!L:L,0),)&amp;"》"</f>
        <v>《马克思恩格斯选集1》</v>
      </c>
      <c r="E9" s="103">
        <f t="array" ref="E9">SMALL(IF(书库!L:L&gt;0,书库!L:L),ROW(A3))</f>
        <v>974</v>
      </c>
      <c r="F9" s="90">
        <f>INDEX(书库!Q:Q,MATCH(E9,书库!L:L,0),)</f>
        <v>43802</v>
      </c>
      <c r="G9" s="91" t="str">
        <f>INDEX(书库!R:R,MATCH(E9,书库!L:L,0),)</f>
        <v>孔夫子网购</v>
      </c>
      <c r="H9" s="93">
        <f>INDEX(书库!T:T,MATCH(E9,书库!L:L,0),)</f>
        <v>35</v>
      </c>
      <c r="I9" s="93" t="str">
        <f>INDEX(书库!E:E,MATCH(E9,书库!L:L,0),)</f>
        <v>人民出版社</v>
      </c>
    </row>
  </sheetData>
  <mergeCells count="2">
    <mergeCell ref="B2:B5"/>
    <mergeCell ref="B7:B9"/>
  </mergeCells>
  <phoneticPr fontId="1" type="noConversion"/>
  <conditionalFormatting sqref="A1:XFD1 A2:A5 A10:XFD1048576 A7:A9 A6:D6 C2:D5 C7:D9 K2:XFD9 E2:I9">
    <cfRule type="containsBlanks" dxfId="13" priority="3">
      <formula>LEN(TRIM(A1))=0</formula>
    </cfRule>
  </conditionalFormatting>
  <conditionalFormatting sqref="B2:B5">
    <cfRule type="containsBlanks" dxfId="12" priority="2">
      <formula>LEN(TRIM(B2))=0</formula>
    </cfRule>
  </conditionalFormatting>
  <conditionalFormatting sqref="B7:B9">
    <cfRule type="containsBlanks" dxfId="11" priority="1">
      <formula>LEN(TRIM(B7))=0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B129C-6E36-4717-804F-4BD914A7D3EB}">
  <sheetPr codeName="Sheet12"/>
  <dimension ref="B2:J9"/>
  <sheetViews>
    <sheetView zoomScale="85" zoomScaleNormal="85" workbookViewId="0">
      <selection activeCell="B2" sqref="B2:B5"/>
    </sheetView>
  </sheetViews>
  <sheetFormatPr defaultRowHeight="18" customHeight="1" x14ac:dyDescent="0.25"/>
  <cols>
    <col min="1" max="1" width="3.6640625" customWidth="1"/>
    <col min="2" max="2" width="17.109375" bestFit="1" customWidth="1"/>
    <col min="3" max="3" width="5.21875" bestFit="1" customWidth="1"/>
    <col min="4" max="4" width="42.44140625" bestFit="1" customWidth="1"/>
    <col min="5" max="5" width="11.44140625" bestFit="1" customWidth="1"/>
    <col min="6" max="6" width="16.5546875" customWidth="1"/>
    <col min="7" max="7" width="13" bestFit="1" customWidth="1"/>
    <col min="8" max="8" width="8.33203125" bestFit="1" customWidth="1"/>
    <col min="9" max="9" width="17.21875" bestFit="1" customWidth="1"/>
  </cols>
  <sheetData>
    <row r="2" spans="2:10" ht="18" customHeight="1" x14ac:dyDescent="0.25">
      <c r="B2" s="388" t="s">
        <v>198</v>
      </c>
      <c r="C2" s="85" t="s">
        <v>28</v>
      </c>
      <c r="D2" s="86" t="s">
        <v>29</v>
      </c>
      <c r="E2" s="101" t="s">
        <v>205</v>
      </c>
      <c r="F2" s="87" t="s">
        <v>45</v>
      </c>
      <c r="G2" s="88" t="s">
        <v>3</v>
      </c>
      <c r="H2" s="87" t="s">
        <v>30</v>
      </c>
      <c r="I2" s="88" t="s">
        <v>12</v>
      </c>
      <c r="J2" s="15"/>
    </row>
    <row r="3" spans="2:10" ht="18" customHeight="1" x14ac:dyDescent="0.25">
      <c r="B3" s="388"/>
      <c r="C3" s="85">
        <v>1</v>
      </c>
      <c r="D3" s="89" t="e">
        <f>"《"&amp;INDEX(书库!C:C,MATCH(E3,书库!M:M,0),)&amp;"》"</f>
        <v>#N/A</v>
      </c>
      <c r="E3" s="102">
        <f t="array" ref="E3">LARGE(IF(书库!L:L&gt;0,书库!M:M),ROW(A1))</f>
        <v>0</v>
      </c>
      <c r="F3" s="90" t="e">
        <f>INDEX(书库!Q:Q,MATCH(E3,书库!M:M,0),)</f>
        <v>#N/A</v>
      </c>
      <c r="G3" s="91" t="e">
        <f>INDEX(书库!R:R,MATCH(E3,书库!M:M,0),)</f>
        <v>#N/A</v>
      </c>
      <c r="H3" s="93" t="e">
        <f>INDEX(书库!T:T,MATCH(E3,书库!M:M,0),)</f>
        <v>#N/A</v>
      </c>
      <c r="I3" s="93" t="e">
        <f>INDEX(书库!E:E,MATCH(E3,书库!M:M,0),)</f>
        <v>#N/A</v>
      </c>
      <c r="J3" s="15"/>
    </row>
    <row r="4" spans="2:10" ht="18" customHeight="1" x14ac:dyDescent="0.25">
      <c r="B4" s="388"/>
      <c r="C4" s="85">
        <v>2</v>
      </c>
      <c r="D4" s="89" t="e">
        <f>"《"&amp;INDEX(书库!C:C,MATCH(E4,书库!M:M,0),)&amp;"》"</f>
        <v>#N/A</v>
      </c>
      <c r="E4" s="102">
        <f t="array" ref="E4">LARGE(IF(书库!L:L&gt;0,书库!M:M),ROW(A2))</f>
        <v>0</v>
      </c>
      <c r="F4" s="90" t="e">
        <f>INDEX(书库!Q:Q,MATCH(E4,书库!M:M,0),)</f>
        <v>#N/A</v>
      </c>
      <c r="G4" s="91" t="e">
        <f>INDEX(书库!R:R,MATCH(E4,书库!M:M,0),)</f>
        <v>#N/A</v>
      </c>
      <c r="H4" s="93" t="e">
        <f>INDEX(书库!T:T,MATCH(E4,书库!M:M,0),)</f>
        <v>#N/A</v>
      </c>
      <c r="I4" s="93" t="e">
        <f>INDEX(书库!E:E,MATCH(E4,书库!M:M,0),)</f>
        <v>#N/A</v>
      </c>
      <c r="J4" s="15"/>
    </row>
    <row r="5" spans="2:10" ht="18" customHeight="1" x14ac:dyDescent="0.25">
      <c r="B5" s="388"/>
      <c r="C5" s="85">
        <v>3</v>
      </c>
      <c r="D5" s="89" t="e">
        <f>"《"&amp;INDEX(书库!C:C,MATCH(E5,书库!M:M,0),)&amp;"》"</f>
        <v>#N/A</v>
      </c>
      <c r="E5" s="102">
        <f t="array" ref="E5">LARGE(IF(书库!L:L&gt;0,书库!M:M),ROW(A3))</f>
        <v>0</v>
      </c>
      <c r="F5" s="90" t="e">
        <f>INDEX(书库!Q:Q,MATCH(E5,书库!M:M,0),)</f>
        <v>#N/A</v>
      </c>
      <c r="G5" s="91" t="e">
        <f>INDEX(书库!R:R,MATCH(E5,书库!M:M,0),)</f>
        <v>#N/A</v>
      </c>
      <c r="H5" s="93" t="e">
        <f>INDEX(书库!T:T,MATCH(E5,书库!M:M,0),)</f>
        <v>#N/A</v>
      </c>
      <c r="I5" s="93" t="e">
        <f>INDEX(书库!E:E,MATCH(E5,书库!M:M,0),)</f>
        <v>#N/A</v>
      </c>
      <c r="J5" s="15"/>
    </row>
    <row r="6" spans="2:10" ht="18" customHeight="1" x14ac:dyDescent="0.25">
      <c r="B6" s="12"/>
      <c r="C6" s="5"/>
      <c r="D6" s="14"/>
      <c r="E6" s="13"/>
      <c r="F6" s="3"/>
      <c r="H6" s="7"/>
      <c r="J6" s="15"/>
    </row>
    <row r="7" spans="2:10" ht="18" customHeight="1" x14ac:dyDescent="0.25">
      <c r="B7" s="388" t="s">
        <v>199</v>
      </c>
      <c r="C7" s="85">
        <v>1</v>
      </c>
      <c r="D7" s="89" t="e">
        <f>"《"&amp;INDEX(书库!C:C,MATCH(E7,书库!M:M,0),)&amp;"》"</f>
        <v>#NUM!</v>
      </c>
      <c r="E7" s="103" t="e">
        <f t="array" ref="E7">SMALL(IF(书库!M:M&gt;0,书库!M:M),ROW(A1))</f>
        <v>#NUM!</v>
      </c>
      <c r="F7" s="90" t="e">
        <f>INDEX(书库!Q:Q,MATCH(E7,书库!M:M,0),)</f>
        <v>#NUM!</v>
      </c>
      <c r="G7" s="91" t="e">
        <f>INDEX(书库!R:R,MATCH(E7,书库!M:M,0),)</f>
        <v>#NUM!</v>
      </c>
      <c r="H7" s="93" t="e">
        <f>INDEX(书库!T:T,MATCH(E7,书库!M:M,0),)</f>
        <v>#NUM!</v>
      </c>
      <c r="I7" s="93" t="e">
        <f>INDEX(书库!E:E,MATCH(E7,书库!M:M,0),)</f>
        <v>#NUM!</v>
      </c>
      <c r="J7" s="15"/>
    </row>
    <row r="8" spans="2:10" ht="18" customHeight="1" x14ac:dyDescent="0.25">
      <c r="B8" s="388"/>
      <c r="C8" s="85">
        <v>2</v>
      </c>
      <c r="D8" s="89" t="e">
        <f>"《"&amp;INDEX(书库!C:C,MATCH(E8,书库!M:M,0),)&amp;"》"</f>
        <v>#NUM!</v>
      </c>
      <c r="E8" s="103" t="e">
        <f t="array" ref="E8">SMALL(IF(书库!M:M&gt;0,书库!M:M),ROW(A2))</f>
        <v>#NUM!</v>
      </c>
      <c r="F8" s="90" t="e">
        <f>INDEX(书库!Q:Q,MATCH(E8,书库!M:M,0),)</f>
        <v>#NUM!</v>
      </c>
      <c r="G8" s="91" t="e">
        <f>INDEX(书库!R:R,MATCH(E8,书库!M:M,0),)</f>
        <v>#NUM!</v>
      </c>
      <c r="H8" s="93" t="e">
        <f>INDEX(书库!T:T,MATCH(E8,书库!M:M,0),)</f>
        <v>#NUM!</v>
      </c>
      <c r="I8" s="93" t="e">
        <f>INDEX(书库!E:E,MATCH(E8,书库!M:M,0),)</f>
        <v>#NUM!</v>
      </c>
      <c r="J8" s="15"/>
    </row>
    <row r="9" spans="2:10" ht="18" customHeight="1" x14ac:dyDescent="0.25">
      <c r="B9" s="388"/>
      <c r="C9" s="85">
        <v>3</v>
      </c>
      <c r="D9" s="89" t="e">
        <f>"《"&amp;INDEX(书库!C:C,MATCH(E9,书库!M:M,0),)&amp;"》"</f>
        <v>#NUM!</v>
      </c>
      <c r="E9" s="103" t="e">
        <f t="array" ref="E9">SMALL(IF(书库!M:M&gt;0,书库!M:M),ROW(A3))</f>
        <v>#NUM!</v>
      </c>
      <c r="F9" s="90" t="e">
        <f>INDEX(书库!Q:Q,MATCH(E9,书库!M:M,0),)</f>
        <v>#NUM!</v>
      </c>
      <c r="G9" s="91" t="e">
        <f>INDEX(书库!R:R,MATCH(E9,书库!M:M,0),)</f>
        <v>#NUM!</v>
      </c>
      <c r="H9" s="93" t="e">
        <f>INDEX(书库!T:T,MATCH(E9,书库!M:M,0),)</f>
        <v>#NUM!</v>
      </c>
      <c r="I9" s="93" t="e">
        <f>INDEX(书库!E:E,MATCH(E9,书库!M:M,0),)</f>
        <v>#NUM!</v>
      </c>
    </row>
  </sheetData>
  <mergeCells count="2">
    <mergeCell ref="B2:B5"/>
    <mergeCell ref="B7:B9"/>
  </mergeCells>
  <phoneticPr fontId="1" type="noConversion"/>
  <conditionalFormatting sqref="A1:XFD1 A2:A5 A10:XFD1048576 A7:A9 A6:D6 K2:XFD9 C2:D5 C7:D9 E2:I9">
    <cfRule type="containsBlanks" dxfId="10" priority="3">
      <formula>LEN(TRIM(A1))=0</formula>
    </cfRule>
  </conditionalFormatting>
  <conditionalFormatting sqref="B2:B5">
    <cfRule type="containsBlanks" dxfId="9" priority="2">
      <formula>LEN(TRIM(B2))=0</formula>
    </cfRule>
  </conditionalFormatting>
  <conditionalFormatting sqref="B7:B9">
    <cfRule type="containsBlanks" dxfId="8" priority="1">
      <formula>LEN(TRIM(B7))=0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BAD6-8A4B-48FA-AB1F-E1DF2A74F143}">
  <sheetPr codeName="Sheet13"/>
  <dimension ref="B1:I28"/>
  <sheetViews>
    <sheetView zoomScale="85" zoomScaleNormal="85" workbookViewId="0">
      <selection activeCell="B2" sqref="B2:D3"/>
    </sheetView>
  </sheetViews>
  <sheetFormatPr defaultRowHeight="18" customHeight="1" x14ac:dyDescent="0.25"/>
  <cols>
    <col min="1" max="1" width="3.6640625" customWidth="1"/>
    <col min="2" max="2" width="4.6640625" customWidth="1"/>
    <col min="3" max="3" width="13" customWidth="1"/>
    <col min="4" max="4" width="15.5546875" customWidth="1"/>
  </cols>
  <sheetData>
    <row r="1" spans="2:9" ht="18" customHeight="1" x14ac:dyDescent="0.25">
      <c r="B1" s="224"/>
      <c r="C1" s="224"/>
      <c r="D1" s="224"/>
    </row>
    <row r="2" spans="2:9" ht="18" customHeight="1" x14ac:dyDescent="0.25">
      <c r="B2" s="393" t="s">
        <v>214</v>
      </c>
      <c r="C2" s="394"/>
      <c r="D2" s="395"/>
    </row>
    <row r="3" spans="2:9" ht="18" customHeight="1" x14ac:dyDescent="0.25">
      <c r="B3" s="396"/>
      <c r="C3" s="397"/>
      <c r="D3" s="398"/>
    </row>
    <row r="4" spans="2:9" ht="18" customHeight="1" x14ac:dyDescent="0.25">
      <c r="B4" s="227" t="s">
        <v>192</v>
      </c>
      <c r="C4" s="226"/>
      <c r="D4" s="225">
        <f>SUMIF(书库!N:N,"*"&amp;C4&amp;"*",书库!X:X)</f>
        <v>8</v>
      </c>
      <c r="E4" s="15"/>
      <c r="G4" s="15"/>
    </row>
    <row r="5" spans="2:9" ht="18" customHeight="1" x14ac:dyDescent="0.25">
      <c r="B5" s="228"/>
      <c r="C5" s="229" t="s">
        <v>210</v>
      </c>
      <c r="D5" s="74">
        <f>D4-D10-D9-D8-D7-D6</f>
        <v>8</v>
      </c>
      <c r="E5" s="15"/>
      <c r="F5" s="15"/>
      <c r="G5" s="15"/>
      <c r="H5" s="15"/>
      <c r="I5" s="15"/>
    </row>
    <row r="6" spans="2:9" ht="18" customHeight="1" x14ac:dyDescent="0.25">
      <c r="B6" s="228"/>
      <c r="C6" s="229" t="s">
        <v>209</v>
      </c>
      <c r="D6" s="74">
        <f>SUMIF(书库!N:N,"*"&amp;C6&amp;"*",书库!X:X)</f>
        <v>0</v>
      </c>
      <c r="E6" s="15"/>
      <c r="F6" s="15"/>
      <c r="G6" s="15"/>
      <c r="H6" s="15"/>
      <c r="I6" s="15"/>
    </row>
    <row r="7" spans="2:9" ht="18" customHeight="1" x14ac:dyDescent="0.25">
      <c r="B7" s="228"/>
      <c r="C7" s="229" t="s">
        <v>115</v>
      </c>
      <c r="D7" s="74">
        <f>SUMIF(书库!N:N,"*"&amp;C7&amp;"*",书库!X:X)</f>
        <v>0</v>
      </c>
      <c r="E7" s="15"/>
      <c r="F7" s="15"/>
      <c r="G7" s="15"/>
      <c r="H7" s="15"/>
      <c r="I7" s="15"/>
    </row>
    <row r="8" spans="2:9" ht="18" customHeight="1" x14ac:dyDescent="0.25">
      <c r="B8" s="239"/>
      <c r="C8" s="229" t="s">
        <v>163</v>
      </c>
      <c r="D8" s="74">
        <f>SUMIF(书库!N:N,"*"&amp;C8&amp;"*",书库!X:X)</f>
        <v>0</v>
      </c>
      <c r="E8" s="15"/>
      <c r="F8" s="15"/>
      <c r="G8" s="15"/>
      <c r="H8" s="15"/>
      <c r="I8" s="15"/>
    </row>
    <row r="9" spans="2:9" ht="18" customHeight="1" x14ac:dyDescent="0.25">
      <c r="B9" s="240"/>
      <c r="C9" s="229" t="s">
        <v>116</v>
      </c>
      <c r="D9" s="74">
        <f>SUMIF(书库!N:N,"*"&amp;C9&amp;"*",书库!X:X)</f>
        <v>0</v>
      </c>
      <c r="E9" s="15"/>
      <c r="F9" s="15"/>
      <c r="G9" s="15"/>
      <c r="H9" s="15"/>
      <c r="I9" s="15"/>
    </row>
    <row r="10" spans="2:9" ht="18" customHeight="1" x14ac:dyDescent="0.25">
      <c r="B10" s="230"/>
      <c r="C10" s="231" t="s">
        <v>105</v>
      </c>
      <c r="D10" s="74">
        <f>SUMIF(书库!N:N,"*"&amp;C10&amp;"*",书库!X:X)</f>
        <v>0</v>
      </c>
      <c r="E10" s="15"/>
      <c r="F10" s="15"/>
      <c r="G10" s="15"/>
      <c r="H10" s="15"/>
      <c r="I10" s="15"/>
    </row>
    <row r="11" spans="2:9" ht="18" customHeight="1" x14ac:dyDescent="0.25">
      <c r="B11" s="238" t="s">
        <v>104</v>
      </c>
      <c r="C11" s="226"/>
      <c r="D11" s="225">
        <f>SUMIF(书库!N:N,"*"&amp;B11&amp;"*",书库!X:X)</f>
        <v>0</v>
      </c>
      <c r="E11" s="15"/>
      <c r="F11" s="15"/>
      <c r="G11" s="15"/>
      <c r="H11" s="15"/>
      <c r="I11" s="15"/>
    </row>
    <row r="12" spans="2:9" ht="18" customHeight="1" x14ac:dyDescent="0.25">
      <c r="B12" s="237"/>
      <c r="C12" s="233" t="s">
        <v>106</v>
      </c>
      <c r="D12" s="74">
        <f>D11-D13-D14</f>
        <v>0</v>
      </c>
      <c r="E12" s="15"/>
      <c r="F12" s="15"/>
      <c r="G12" s="15"/>
      <c r="H12" s="15"/>
      <c r="I12" s="15"/>
    </row>
    <row r="13" spans="2:9" ht="18" customHeight="1" x14ac:dyDescent="0.25">
      <c r="B13" s="232"/>
      <c r="C13" s="234" t="s">
        <v>101</v>
      </c>
      <c r="D13" s="74">
        <f>SUMIF(书库!N:N,"*"&amp;C13&amp;"*",书库!X:X)</f>
        <v>0</v>
      </c>
      <c r="E13" s="15"/>
      <c r="F13" s="15"/>
      <c r="G13" s="15"/>
      <c r="H13" s="15"/>
      <c r="I13" s="15"/>
    </row>
    <row r="14" spans="2:9" ht="18" customHeight="1" x14ac:dyDescent="0.25">
      <c r="B14" s="236"/>
      <c r="C14" s="235" t="s">
        <v>185</v>
      </c>
      <c r="D14" s="74">
        <f>SUMIF(书库!N:N,"*"&amp;"裸脊"&amp;"*"&amp;"平装",书库!X:X)</f>
        <v>0</v>
      </c>
      <c r="E14" s="15"/>
      <c r="F14" s="15"/>
      <c r="G14" s="15"/>
      <c r="H14" s="15"/>
      <c r="I14" s="15"/>
    </row>
    <row r="15" spans="2:9" ht="18" customHeight="1" x14ac:dyDescent="0.25">
      <c r="B15" s="241" t="s">
        <v>211</v>
      </c>
      <c r="C15" s="242"/>
      <c r="D15" s="225">
        <f>SUMIF(书库!N:N,"*"&amp;B15&amp;"*",书库!X:X)</f>
        <v>0</v>
      </c>
      <c r="E15" s="15"/>
      <c r="F15" s="15"/>
      <c r="G15" s="15"/>
      <c r="H15" s="15"/>
      <c r="I15" s="15"/>
    </row>
    <row r="16" spans="2:9" ht="18" customHeight="1" x14ac:dyDescent="0.25">
      <c r="B16" s="15"/>
      <c r="C16" s="15"/>
      <c r="D16" s="15"/>
      <c r="E16" s="15"/>
    </row>
    <row r="17" spans="2:5" ht="18" customHeight="1" x14ac:dyDescent="0.25">
      <c r="B17" s="399" t="s">
        <v>215</v>
      </c>
      <c r="C17" s="400"/>
      <c r="D17" s="401"/>
      <c r="E17" s="15"/>
    </row>
    <row r="18" spans="2:5" ht="18" customHeight="1" x14ac:dyDescent="0.25">
      <c r="B18" s="402"/>
      <c r="C18" s="403"/>
      <c r="D18" s="404"/>
      <c r="E18" s="15"/>
    </row>
    <row r="19" spans="2:5" ht="18" customHeight="1" x14ac:dyDescent="0.25">
      <c r="B19" s="389" t="s">
        <v>107</v>
      </c>
      <c r="C19" s="390"/>
      <c r="D19" s="74">
        <f>COUNTIF(书库!N:N,"*"&amp;B19&amp;"*")</f>
        <v>0</v>
      </c>
    </row>
    <row r="20" spans="2:5" ht="18" customHeight="1" x14ac:dyDescent="0.25">
      <c r="B20" s="391" t="s">
        <v>108</v>
      </c>
      <c r="C20" s="392"/>
      <c r="D20" s="74">
        <f>COUNTIF(书库!N:N,"*"&amp;B20&amp;"*")</f>
        <v>0</v>
      </c>
    </row>
    <row r="21" spans="2:5" ht="18" customHeight="1" x14ac:dyDescent="0.25">
      <c r="B21" s="391" t="s">
        <v>164</v>
      </c>
      <c r="C21" s="392"/>
      <c r="D21" s="74">
        <f>COUNTIF(书库!N:N,"*"&amp;B21&amp;"*")</f>
        <v>0</v>
      </c>
    </row>
    <row r="22" spans="2:5" ht="18" customHeight="1" x14ac:dyDescent="0.25">
      <c r="B22" s="391" t="s">
        <v>212</v>
      </c>
      <c r="C22" s="392"/>
      <c r="D22" s="74">
        <f>COUNTIF(书库!N:N,"*"&amp;B22&amp;"*")</f>
        <v>0</v>
      </c>
    </row>
    <row r="24" spans="2:5" ht="18" customHeight="1" x14ac:dyDescent="0.25">
      <c r="B24" s="399" t="s">
        <v>213</v>
      </c>
      <c r="C24" s="400"/>
      <c r="D24" s="401"/>
    </row>
    <row r="25" spans="2:5" ht="18" customHeight="1" x14ac:dyDescent="0.25">
      <c r="B25" s="402"/>
      <c r="C25" s="403"/>
      <c r="D25" s="404"/>
    </row>
    <row r="26" spans="2:5" ht="18" customHeight="1" x14ac:dyDescent="0.25">
      <c r="B26" s="389" t="s">
        <v>216</v>
      </c>
      <c r="C26" s="390"/>
      <c r="D26" s="74">
        <f>COUNTIF(书库!N:N,"*"&amp;B26&amp;"*")</f>
        <v>0</v>
      </c>
    </row>
    <row r="27" spans="2:5" ht="18" customHeight="1" x14ac:dyDescent="0.25">
      <c r="B27" s="391" t="s">
        <v>217</v>
      </c>
      <c r="C27" s="392"/>
      <c r="D27" s="74">
        <f>COUNTIF(书库!N:N,"*"&amp;B27&amp;"*")</f>
        <v>0</v>
      </c>
    </row>
    <row r="28" spans="2:5" ht="18" customHeight="1" x14ac:dyDescent="0.25">
      <c r="B28" s="391" t="s">
        <v>218</v>
      </c>
      <c r="C28" s="392"/>
      <c r="D28" s="74">
        <f>COUNTIF(书库!N:N,"*"&amp;B28&amp;"*")</f>
        <v>0</v>
      </c>
    </row>
  </sheetData>
  <mergeCells count="10">
    <mergeCell ref="B22:C22"/>
    <mergeCell ref="B24:D25"/>
    <mergeCell ref="B26:C26"/>
    <mergeCell ref="B28:C28"/>
    <mergeCell ref="B27:C27"/>
    <mergeCell ref="B19:C19"/>
    <mergeCell ref="B20:C20"/>
    <mergeCell ref="B21:C21"/>
    <mergeCell ref="B2:D3"/>
    <mergeCell ref="B17:D18"/>
  </mergeCells>
  <phoneticPr fontId="1" type="noConversion"/>
  <conditionalFormatting sqref="A1:XFD1 E4:E9 H4:XFD9 E10:XFD10 E14:XFD14 E11:F13 I11:XFD13 C12:D14 D11 A11:B15 A2:B2 E2:XFD3 D4 A3:A10 D15:XFD15 B19 D19 A20:B21 D20:XFD21 A16:A19 E16:XFD19 C5:D10 A23:XFD23 A22 E22:XFD22 A29:XFD1048576 A24:A28 E24:XFD28">
    <cfRule type="containsBlanks" dxfId="7" priority="8">
      <formula>LEN(TRIM(A1))=0</formula>
    </cfRule>
  </conditionalFormatting>
  <conditionalFormatting sqref="B17">
    <cfRule type="containsBlanks" dxfId="6" priority="5">
      <formula>LEN(TRIM(B17))=0</formula>
    </cfRule>
  </conditionalFormatting>
  <conditionalFormatting sqref="B22 D22">
    <cfRule type="containsBlanks" dxfId="5" priority="4">
      <formula>LEN(TRIM(B22))=0</formula>
    </cfRule>
  </conditionalFormatting>
  <conditionalFormatting sqref="B24">
    <cfRule type="containsBlanks" dxfId="4" priority="2">
      <formula>LEN(TRIM(B24))=0</formula>
    </cfRule>
  </conditionalFormatting>
  <conditionalFormatting sqref="B26 D26 D28 B28">
    <cfRule type="containsBlanks" dxfId="3" priority="3">
      <formula>LEN(TRIM(B26))=0</formula>
    </cfRule>
  </conditionalFormatting>
  <conditionalFormatting sqref="D27 B27">
    <cfRule type="containsBlanks" dxfId="2" priority="1">
      <formula>LEN(TRIM(B27))=0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B2:G195"/>
  <sheetViews>
    <sheetView zoomScale="80" zoomScaleNormal="80" workbookViewId="0">
      <selection activeCell="R32" sqref="R32"/>
    </sheetView>
  </sheetViews>
  <sheetFormatPr defaultRowHeight="18" customHeight="1" x14ac:dyDescent="0.25"/>
  <cols>
    <col min="1" max="1" width="3.6640625" customWidth="1"/>
    <col min="2" max="2" width="12.77734375" style="3" bestFit="1" customWidth="1"/>
    <col min="3" max="4" width="5.77734375" bestFit="1" customWidth="1"/>
    <col min="5" max="7" width="10" bestFit="1" customWidth="1"/>
  </cols>
  <sheetData>
    <row r="2" spans="2:7" ht="18" customHeight="1" x14ac:dyDescent="0.25">
      <c r="B2" s="357" t="s">
        <v>207</v>
      </c>
      <c r="C2" s="405"/>
      <c r="D2" s="405"/>
      <c r="E2" s="405"/>
      <c r="F2" s="405"/>
      <c r="G2" s="358"/>
    </row>
    <row r="3" spans="2:7" ht="18" customHeight="1" x14ac:dyDescent="0.25">
      <c r="B3" s="359"/>
      <c r="C3" s="406"/>
      <c r="D3" s="406"/>
      <c r="E3" s="406"/>
      <c r="F3" s="406"/>
      <c r="G3" s="360"/>
    </row>
    <row r="4" spans="2:7" ht="18" customHeight="1" x14ac:dyDescent="0.25">
      <c r="B4" s="361"/>
      <c r="C4" s="407"/>
      <c r="D4" s="407"/>
      <c r="E4" s="407"/>
      <c r="F4" s="407"/>
      <c r="G4" s="362"/>
    </row>
    <row r="5" spans="2:7" ht="13.8" x14ac:dyDescent="0.25">
      <c r="B5" s="15" t="s">
        <v>137</v>
      </c>
      <c r="C5" s="38" t="s">
        <v>118</v>
      </c>
      <c r="D5" s="38" t="s">
        <v>117</v>
      </c>
      <c r="E5" s="305" t="s">
        <v>127</v>
      </c>
      <c r="F5" s="305" t="s">
        <v>120</v>
      </c>
      <c r="G5" s="111" t="s">
        <v>128</v>
      </c>
    </row>
    <row r="6" spans="2:7" ht="18" customHeight="1" x14ac:dyDescent="0.25">
      <c r="B6" s="418">
        <v>43802</v>
      </c>
      <c r="C6" s="32">
        <v>1</v>
      </c>
      <c r="D6" s="32">
        <v>1</v>
      </c>
      <c r="E6" s="304">
        <v>35</v>
      </c>
      <c r="F6" s="304">
        <v>35</v>
      </c>
      <c r="G6" s="34">
        <v>7.7777777777777777</v>
      </c>
    </row>
    <row r="7" spans="2:7" ht="18" customHeight="1" x14ac:dyDescent="0.25">
      <c r="B7" s="418">
        <v>43772</v>
      </c>
      <c r="C7" s="32">
        <v>4</v>
      </c>
      <c r="D7" s="32">
        <v>4</v>
      </c>
      <c r="E7" s="304">
        <v>20</v>
      </c>
      <c r="F7" s="304">
        <v>5</v>
      </c>
      <c r="G7" s="34">
        <v>1.4285714285714284</v>
      </c>
    </row>
    <row r="8" spans="2:7" ht="13.8" x14ac:dyDescent="0.25">
      <c r="B8" s="418">
        <v>43803</v>
      </c>
      <c r="C8" s="32">
        <v>1</v>
      </c>
      <c r="D8" s="32">
        <v>1</v>
      </c>
      <c r="E8" s="304">
        <v>35</v>
      </c>
      <c r="F8" s="304">
        <v>35</v>
      </c>
      <c r="G8" s="34">
        <v>7.7777777777777777</v>
      </c>
    </row>
    <row r="9" spans="2:7" ht="13.8" x14ac:dyDescent="0.25">
      <c r="B9" s="418">
        <v>43804</v>
      </c>
      <c r="C9" s="32">
        <v>1</v>
      </c>
      <c r="D9" s="32">
        <v>1</v>
      </c>
      <c r="E9" s="304">
        <v>35</v>
      </c>
      <c r="F9" s="304">
        <v>35</v>
      </c>
      <c r="G9" s="34">
        <v>7.7777777777777777</v>
      </c>
    </row>
    <row r="10" spans="2:7" ht="13.8" x14ac:dyDescent="0.25">
      <c r="B10" s="418">
        <v>43805</v>
      </c>
      <c r="C10" s="32">
        <v>1</v>
      </c>
      <c r="D10" s="32">
        <v>1</v>
      </c>
      <c r="E10" s="304">
        <v>35</v>
      </c>
      <c r="F10" s="304">
        <v>35</v>
      </c>
      <c r="G10" s="34">
        <v>7.7777777777777777</v>
      </c>
    </row>
    <row r="11" spans="2:7" ht="13.8" x14ac:dyDescent="0.25">
      <c r="B11"/>
    </row>
    <row r="12" spans="2:7" ht="13.8" x14ac:dyDescent="0.25">
      <c r="B12"/>
    </row>
    <row r="13" spans="2:7" ht="18" customHeight="1" x14ac:dyDescent="0.25">
      <c r="B13"/>
    </row>
    <row r="14" spans="2:7" ht="18" customHeight="1" x14ac:dyDescent="0.25">
      <c r="B14"/>
    </row>
    <row r="15" spans="2:7" ht="18" customHeight="1" x14ac:dyDescent="0.25">
      <c r="B15"/>
    </row>
    <row r="16" spans="2:7" ht="18" customHeight="1" x14ac:dyDescent="0.25">
      <c r="B16"/>
    </row>
    <row r="17" spans="2:2" ht="18" customHeight="1" x14ac:dyDescent="0.25">
      <c r="B17"/>
    </row>
    <row r="18" spans="2:2" ht="18" customHeight="1" x14ac:dyDescent="0.25">
      <c r="B18"/>
    </row>
    <row r="19" spans="2:2" ht="18" customHeight="1" x14ac:dyDescent="0.25">
      <c r="B19"/>
    </row>
    <row r="20" spans="2:2" ht="18" customHeight="1" x14ac:dyDescent="0.25">
      <c r="B20"/>
    </row>
    <row r="21" spans="2:2" ht="18" customHeight="1" x14ac:dyDescent="0.25">
      <c r="B21"/>
    </row>
    <row r="22" spans="2:2" ht="18" customHeight="1" x14ac:dyDescent="0.25">
      <c r="B22"/>
    </row>
    <row r="23" spans="2:2" ht="18" customHeight="1" x14ac:dyDescent="0.25">
      <c r="B23"/>
    </row>
    <row r="24" spans="2:2" ht="18" customHeight="1" x14ac:dyDescent="0.25">
      <c r="B24"/>
    </row>
    <row r="25" spans="2:2" ht="18" customHeight="1" x14ac:dyDescent="0.25">
      <c r="B25"/>
    </row>
    <row r="26" spans="2:2" ht="18" customHeight="1" x14ac:dyDescent="0.25">
      <c r="B26"/>
    </row>
    <row r="27" spans="2:2" ht="18" customHeight="1" x14ac:dyDescent="0.25">
      <c r="B27"/>
    </row>
    <row r="28" spans="2:2" ht="18" customHeight="1" x14ac:dyDescent="0.25">
      <c r="B28"/>
    </row>
    <row r="29" spans="2:2" ht="18" customHeight="1" x14ac:dyDescent="0.25">
      <c r="B29"/>
    </row>
    <row r="30" spans="2:2" ht="18" customHeight="1" x14ac:dyDescent="0.25">
      <c r="B30"/>
    </row>
    <row r="31" spans="2:2" ht="18" customHeight="1" x14ac:dyDescent="0.25">
      <c r="B31"/>
    </row>
    <row r="32" spans="2:2" ht="18" customHeight="1" x14ac:dyDescent="0.25">
      <c r="B32"/>
    </row>
    <row r="33" spans="2:2" ht="18" customHeight="1" x14ac:dyDescent="0.25">
      <c r="B33"/>
    </row>
    <row r="34" spans="2:2" ht="18" customHeight="1" x14ac:dyDescent="0.25">
      <c r="B34"/>
    </row>
    <row r="35" spans="2:2" ht="18" customHeight="1" x14ac:dyDescent="0.25">
      <c r="B35"/>
    </row>
    <row r="36" spans="2:2" ht="18" customHeight="1" x14ac:dyDescent="0.25">
      <c r="B36"/>
    </row>
    <row r="37" spans="2:2" ht="18" customHeight="1" x14ac:dyDescent="0.25">
      <c r="B37"/>
    </row>
    <row r="38" spans="2:2" ht="18" customHeight="1" x14ac:dyDescent="0.25">
      <c r="B38"/>
    </row>
    <row r="39" spans="2:2" ht="18" customHeight="1" x14ac:dyDescent="0.25">
      <c r="B39"/>
    </row>
    <row r="40" spans="2:2" ht="18" customHeight="1" x14ac:dyDescent="0.25">
      <c r="B40"/>
    </row>
    <row r="41" spans="2:2" ht="18" customHeight="1" x14ac:dyDescent="0.25">
      <c r="B41"/>
    </row>
    <row r="42" spans="2:2" ht="18" customHeight="1" x14ac:dyDescent="0.25">
      <c r="B42"/>
    </row>
    <row r="43" spans="2:2" ht="18" customHeight="1" x14ac:dyDescent="0.25">
      <c r="B43"/>
    </row>
    <row r="44" spans="2:2" ht="18" customHeight="1" x14ac:dyDescent="0.25">
      <c r="B44"/>
    </row>
    <row r="45" spans="2:2" ht="18" customHeight="1" x14ac:dyDescent="0.25">
      <c r="B45"/>
    </row>
    <row r="46" spans="2:2" ht="18" customHeight="1" x14ac:dyDescent="0.25">
      <c r="B46"/>
    </row>
    <row r="47" spans="2:2" ht="18" customHeight="1" x14ac:dyDescent="0.25">
      <c r="B47"/>
    </row>
    <row r="48" spans="2:2" ht="18" customHeight="1" x14ac:dyDescent="0.25">
      <c r="B48"/>
    </row>
    <row r="49" spans="2:2" ht="18" customHeight="1" x14ac:dyDescent="0.25">
      <c r="B49"/>
    </row>
    <row r="50" spans="2:2" ht="18" customHeight="1" x14ac:dyDescent="0.25">
      <c r="B50"/>
    </row>
    <row r="51" spans="2:2" ht="18" customHeight="1" x14ac:dyDescent="0.25">
      <c r="B51"/>
    </row>
    <row r="52" spans="2:2" ht="18" customHeight="1" x14ac:dyDescent="0.25">
      <c r="B52"/>
    </row>
    <row r="53" spans="2:2" ht="18" customHeight="1" x14ac:dyDescent="0.25">
      <c r="B53"/>
    </row>
    <row r="54" spans="2:2" ht="18" customHeight="1" x14ac:dyDescent="0.25">
      <c r="B54"/>
    </row>
    <row r="55" spans="2:2" ht="18" customHeight="1" x14ac:dyDescent="0.25">
      <c r="B55"/>
    </row>
    <row r="56" spans="2:2" ht="18" customHeight="1" x14ac:dyDescent="0.25">
      <c r="B56"/>
    </row>
    <row r="57" spans="2:2" ht="18" customHeight="1" x14ac:dyDescent="0.25">
      <c r="B57"/>
    </row>
    <row r="58" spans="2:2" ht="18" customHeight="1" x14ac:dyDescent="0.25">
      <c r="B58"/>
    </row>
    <row r="59" spans="2:2" ht="18" customHeight="1" x14ac:dyDescent="0.25">
      <c r="B59"/>
    </row>
    <row r="60" spans="2:2" ht="18" customHeight="1" x14ac:dyDescent="0.25">
      <c r="B60"/>
    </row>
    <row r="61" spans="2:2" ht="18" customHeight="1" x14ac:dyDescent="0.25">
      <c r="B61"/>
    </row>
    <row r="62" spans="2:2" ht="18" customHeight="1" x14ac:dyDescent="0.25">
      <c r="B62"/>
    </row>
    <row r="63" spans="2:2" ht="18" customHeight="1" x14ac:dyDescent="0.25">
      <c r="B63"/>
    </row>
    <row r="64" spans="2:2" ht="18" customHeight="1" x14ac:dyDescent="0.25">
      <c r="B64"/>
    </row>
    <row r="65" spans="2:2" ht="18" customHeight="1" x14ac:dyDescent="0.25">
      <c r="B65"/>
    </row>
    <row r="66" spans="2:2" ht="18" customHeight="1" x14ac:dyDescent="0.25">
      <c r="B66"/>
    </row>
    <row r="67" spans="2:2" ht="18" customHeight="1" x14ac:dyDescent="0.25">
      <c r="B67"/>
    </row>
    <row r="68" spans="2:2" ht="18" customHeight="1" x14ac:dyDescent="0.25">
      <c r="B68"/>
    </row>
    <row r="69" spans="2:2" ht="18" customHeight="1" x14ac:dyDescent="0.25">
      <c r="B69"/>
    </row>
    <row r="70" spans="2:2" ht="18" customHeight="1" x14ac:dyDescent="0.25">
      <c r="B70"/>
    </row>
    <row r="71" spans="2:2" ht="18" customHeight="1" x14ac:dyDescent="0.25">
      <c r="B71"/>
    </row>
    <row r="72" spans="2:2" ht="18" customHeight="1" x14ac:dyDescent="0.25">
      <c r="B72"/>
    </row>
    <row r="73" spans="2:2" ht="18" customHeight="1" x14ac:dyDescent="0.25">
      <c r="B73"/>
    </row>
    <row r="74" spans="2:2" ht="18" customHeight="1" x14ac:dyDescent="0.25">
      <c r="B74"/>
    </row>
    <row r="75" spans="2:2" ht="18" customHeight="1" x14ac:dyDescent="0.25">
      <c r="B75"/>
    </row>
    <row r="76" spans="2:2" ht="18" customHeight="1" x14ac:dyDescent="0.25">
      <c r="B76"/>
    </row>
    <row r="77" spans="2:2" ht="18" customHeight="1" x14ac:dyDescent="0.25">
      <c r="B77"/>
    </row>
    <row r="78" spans="2:2" ht="18" customHeight="1" x14ac:dyDescent="0.25">
      <c r="B78"/>
    </row>
    <row r="79" spans="2:2" ht="18" customHeight="1" x14ac:dyDescent="0.25">
      <c r="B79"/>
    </row>
    <row r="80" spans="2:2" ht="18" customHeight="1" x14ac:dyDescent="0.25">
      <c r="B80"/>
    </row>
    <row r="81" spans="2:2" ht="18" customHeight="1" x14ac:dyDescent="0.25">
      <c r="B81"/>
    </row>
    <row r="82" spans="2:2" ht="18" customHeight="1" x14ac:dyDescent="0.25">
      <c r="B82"/>
    </row>
    <row r="83" spans="2:2" ht="18" customHeight="1" x14ac:dyDescent="0.25">
      <c r="B83"/>
    </row>
    <row r="84" spans="2:2" ht="18" customHeight="1" x14ac:dyDescent="0.25">
      <c r="B84"/>
    </row>
    <row r="85" spans="2:2" ht="18" customHeight="1" x14ac:dyDescent="0.25">
      <c r="B85"/>
    </row>
    <row r="86" spans="2:2" ht="18" customHeight="1" x14ac:dyDescent="0.25">
      <c r="B86"/>
    </row>
    <row r="87" spans="2:2" ht="18" customHeight="1" x14ac:dyDescent="0.25">
      <c r="B87"/>
    </row>
    <row r="88" spans="2:2" ht="18" customHeight="1" x14ac:dyDescent="0.25">
      <c r="B88"/>
    </row>
    <row r="89" spans="2:2" ht="18" customHeight="1" x14ac:dyDescent="0.25">
      <c r="B89"/>
    </row>
    <row r="90" spans="2:2" ht="18" customHeight="1" x14ac:dyDescent="0.25">
      <c r="B90"/>
    </row>
    <row r="91" spans="2:2" ht="18" customHeight="1" x14ac:dyDescent="0.25">
      <c r="B91"/>
    </row>
    <row r="92" spans="2:2" ht="18" customHeight="1" x14ac:dyDescent="0.25">
      <c r="B92"/>
    </row>
    <row r="93" spans="2:2" ht="18" customHeight="1" x14ac:dyDescent="0.25">
      <c r="B93"/>
    </row>
    <row r="94" spans="2:2" ht="18" customHeight="1" x14ac:dyDescent="0.25">
      <c r="B94"/>
    </row>
    <row r="95" spans="2:2" ht="18" customHeight="1" x14ac:dyDescent="0.25">
      <c r="B95"/>
    </row>
    <row r="96" spans="2:2" ht="18" customHeight="1" x14ac:dyDescent="0.25">
      <c r="B96"/>
    </row>
    <row r="97" spans="2:2" ht="18" customHeight="1" x14ac:dyDescent="0.25">
      <c r="B97"/>
    </row>
    <row r="98" spans="2:2" ht="18" customHeight="1" x14ac:dyDescent="0.25">
      <c r="B98"/>
    </row>
    <row r="99" spans="2:2" ht="18" customHeight="1" x14ac:dyDescent="0.25">
      <c r="B99"/>
    </row>
    <row r="100" spans="2:2" ht="18" customHeight="1" x14ac:dyDescent="0.25">
      <c r="B100"/>
    </row>
    <row r="101" spans="2:2" ht="18" customHeight="1" x14ac:dyDescent="0.25">
      <c r="B101"/>
    </row>
    <row r="102" spans="2:2" ht="18" customHeight="1" x14ac:dyDescent="0.25">
      <c r="B102"/>
    </row>
    <row r="103" spans="2:2" ht="18" customHeight="1" x14ac:dyDescent="0.25">
      <c r="B103"/>
    </row>
    <row r="104" spans="2:2" ht="18" customHeight="1" x14ac:dyDescent="0.25">
      <c r="B104"/>
    </row>
    <row r="105" spans="2:2" ht="18" customHeight="1" x14ac:dyDescent="0.25">
      <c r="B105"/>
    </row>
    <row r="106" spans="2:2" ht="18" customHeight="1" x14ac:dyDescent="0.25">
      <c r="B106"/>
    </row>
    <row r="107" spans="2:2" ht="18" customHeight="1" x14ac:dyDescent="0.25">
      <c r="B107"/>
    </row>
    <row r="108" spans="2:2" ht="18" customHeight="1" x14ac:dyDescent="0.25">
      <c r="B108"/>
    </row>
    <row r="109" spans="2:2" ht="18" customHeight="1" x14ac:dyDescent="0.25">
      <c r="B109"/>
    </row>
    <row r="110" spans="2:2" ht="18" customHeight="1" x14ac:dyDescent="0.25">
      <c r="B110"/>
    </row>
    <row r="111" spans="2:2" ht="18" customHeight="1" x14ac:dyDescent="0.25">
      <c r="B111"/>
    </row>
    <row r="112" spans="2:2" ht="18" customHeight="1" x14ac:dyDescent="0.25">
      <c r="B112"/>
    </row>
    <row r="113" spans="2:2" ht="18" customHeight="1" x14ac:dyDescent="0.25">
      <c r="B113"/>
    </row>
    <row r="114" spans="2:2" ht="18" customHeight="1" x14ac:dyDescent="0.25">
      <c r="B114"/>
    </row>
    <row r="115" spans="2:2" ht="18" customHeight="1" x14ac:dyDescent="0.25">
      <c r="B115"/>
    </row>
    <row r="116" spans="2:2" ht="18" customHeight="1" x14ac:dyDescent="0.25">
      <c r="B116"/>
    </row>
    <row r="117" spans="2:2" ht="18" customHeight="1" x14ac:dyDescent="0.25">
      <c r="B117"/>
    </row>
    <row r="118" spans="2:2" ht="18" customHeight="1" x14ac:dyDescent="0.25">
      <c r="B118"/>
    </row>
    <row r="119" spans="2:2" ht="18" customHeight="1" x14ac:dyDescent="0.25">
      <c r="B119"/>
    </row>
    <row r="120" spans="2:2" ht="18" customHeight="1" x14ac:dyDescent="0.25">
      <c r="B120"/>
    </row>
    <row r="121" spans="2:2" ht="18" customHeight="1" x14ac:dyDescent="0.25">
      <c r="B121"/>
    </row>
    <row r="122" spans="2:2" ht="18" customHeight="1" x14ac:dyDescent="0.25">
      <c r="B122"/>
    </row>
    <row r="123" spans="2:2" ht="18" customHeight="1" x14ac:dyDescent="0.25">
      <c r="B123"/>
    </row>
    <row r="124" spans="2:2" ht="18" customHeight="1" x14ac:dyDescent="0.25">
      <c r="B124"/>
    </row>
    <row r="125" spans="2:2" ht="18" customHeight="1" x14ac:dyDescent="0.25">
      <c r="B125"/>
    </row>
    <row r="126" spans="2:2" ht="18" customHeight="1" x14ac:dyDescent="0.25">
      <c r="B126"/>
    </row>
    <row r="127" spans="2:2" ht="18" customHeight="1" x14ac:dyDescent="0.25">
      <c r="B127"/>
    </row>
    <row r="128" spans="2:2" ht="18" customHeight="1" x14ac:dyDescent="0.25">
      <c r="B128"/>
    </row>
    <row r="129" spans="2:2" ht="18" customHeight="1" x14ac:dyDescent="0.25">
      <c r="B129"/>
    </row>
    <row r="130" spans="2:2" ht="18" customHeight="1" x14ac:dyDescent="0.25">
      <c r="B130"/>
    </row>
    <row r="131" spans="2:2" ht="18" customHeight="1" x14ac:dyDescent="0.25">
      <c r="B131"/>
    </row>
    <row r="132" spans="2:2" ht="18" customHeight="1" x14ac:dyDescent="0.25">
      <c r="B132"/>
    </row>
    <row r="133" spans="2:2" ht="18" customHeight="1" x14ac:dyDescent="0.25">
      <c r="B133"/>
    </row>
    <row r="134" spans="2:2" ht="18" customHeight="1" x14ac:dyDescent="0.25">
      <c r="B134"/>
    </row>
    <row r="135" spans="2:2" ht="18" customHeight="1" x14ac:dyDescent="0.25">
      <c r="B135"/>
    </row>
    <row r="136" spans="2:2" ht="18" customHeight="1" x14ac:dyDescent="0.25">
      <c r="B136"/>
    </row>
    <row r="137" spans="2:2" ht="18" customHeight="1" x14ac:dyDescent="0.25">
      <c r="B137"/>
    </row>
    <row r="138" spans="2:2" ht="18" customHeight="1" x14ac:dyDescent="0.25">
      <c r="B138"/>
    </row>
    <row r="139" spans="2:2" ht="18" customHeight="1" x14ac:dyDescent="0.25">
      <c r="B139"/>
    </row>
    <row r="140" spans="2:2" ht="18" customHeight="1" x14ac:dyDescent="0.25">
      <c r="B140"/>
    </row>
    <row r="141" spans="2:2" ht="18" customHeight="1" x14ac:dyDescent="0.25">
      <c r="B141"/>
    </row>
    <row r="142" spans="2:2" ht="18" customHeight="1" x14ac:dyDescent="0.25">
      <c r="B142"/>
    </row>
    <row r="143" spans="2:2" ht="18" customHeight="1" x14ac:dyDescent="0.25">
      <c r="B143"/>
    </row>
    <row r="144" spans="2:2" ht="18" customHeight="1" x14ac:dyDescent="0.25">
      <c r="B144"/>
    </row>
    <row r="145" spans="2:2" ht="18" customHeight="1" x14ac:dyDescent="0.25">
      <c r="B145"/>
    </row>
    <row r="146" spans="2:2" ht="18" customHeight="1" x14ac:dyDescent="0.25">
      <c r="B146"/>
    </row>
    <row r="147" spans="2:2" ht="18" customHeight="1" x14ac:dyDescent="0.25">
      <c r="B147"/>
    </row>
    <row r="148" spans="2:2" ht="18" customHeight="1" x14ac:dyDescent="0.25">
      <c r="B148"/>
    </row>
    <row r="149" spans="2:2" ht="18" customHeight="1" x14ac:dyDescent="0.25">
      <c r="B149"/>
    </row>
    <row r="150" spans="2:2" ht="18" customHeight="1" x14ac:dyDescent="0.25">
      <c r="B150"/>
    </row>
    <row r="151" spans="2:2" ht="18" customHeight="1" x14ac:dyDescent="0.25">
      <c r="B151"/>
    </row>
    <row r="152" spans="2:2" ht="18" customHeight="1" x14ac:dyDescent="0.25">
      <c r="B152"/>
    </row>
    <row r="153" spans="2:2" ht="18" customHeight="1" x14ac:dyDescent="0.25">
      <c r="B153"/>
    </row>
    <row r="154" spans="2:2" ht="18" customHeight="1" x14ac:dyDescent="0.25">
      <c r="B154"/>
    </row>
    <row r="155" spans="2:2" ht="18" customHeight="1" x14ac:dyDescent="0.25">
      <c r="B155"/>
    </row>
    <row r="156" spans="2:2" ht="18" customHeight="1" x14ac:dyDescent="0.25">
      <c r="B156"/>
    </row>
    <row r="157" spans="2:2" ht="18" customHeight="1" x14ac:dyDescent="0.25">
      <c r="B157"/>
    </row>
    <row r="158" spans="2:2" ht="18" customHeight="1" x14ac:dyDescent="0.25">
      <c r="B158"/>
    </row>
    <row r="159" spans="2:2" ht="18" customHeight="1" x14ac:dyDescent="0.25">
      <c r="B159"/>
    </row>
    <row r="160" spans="2:2" ht="18" customHeight="1" x14ac:dyDescent="0.25">
      <c r="B160"/>
    </row>
    <row r="161" spans="2:2" ht="18" customHeight="1" x14ac:dyDescent="0.25">
      <c r="B161"/>
    </row>
    <row r="162" spans="2:2" ht="18" customHeight="1" x14ac:dyDescent="0.25">
      <c r="B162"/>
    </row>
    <row r="163" spans="2:2" ht="18" customHeight="1" x14ac:dyDescent="0.25">
      <c r="B163"/>
    </row>
    <row r="164" spans="2:2" ht="18" customHeight="1" x14ac:dyDescent="0.25">
      <c r="B164"/>
    </row>
    <row r="165" spans="2:2" ht="18" customHeight="1" x14ac:dyDescent="0.25">
      <c r="B165"/>
    </row>
    <row r="166" spans="2:2" ht="18" customHeight="1" x14ac:dyDescent="0.25">
      <c r="B166"/>
    </row>
    <row r="167" spans="2:2" ht="18" customHeight="1" x14ac:dyDescent="0.25">
      <c r="B167"/>
    </row>
    <row r="168" spans="2:2" ht="18" customHeight="1" x14ac:dyDescent="0.25">
      <c r="B168"/>
    </row>
    <row r="169" spans="2:2" ht="18" customHeight="1" x14ac:dyDescent="0.25">
      <c r="B169"/>
    </row>
    <row r="170" spans="2:2" ht="18" customHeight="1" x14ac:dyDescent="0.25">
      <c r="B170"/>
    </row>
    <row r="171" spans="2:2" ht="18" customHeight="1" x14ac:dyDescent="0.25">
      <c r="B171"/>
    </row>
    <row r="172" spans="2:2" ht="18" customHeight="1" x14ac:dyDescent="0.25">
      <c r="B172"/>
    </row>
    <row r="173" spans="2:2" ht="18" customHeight="1" x14ac:dyDescent="0.25">
      <c r="B173"/>
    </row>
    <row r="174" spans="2:2" ht="18" customHeight="1" x14ac:dyDescent="0.25">
      <c r="B174"/>
    </row>
    <row r="175" spans="2:2" ht="18" customHeight="1" x14ac:dyDescent="0.25">
      <c r="B175"/>
    </row>
    <row r="176" spans="2:2" ht="18" customHeight="1" x14ac:dyDescent="0.25">
      <c r="B176"/>
    </row>
    <row r="177" spans="2:2" ht="18" customHeight="1" x14ac:dyDescent="0.25">
      <c r="B177"/>
    </row>
    <row r="178" spans="2:2" ht="18" customHeight="1" x14ac:dyDescent="0.25">
      <c r="B178"/>
    </row>
    <row r="179" spans="2:2" ht="18" customHeight="1" x14ac:dyDescent="0.25">
      <c r="B179"/>
    </row>
    <row r="180" spans="2:2" ht="18" customHeight="1" x14ac:dyDescent="0.25">
      <c r="B180"/>
    </row>
    <row r="181" spans="2:2" ht="18" customHeight="1" x14ac:dyDescent="0.25">
      <c r="B181"/>
    </row>
    <row r="182" spans="2:2" ht="18" customHeight="1" x14ac:dyDescent="0.25">
      <c r="B182"/>
    </row>
    <row r="183" spans="2:2" ht="18" customHeight="1" x14ac:dyDescent="0.25">
      <c r="B183"/>
    </row>
    <row r="184" spans="2:2" ht="18" customHeight="1" x14ac:dyDescent="0.25">
      <c r="B184"/>
    </row>
    <row r="185" spans="2:2" ht="18" customHeight="1" x14ac:dyDescent="0.25">
      <c r="B185"/>
    </row>
    <row r="186" spans="2:2" ht="18" customHeight="1" x14ac:dyDescent="0.25">
      <c r="B186"/>
    </row>
    <row r="187" spans="2:2" ht="18" customHeight="1" x14ac:dyDescent="0.25">
      <c r="B187"/>
    </row>
    <row r="188" spans="2:2" ht="18" customHeight="1" x14ac:dyDescent="0.25">
      <c r="B188"/>
    </row>
    <row r="189" spans="2:2" ht="18" customHeight="1" x14ac:dyDescent="0.25">
      <c r="B189"/>
    </row>
    <row r="190" spans="2:2" ht="18" customHeight="1" x14ac:dyDescent="0.25">
      <c r="B190"/>
    </row>
    <row r="191" spans="2:2" ht="18" customHeight="1" x14ac:dyDescent="0.25">
      <c r="B191"/>
    </row>
    <row r="192" spans="2:2" ht="18" customHeight="1" x14ac:dyDescent="0.25">
      <c r="B192"/>
    </row>
    <row r="193" spans="2:2" ht="18" customHeight="1" x14ac:dyDescent="0.25">
      <c r="B193"/>
    </row>
    <row r="194" spans="2:2" ht="18" customHeight="1" x14ac:dyDescent="0.25">
      <c r="B194"/>
    </row>
    <row r="195" spans="2:2" ht="18" customHeight="1" x14ac:dyDescent="0.25">
      <c r="B195"/>
    </row>
  </sheetData>
  <mergeCells count="1">
    <mergeCell ref="B2:G4"/>
  </mergeCells>
  <phoneticPr fontId="1" type="noConversion"/>
  <conditionalFormatting sqref="A1:XFD5 A82:XFD1048576 A6:B192 H6:XFD192">
    <cfRule type="containsBlanks" dxfId="1" priority="1">
      <formula>LEN(TRIM(A1))=0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2:J20"/>
  <sheetViews>
    <sheetView zoomScale="85" zoomScaleNormal="85" workbookViewId="0">
      <selection activeCell="B2" sqref="B2:H4"/>
    </sheetView>
  </sheetViews>
  <sheetFormatPr defaultColWidth="9" defaultRowHeight="18" customHeight="1" x14ac:dyDescent="0.25"/>
  <cols>
    <col min="1" max="1" width="3.6640625" style="48" customWidth="1"/>
    <col min="2" max="2" width="10" style="32" bestFit="1" customWidth="1"/>
    <col min="3" max="3" width="19.21875" style="15" bestFit="1" customWidth="1"/>
    <col min="4" max="5" width="10" style="47" bestFit="1" customWidth="1"/>
    <col min="6" max="7" width="13.33203125" style="15" bestFit="1" customWidth="1"/>
    <col min="8" max="8" width="13.33203125" style="34" bestFit="1" customWidth="1"/>
    <col min="9" max="16384" width="9" style="15"/>
  </cols>
  <sheetData>
    <row r="2" spans="1:8" ht="18" customHeight="1" x14ac:dyDescent="0.25">
      <c r="B2" s="408" t="s">
        <v>200</v>
      </c>
      <c r="C2" s="409"/>
      <c r="D2" s="409"/>
      <c r="E2" s="409"/>
      <c r="F2" s="409"/>
      <c r="G2" s="409"/>
      <c r="H2" s="410"/>
    </row>
    <row r="3" spans="1:8" ht="18" customHeight="1" x14ac:dyDescent="0.25">
      <c r="B3" s="411"/>
      <c r="C3" s="412"/>
      <c r="D3" s="412"/>
      <c r="E3" s="412"/>
      <c r="F3" s="412"/>
      <c r="G3" s="412"/>
      <c r="H3" s="413"/>
    </row>
    <row r="4" spans="1:8" ht="18" customHeight="1" x14ac:dyDescent="0.25">
      <c r="B4" s="414"/>
      <c r="C4" s="415"/>
      <c r="D4" s="415"/>
      <c r="E4" s="415"/>
      <c r="F4" s="415"/>
      <c r="G4" s="415"/>
      <c r="H4" s="416"/>
    </row>
    <row r="5" spans="1:8" s="57" customFormat="1" ht="18" customHeight="1" x14ac:dyDescent="0.25">
      <c r="A5" s="48"/>
      <c r="B5" s="70" t="s">
        <v>87</v>
      </c>
      <c r="C5" s="71" t="s">
        <v>16</v>
      </c>
      <c r="D5" s="70" t="s">
        <v>13</v>
      </c>
      <c r="E5" s="70" t="s">
        <v>126</v>
      </c>
      <c r="F5" s="71" t="s">
        <v>19</v>
      </c>
      <c r="G5" s="71" t="s">
        <v>21</v>
      </c>
      <c r="H5" s="73" t="s">
        <v>18</v>
      </c>
    </row>
    <row r="6" spans="1:8" ht="18" customHeight="1" x14ac:dyDescent="0.25">
      <c r="B6" s="67">
        <v>1</v>
      </c>
      <c r="C6" s="39" t="s">
        <v>7</v>
      </c>
      <c r="D6" s="68">
        <f>COUNTIF(书库!R:R,C6)</f>
        <v>4</v>
      </c>
      <c r="E6" s="68">
        <f>SUMIF(书库!R:R,C6,书库!X:X)</f>
        <v>4</v>
      </c>
      <c r="F6" s="69">
        <f>SUMIF(书库!R:R,C6,书库!T:T)</f>
        <v>20</v>
      </c>
      <c r="G6" s="69">
        <f>F6/SUMIF(书库!R:R,C6,书库!X:X)</f>
        <v>5</v>
      </c>
      <c r="H6" s="72">
        <f>F6/SUMIF(书库!R:R,C6,书库!S:S)*10</f>
        <v>1.4285714285714284</v>
      </c>
    </row>
    <row r="7" spans="1:8" ht="18" customHeight="1" x14ac:dyDescent="0.25">
      <c r="B7" s="67">
        <v>2</v>
      </c>
      <c r="C7" s="39" t="s">
        <v>10</v>
      </c>
      <c r="D7" s="68">
        <f>COUNTIF(书库!R:R,C7)</f>
        <v>0</v>
      </c>
      <c r="E7" s="68">
        <f>SUMIF(书库!R:R,C7,书库!X:X)</f>
        <v>0</v>
      </c>
      <c r="F7" s="69">
        <f>SUMIF(书库!R:R,C7,书库!T:T)</f>
        <v>0</v>
      </c>
      <c r="G7" s="69" t="e">
        <f>F7/SUMIF(书库!R:R,C7,书库!X:X)</f>
        <v>#DIV/0!</v>
      </c>
      <c r="H7" s="72" t="e">
        <f>F7/SUMIF(书库!R:R,C7,书库!S:S)*10</f>
        <v>#DIV/0!</v>
      </c>
    </row>
    <row r="8" spans="1:8" ht="18" customHeight="1" x14ac:dyDescent="0.25">
      <c r="B8" s="67">
        <v>3</v>
      </c>
      <c r="C8" s="39" t="s">
        <v>6</v>
      </c>
      <c r="D8" s="68">
        <f>COUNTIF(书库!R:R,C8)</f>
        <v>0</v>
      </c>
      <c r="E8" s="68">
        <f>SUMIF(书库!R:R,C8,书库!X:X)</f>
        <v>0</v>
      </c>
      <c r="F8" s="69">
        <f>SUMIF(书库!R:R,C8,书库!T:T)</f>
        <v>0</v>
      </c>
      <c r="G8" s="69" t="e">
        <f>F8/SUMIF(书库!R:R,C8,书库!X:X)</f>
        <v>#DIV/0!</v>
      </c>
      <c r="H8" s="72" t="e">
        <f>F8/SUMIF(书库!R:R,C8,书库!S:S)*10</f>
        <v>#DIV/0!</v>
      </c>
    </row>
    <row r="9" spans="1:8" ht="18" customHeight="1" x14ac:dyDescent="0.25">
      <c r="B9" s="67">
        <v>4</v>
      </c>
      <c r="C9" s="39" t="s">
        <v>37</v>
      </c>
      <c r="D9" s="68">
        <f>COUNTIF(书库!R:R,C9)</f>
        <v>0</v>
      </c>
      <c r="E9" s="68">
        <f>SUMIF(书库!R:R,C9,书库!X:X)</f>
        <v>0</v>
      </c>
      <c r="F9" s="69">
        <f>SUMIF(书库!R:R,C9,书库!T:T)</f>
        <v>0</v>
      </c>
      <c r="G9" s="69" t="e">
        <f>F9/SUMIF(书库!R:R,C9,书库!X:X)</f>
        <v>#DIV/0!</v>
      </c>
      <c r="H9" s="72" t="e">
        <f>F9/SUMIF(书库!R:R,C9,书库!S:S)*10</f>
        <v>#DIV/0!</v>
      </c>
    </row>
    <row r="10" spans="1:8" ht="18" customHeight="1" x14ac:dyDescent="0.25">
      <c r="B10" s="67">
        <v>5</v>
      </c>
      <c r="C10" s="39" t="s">
        <v>4</v>
      </c>
      <c r="D10" s="68">
        <f>COUNTIF(书库!R:R,C10)</f>
        <v>0</v>
      </c>
      <c r="E10" s="68">
        <f>SUMIF(书库!R:R,C10,书库!X:X)</f>
        <v>0</v>
      </c>
      <c r="F10" s="69">
        <f>SUMIF(书库!R:R,C10,书库!T:T)</f>
        <v>0</v>
      </c>
      <c r="G10" s="69" t="e">
        <f>F10/SUMIF(书库!R:R,C10,书库!X:X)</f>
        <v>#DIV/0!</v>
      </c>
      <c r="H10" s="72" t="e">
        <f>F10/SUMIF(书库!R:R,C10,书库!S:S)*10</f>
        <v>#DIV/0!</v>
      </c>
    </row>
    <row r="11" spans="1:8" ht="18" customHeight="1" x14ac:dyDescent="0.25">
      <c r="B11" s="67">
        <v>6</v>
      </c>
      <c r="C11" s="39" t="s">
        <v>34</v>
      </c>
      <c r="D11" s="68">
        <f>COUNTIF(书库!R:R,C11)</f>
        <v>4</v>
      </c>
      <c r="E11" s="68">
        <f>SUMIF(书库!R:R,C11,书库!X:X)</f>
        <v>4</v>
      </c>
      <c r="F11" s="69">
        <f>SUMIF(书库!R:R,C11,书库!T:T)</f>
        <v>140</v>
      </c>
      <c r="G11" s="69">
        <f>F11/SUMIF(书库!R:R,C11,书库!X:X)</f>
        <v>35</v>
      </c>
      <c r="H11" s="72">
        <f>F11/SUMIF(书库!R:R,C11,书库!S:S)*10</f>
        <v>7.7777777777777777</v>
      </c>
    </row>
    <row r="12" spans="1:8" ht="18" customHeight="1" x14ac:dyDescent="0.25">
      <c r="B12" s="67">
        <v>7</v>
      </c>
      <c r="C12" s="39" t="s">
        <v>17</v>
      </c>
      <c r="D12" s="68">
        <f>COUNTIF(书库!R:R,"*"&amp;"赠"&amp;"*")</f>
        <v>0</v>
      </c>
      <c r="E12" s="68">
        <f>SUMIF(书库!R:R,"*"&amp;"赠"&amp;"*",书库!X:X)</f>
        <v>0</v>
      </c>
      <c r="F12" s="69">
        <f>SUMIF(书库!R:R,"*"&amp;"赠"&amp;"*",书库!S:S)</f>
        <v>0</v>
      </c>
      <c r="G12" s="69" t="e">
        <f>F12/SUMIF(书库!R:R,"*"&amp;"赠"&amp;"*",书库!X:X)</f>
        <v>#DIV/0!</v>
      </c>
      <c r="H12" s="81" t="s">
        <v>130</v>
      </c>
    </row>
    <row r="13" spans="1:8" ht="18" customHeight="1" x14ac:dyDescent="0.25">
      <c r="B13" s="67">
        <v>8</v>
      </c>
      <c r="C13" s="39" t="s">
        <v>129</v>
      </c>
      <c r="D13" s="68">
        <f>COUNTIF(书库!R:R,C13)</f>
        <v>0</v>
      </c>
      <c r="E13" s="68">
        <f>SUMIF(书库!R:R,C13,书库!X:X)</f>
        <v>0</v>
      </c>
      <c r="F13" s="69">
        <f>SUMIF(书库!R:R,C13,书库!T:T)</f>
        <v>0</v>
      </c>
      <c r="G13" s="69" t="e">
        <f>F13/SUMIF(书库!R:R,C13,书库!X:X)</f>
        <v>#DIV/0!</v>
      </c>
      <c r="H13" s="72" t="e">
        <f>F13/SUMIF(书库!R:R,C13,书库!S:S)*10</f>
        <v>#DIV/0!</v>
      </c>
    </row>
    <row r="14" spans="1:8" ht="18" customHeight="1" x14ac:dyDescent="0.25">
      <c r="B14" s="67">
        <v>9</v>
      </c>
      <c r="C14" s="39" t="s">
        <v>40</v>
      </c>
      <c r="D14" s="68">
        <f>COUNTIF(书库!R:R,C14)</f>
        <v>0</v>
      </c>
      <c r="E14" s="68">
        <f>SUMIF(书库!R:R,C14,书库!X:X)</f>
        <v>0</v>
      </c>
      <c r="F14" s="69">
        <f>SUMIF(书库!R:R,C14,书库!T:T)</f>
        <v>0</v>
      </c>
      <c r="G14" s="69" t="e">
        <f>F14/SUMIF(书库!R:R,C14,书库!X:X)</f>
        <v>#DIV/0!</v>
      </c>
      <c r="H14" s="72" t="e">
        <f>F14/SUMIF(书库!R:R,C14,书库!S:S)*10</f>
        <v>#DIV/0!</v>
      </c>
    </row>
    <row r="15" spans="1:8" ht="18" customHeight="1" x14ac:dyDescent="0.25">
      <c r="B15" s="67">
        <v>10</v>
      </c>
      <c r="C15" s="39" t="s">
        <v>35</v>
      </c>
      <c r="D15" s="68">
        <f>COUNTIF(书库!R:R,"*"&amp;"书店"&amp;"*")+COUNTIF(书库!R:R,"*"&amp;"书城"&amp;"*")+COUNTIF(书库!R:R,"*"&amp;"书局"&amp;"*")+COUNTIF(书库!R:R,"*"&amp;"书展"&amp;"*")</f>
        <v>0</v>
      </c>
      <c r="E15" s="68">
        <f>SUMIF(书库!R:R,"*"&amp;"书店"&amp;"*",书库!X:X)+SUMIF(书库!R:R,"*"&amp;"书城"&amp;"*",书库!X:X)+SUMIF(书库!R:R,"*"&amp;"书局"&amp;"*",书库!X:X)+SUMIF(书库!R:R,"*"&amp;"书展"&amp;"*",书库!X:X)</f>
        <v>0</v>
      </c>
      <c r="F15" s="69">
        <f>SUMIF(书库!R:R,"*"&amp;"书店"&amp;"*",书库!T:T)+SUMIF(书库!R:R,"*"&amp;"书城"&amp;"*",书库!T:T)+SUMIF(书库!R:R,"*"&amp;"书局"&amp;"*",书库!T:T)+SUMIF(书库!R:R,"*"&amp;"书展"&amp;"*",书库!T:T)</f>
        <v>0</v>
      </c>
      <c r="G15" s="69" t="e">
        <f>F15/(SUMIF(书库!R:R,"*"&amp;"书店"&amp;"*",书库!X:X)+SUMIF(书库!R:R,"*"&amp;"书库"&amp;"*",书库!X:X)+SUMIF(书库!R:R,"*"&amp;"书局"&amp;"*",书库!X:X)+SUMIF(书库!R:R,"*"&amp;"书展"&amp;"*",书库!X:X))</f>
        <v>#DIV/0!</v>
      </c>
      <c r="H15" s="72" t="e">
        <f>F15/(SUMIF(书库!R:R,"*"&amp;"书店"&amp;"*",书库!S:S)+SUMIF(书库!R:R,"*"&amp;"书库"&amp;"*",书库!S:S)+SUMIF(书库!R:R,"*"&amp;"书局"&amp;"*",书库!S:S)+SUMIF(书库!R:R,"*"&amp;"书展"&amp;"*",书库!S:S))*10</f>
        <v>#DIV/0!</v>
      </c>
    </row>
    <row r="16" spans="1:8" ht="18" customHeight="1" x14ac:dyDescent="0.25">
      <c r="B16" s="67">
        <v>11</v>
      </c>
      <c r="C16" s="39" t="s">
        <v>33</v>
      </c>
      <c r="D16" s="68">
        <f>COUNTIF(书库!R:R,C16)</f>
        <v>0</v>
      </c>
      <c r="E16" s="68">
        <f>SUMIF(书库!R:R,C16,书库!X:X)</f>
        <v>0</v>
      </c>
      <c r="F16" s="69">
        <f>SUMIF(书库!R:R,C16,书库!T:T)</f>
        <v>0</v>
      </c>
      <c r="G16" s="69" t="e">
        <f>F16/SUMIF(书库!R:R,C16,书库!X:X)</f>
        <v>#DIV/0!</v>
      </c>
      <c r="H16" s="72" t="e">
        <f>F16/SUMIF(书库!R:R,C16,书库!S:S)*10</f>
        <v>#DIV/0!</v>
      </c>
    </row>
    <row r="17" spans="2:10" ht="18" customHeight="1" x14ac:dyDescent="0.25">
      <c r="B17" s="67">
        <v>12</v>
      </c>
      <c r="C17" s="39" t="s">
        <v>53</v>
      </c>
      <c r="D17" s="68">
        <f>COUNTIF(书库!R:R,"*"&amp;"官网"&amp;"*")+COUNTIF(书库!R:R,"*"&amp;"众筹"&amp;"*")</f>
        <v>0</v>
      </c>
      <c r="E17" s="68">
        <f>SUMIF(书库!R:R,"*"&amp;"官网"&amp;"*",书库!X:X)+SUMIF(书库!R:R,"*"&amp;"众筹"&amp;"*",书库!X:X)</f>
        <v>0</v>
      </c>
      <c r="F17" s="69">
        <f>SUMIF(书库!R:R,"*"&amp;"官网"&amp;"*",书库!T:T)+SUMIF(书库!R:R,"*"&amp;"众筹"&amp;"*",书库!T:T)</f>
        <v>0</v>
      </c>
      <c r="G17" s="69" t="e">
        <f>F17/(SUMIF(书库!R:R,"*"&amp;"官网"&amp;"*",书库!X:X)+SUMIF(书库!R:R,"*"&amp;"众筹"&amp;"*",书库!X:X))</f>
        <v>#DIV/0!</v>
      </c>
      <c r="H17" s="72" t="e">
        <f>F17/(SUMIF(书库!R:R,"*"&amp;"官网"&amp;"*",书库!S:S)+SUMIF(书库!R:R,"*"&amp;"众筹"&amp;"*",书库!S:S))*10</f>
        <v>#DIV/0!</v>
      </c>
    </row>
    <row r="18" spans="2:10" ht="18" customHeight="1" x14ac:dyDescent="0.25">
      <c r="B18" s="75">
        <v>13</v>
      </c>
      <c r="C18" s="76" t="s">
        <v>93</v>
      </c>
      <c r="D18" s="68">
        <f>COUNTIF(书库!R:R,C18)</f>
        <v>0</v>
      </c>
      <c r="E18" s="77">
        <f>SUMIF(书库!R:R,C18,书库!X:X)</f>
        <v>0</v>
      </c>
      <c r="F18" s="78">
        <f>SUMIF(书库!R:R,C18,书库!T:T)</f>
        <v>0</v>
      </c>
      <c r="G18" s="78" t="e">
        <f>F18/SUMIF(书库!R:R,C18,书库!X:X)</f>
        <v>#DIV/0!</v>
      </c>
      <c r="H18" s="79" t="e">
        <f>F18/SUMIF(书库!R:R,C18,书库!S:S)*10</f>
        <v>#DIV/0!</v>
      </c>
    </row>
    <row r="19" spans="2:10" ht="18" customHeight="1" x14ac:dyDescent="0.25">
      <c r="B19" s="48"/>
      <c r="F19" s="80"/>
      <c r="G19" s="80"/>
    </row>
    <row r="20" spans="2:10" ht="18" customHeight="1" x14ac:dyDescent="0.25">
      <c r="B20" s="48"/>
      <c r="D20" s="15"/>
      <c r="E20" s="15"/>
      <c r="F20" s="47"/>
      <c r="I20" s="417" t="s">
        <v>26</v>
      </c>
      <c r="J20" s="417"/>
    </row>
  </sheetData>
  <mergeCells count="2">
    <mergeCell ref="B2:H4"/>
    <mergeCell ref="I20:J20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B2:J19"/>
  <sheetViews>
    <sheetView topLeftCell="A6" zoomScale="85" zoomScaleNormal="85" workbookViewId="0">
      <selection activeCell="B2" sqref="B2:B5"/>
    </sheetView>
  </sheetViews>
  <sheetFormatPr defaultColWidth="9" defaultRowHeight="18" customHeight="1" x14ac:dyDescent="0.25"/>
  <cols>
    <col min="1" max="1" width="3.6640625" style="15" customWidth="1"/>
    <col min="2" max="2" width="14.88671875" style="15" bestFit="1" customWidth="1"/>
    <col min="3" max="3" width="5.21875" style="15" bestFit="1" customWidth="1"/>
    <col min="4" max="4" width="50.33203125" style="15" bestFit="1" customWidth="1"/>
    <col min="5" max="5" width="11.109375" style="15" bestFit="1" customWidth="1"/>
    <col min="6" max="6" width="17.33203125" style="15" bestFit="1" customWidth="1"/>
    <col min="7" max="7" width="10" style="15" bestFit="1" customWidth="1"/>
    <col min="8" max="8" width="9" style="15"/>
    <col min="9" max="9" width="19.21875" style="15" bestFit="1" customWidth="1"/>
    <col min="10" max="10" width="57.77734375" style="15" customWidth="1"/>
    <col min="11" max="16384" width="9" style="15"/>
  </cols>
  <sheetData>
    <row r="2" spans="2:10" ht="18" customHeight="1" x14ac:dyDescent="0.25">
      <c r="B2" s="388" t="s">
        <v>27</v>
      </c>
      <c r="C2" s="85" t="s">
        <v>28</v>
      </c>
      <c r="D2" s="86" t="s">
        <v>29</v>
      </c>
      <c r="E2" s="87" t="s">
        <v>45</v>
      </c>
      <c r="F2" s="87" t="s">
        <v>3</v>
      </c>
      <c r="G2" s="86" t="s">
        <v>30</v>
      </c>
      <c r="H2" s="86" t="s">
        <v>15</v>
      </c>
      <c r="I2" s="88" t="s">
        <v>12</v>
      </c>
      <c r="J2"/>
    </row>
    <row r="3" spans="2:10" ht="18" customHeight="1" x14ac:dyDescent="0.25">
      <c r="B3" s="388"/>
      <c r="C3" s="85">
        <v>1</v>
      </c>
      <c r="D3" s="89" t="str">
        <f>"《"&amp;INDEX(书库!C:C,MATCH(G3,书库!T:T,0),)&amp;"》"</f>
        <v>《马克思恩格斯选集1》</v>
      </c>
      <c r="E3" s="90">
        <f>INDEX(书库!Q:Q,MATCH(G3,书库!T:T,0),)</f>
        <v>43802</v>
      </c>
      <c r="F3" s="91" t="str">
        <f>INDEX(书库!R:R,MATCH(G3,书库!T:T,0),)</f>
        <v>孔夫子网购</v>
      </c>
      <c r="G3" s="89">
        <f>LARGE(书库!T:T,ROW(A1))</f>
        <v>35</v>
      </c>
      <c r="H3" s="92">
        <f>G3/SUMIF(书库!T:T,G3,书库!X:X)</f>
        <v>8.75</v>
      </c>
      <c r="I3" s="93" t="str">
        <f>INDEX(书库!E:E,MATCH(G3,书库!T:T,0),)</f>
        <v>人民出版社</v>
      </c>
      <c r="J3"/>
    </row>
    <row r="4" spans="2:10" ht="18" customHeight="1" x14ac:dyDescent="0.25">
      <c r="B4" s="388"/>
      <c r="C4" s="85">
        <v>2</v>
      </c>
      <c r="D4" s="89" t="str">
        <f>"《"&amp;INDEX(书库!C:C,MATCH(G4,书库!T:T,0),)&amp;"》"</f>
        <v>《马克思恩格斯选集1》</v>
      </c>
      <c r="E4" s="90">
        <f>INDEX(书库!Q:Q,MATCH(G4,书库!T:T,0),)</f>
        <v>43802</v>
      </c>
      <c r="F4" s="91" t="str">
        <f>INDEX(书库!R:R,MATCH(G4,书库!T:T,0),)</f>
        <v>孔夫子网购</v>
      </c>
      <c r="G4" s="89">
        <f>LARGE(书库!T:T,ROW(A2))</f>
        <v>35</v>
      </c>
      <c r="H4" s="92">
        <f>G4/SUMIF(书库!T:T,G4,书库!X:X)</f>
        <v>8.75</v>
      </c>
      <c r="I4" s="93" t="str">
        <f>INDEX(书库!E:E,MATCH(G4,书库!T:T,0),)</f>
        <v>人民出版社</v>
      </c>
      <c r="J4"/>
    </row>
    <row r="5" spans="2:10" ht="18" customHeight="1" x14ac:dyDescent="0.25">
      <c r="B5" s="388"/>
      <c r="C5" s="85">
        <v>3</v>
      </c>
      <c r="D5" s="89" t="str">
        <f>"《"&amp;INDEX(书库!C:C,MATCH(G5,书库!T:T,0),)&amp;"》"</f>
        <v>《马克思恩格斯选集1》</v>
      </c>
      <c r="E5" s="90">
        <f>INDEX(书库!Q:Q,MATCH(G5,书库!T:T,0),)</f>
        <v>43802</v>
      </c>
      <c r="F5" s="91" t="str">
        <f>INDEX(书库!R:R,MATCH(G5,书库!T:T,0),)</f>
        <v>孔夫子网购</v>
      </c>
      <c r="G5" s="89">
        <f>LARGE(书库!T:T,ROW(A3))</f>
        <v>35</v>
      </c>
      <c r="H5" s="92">
        <f>G5/SUMIF(书库!T:T,G5,书库!X:X)</f>
        <v>8.75</v>
      </c>
      <c r="I5" s="93" t="str">
        <f>INDEX(书库!E:E,MATCH(G5,书库!T:T,0),)</f>
        <v>人民出版社</v>
      </c>
      <c r="J5"/>
    </row>
    <row r="6" spans="2:10" ht="18" customHeight="1" x14ac:dyDescent="0.25">
      <c r="B6" s="12"/>
      <c r="C6" s="6"/>
      <c r="D6" s="12"/>
      <c r="E6"/>
      <c r="F6"/>
      <c r="G6"/>
      <c r="H6" s="99"/>
      <c r="I6" s="4"/>
      <c r="J6"/>
    </row>
    <row r="7" spans="2:10" ht="18" customHeight="1" x14ac:dyDescent="0.25">
      <c r="B7" s="388" t="s">
        <v>89</v>
      </c>
      <c r="C7" s="85">
        <v>1</v>
      </c>
      <c r="D7" s="89" t="str">
        <f>"《"&amp;INDEX(书库!C:C,MATCH(H7,书库!AA:AA,0),)&amp;"》"</f>
        <v>《列宁选集1》</v>
      </c>
      <c r="E7" s="90">
        <f>INDEX(书库!Q:Q,MATCH(H7,书库!AA:AA,0),)</f>
        <v>43772</v>
      </c>
      <c r="F7" s="91" t="str">
        <f>INDEX(书库!R:R,MATCH(H7,书库!AA:AA,0),)</f>
        <v>淘宝网购</v>
      </c>
      <c r="G7" s="95">
        <f>INDEX(书库!T:T,MATCH(H7,书库!AA:AA,0),)</f>
        <v>5</v>
      </c>
      <c r="H7" s="89">
        <f>SMALL(IF(书库!AA:AA&gt;0,书库!AA:AA),ROW(A1))</f>
        <v>5</v>
      </c>
      <c r="I7" s="93" t="str">
        <f>INDEX(书库!E:E,MATCH(H7,书库!AA:AA,0),)</f>
        <v>人民出版社</v>
      </c>
      <c r="J7"/>
    </row>
    <row r="8" spans="2:10" ht="18" customHeight="1" x14ac:dyDescent="0.25">
      <c r="B8" s="388"/>
      <c r="C8" s="85">
        <v>2</v>
      </c>
      <c r="D8" s="89" t="str">
        <f>"《"&amp;INDEX(书库!C:C,MATCH(H8,书库!AA:AA,0),)&amp;"》"</f>
        <v>《列宁选集1》</v>
      </c>
      <c r="E8" s="90">
        <f>INDEX(书库!Q:Q,MATCH(H8,书库!AA:AA,0),)</f>
        <v>43772</v>
      </c>
      <c r="F8" s="91" t="str">
        <f>INDEX(书库!R:R,MATCH(H8,书库!AA:AA,0),)</f>
        <v>淘宝网购</v>
      </c>
      <c r="G8" s="95">
        <f t="array" ref="G8">INDEX(书库!T:T,MATCH(H8,书库!AA:AA,0),)</f>
        <v>5</v>
      </c>
      <c r="H8" s="89">
        <f>SMALL(IF(书库!AA:AA&gt;0,书库!AA:AA),ROW(A2))</f>
        <v>5</v>
      </c>
      <c r="I8" s="93" t="str">
        <f>INDEX(书库!E:E,MATCH(H8,书库!AA:AA,0),)</f>
        <v>人民出版社</v>
      </c>
      <c r="J8"/>
    </row>
    <row r="9" spans="2:10" ht="18" customHeight="1" x14ac:dyDescent="0.25">
      <c r="B9" s="388"/>
      <c r="C9" s="85">
        <v>3</v>
      </c>
      <c r="D9" s="89" t="str">
        <f>"《"&amp;INDEX(书库!C:C,MATCH(H9,书库!AA:AA,0),)&amp;"》"</f>
        <v>《列宁选集1》</v>
      </c>
      <c r="E9" s="90">
        <f>INDEX(书库!Q:Q,MATCH(H9,书库!AA:AA,0),)</f>
        <v>43772</v>
      </c>
      <c r="F9" s="91" t="str">
        <f>INDEX(书库!R:R,MATCH(H9,书库!AA:AA,0),)</f>
        <v>淘宝网购</v>
      </c>
      <c r="G9" s="95">
        <f>INDEX(书库!T:T,MATCH(H9,书库!AA:AA,0),)</f>
        <v>5</v>
      </c>
      <c r="H9" s="89">
        <f>SMALL(IF(书库!AA:AA&gt;0,书库!AA:AA),ROW(A3))</f>
        <v>5</v>
      </c>
      <c r="I9" s="93" t="str">
        <f>INDEX(书库!E:E,MATCH(H9,书库!AA:AA,0),)</f>
        <v>人民出版社</v>
      </c>
      <c r="J9"/>
    </row>
    <row r="10" spans="2:10" ht="18" customHeight="1" x14ac:dyDescent="0.25">
      <c r="B10" s="12"/>
      <c r="C10" s="6"/>
      <c r="D10" s="12"/>
      <c r="E10"/>
      <c r="F10"/>
      <c r="G10" s="2"/>
      <c r="H10"/>
      <c r="I10"/>
      <c r="J10"/>
    </row>
    <row r="11" spans="2:10" ht="18" customHeight="1" x14ac:dyDescent="0.25">
      <c r="B11" s="388" t="s">
        <v>48</v>
      </c>
      <c r="C11" s="85" t="s">
        <v>28</v>
      </c>
      <c r="D11" s="86" t="s">
        <v>29</v>
      </c>
      <c r="E11" s="87" t="s">
        <v>45</v>
      </c>
      <c r="F11" s="88" t="s">
        <v>3</v>
      </c>
      <c r="G11" s="87" t="s">
        <v>30</v>
      </c>
      <c r="H11" s="96" t="s">
        <v>47</v>
      </c>
      <c r="I11" s="88" t="s">
        <v>12</v>
      </c>
      <c r="J11" s="87" t="s">
        <v>39</v>
      </c>
    </row>
    <row r="12" spans="2:10" ht="18" customHeight="1" x14ac:dyDescent="0.25">
      <c r="B12" s="388"/>
      <c r="C12" s="85">
        <v>1</v>
      </c>
      <c r="D12" s="89" t="str">
        <f>"《"&amp;INDEX(书库!C:C,MATCH(H12+1,书库!U:U,0),)&amp;"》"</f>
        <v>《马克思恩格斯选集3》</v>
      </c>
      <c r="E12" s="90">
        <f>INDEX(书库!Q:Q,MATCH(H12+1,书库!U:U,0),)</f>
        <v>43804</v>
      </c>
      <c r="F12" s="91" t="str">
        <f>INDEX(书库!R:R,MATCH(H12+1,书库!U:U,0),)</f>
        <v>孔夫子网购</v>
      </c>
      <c r="G12" s="95">
        <f>INDEX(书库!T:T,MATCH(H12+1,书库!U:U,0),)</f>
        <v>35</v>
      </c>
      <c r="H12" s="97">
        <f>LARGE(书库!U:U,ROW(A1))-1</f>
        <v>0.36296296296296293</v>
      </c>
      <c r="I12" s="93" t="str">
        <f>INDEX(书库!E:E,MATCH(H12+1,书库!U:U,0),)</f>
        <v>人民出版社</v>
      </c>
      <c r="J12" s="94" t="str">
        <f>INDEX(书库!W:W,MATCH(H12+1,书库!U:U,0),)</f>
        <v>已拆封</v>
      </c>
    </row>
    <row r="13" spans="2:10" ht="18" customHeight="1" x14ac:dyDescent="0.25">
      <c r="B13" s="388"/>
      <c r="C13" s="85">
        <v>2</v>
      </c>
      <c r="D13" s="89" t="str">
        <f>"《"&amp;INDEX(书库!C:C,MATCH(H13+1,书库!U:U,0),)&amp;"》"</f>
        <v>《列宁选集1》</v>
      </c>
      <c r="E13" s="90">
        <f>INDEX(书库!Q:Q,MATCH(H13+1,书库!U:U,0),)</f>
        <v>43772</v>
      </c>
      <c r="F13" s="91" t="str">
        <f>INDEX(书库!R:R,MATCH(H13+1,书库!U:U,0),)</f>
        <v>淘宝网购</v>
      </c>
      <c r="G13" s="95">
        <f>INDEX(书库!T:T,MATCH(H13+1,书库!U:U,0),)</f>
        <v>5</v>
      </c>
      <c r="H13" s="97">
        <f>LARGE(书库!U:U,ROW(A2))-1</f>
        <v>-0.49916805324459235</v>
      </c>
      <c r="I13" s="93" t="str">
        <f>INDEX(书库!E:E,MATCH(H13+1,书库!U:U,0),)</f>
        <v>人民出版社</v>
      </c>
      <c r="J13" s="94" t="str">
        <f>INDEX(书库!W:W,MATCH(H13+1,书库!U:U,0),)</f>
        <v>已拆封</v>
      </c>
    </row>
    <row r="14" spans="2:10" ht="18" customHeight="1" x14ac:dyDescent="0.25">
      <c r="B14" s="388"/>
      <c r="C14" s="85">
        <v>3</v>
      </c>
      <c r="D14" s="89" t="str">
        <f>"《"&amp;INDEX(书库!C:C,MATCH(H14+1,书库!U:U,0),)&amp;"》"</f>
        <v>《列宁选集1》</v>
      </c>
      <c r="E14" s="90">
        <f>INDEX(书库!Q:Q,MATCH(H14+1,书库!U:U,0),)</f>
        <v>43772</v>
      </c>
      <c r="F14" s="91" t="str">
        <f>INDEX(书库!R:R,MATCH(H14+1,书库!U:U,0),)</f>
        <v>淘宝网购</v>
      </c>
      <c r="G14" s="95">
        <f>INDEX(书库!T:T,MATCH(H14+1,书库!U:U,0),)</f>
        <v>5</v>
      </c>
      <c r="H14" s="97">
        <f>LARGE(书库!U:U,ROW(A3))-1</f>
        <v>-0.49916805324459235</v>
      </c>
      <c r="I14" s="93" t="str">
        <f>INDEX(书库!E:E,MATCH(H14+1,书库!U:U,0),)</f>
        <v>人民出版社</v>
      </c>
      <c r="J14" s="94" t="str">
        <f>INDEX(书库!W:W,MATCH(H14+1,书库!U:U,0),)</f>
        <v>已拆封</v>
      </c>
    </row>
    <row r="15" spans="2:10" ht="18" customHeight="1" x14ac:dyDescent="0.25">
      <c r="B15" s="12"/>
      <c r="C15" s="5"/>
      <c r="D15" s="14"/>
      <c r="E15"/>
      <c r="F15"/>
      <c r="G15"/>
      <c r="H15" s="1"/>
      <c r="I15"/>
      <c r="J15"/>
    </row>
    <row r="16" spans="2:10" ht="18" customHeight="1" x14ac:dyDescent="0.25">
      <c r="B16" s="388" t="s">
        <v>44</v>
      </c>
      <c r="C16" s="85" t="s">
        <v>28</v>
      </c>
      <c r="D16" s="86" t="s">
        <v>29</v>
      </c>
      <c r="E16" s="87" t="s">
        <v>45</v>
      </c>
      <c r="F16" s="88" t="s">
        <v>3</v>
      </c>
      <c r="G16" s="87" t="s">
        <v>30</v>
      </c>
      <c r="H16" s="96" t="s">
        <v>49</v>
      </c>
      <c r="I16" s="88" t="s">
        <v>12</v>
      </c>
      <c r="J16" s="87" t="s">
        <v>39</v>
      </c>
    </row>
    <row r="17" spans="2:10" ht="18" customHeight="1" x14ac:dyDescent="0.25">
      <c r="B17" s="388"/>
      <c r="C17" s="85">
        <v>1</v>
      </c>
      <c r="D17" s="89" t="e">
        <f>"《"&amp;INDEX(书库!C:C,MATCH(H17,书库!U:U,0),)&amp;"》"</f>
        <v>#N/A</v>
      </c>
      <c r="E17" s="90" t="e">
        <f>INDEX(书库!Q:Q,MATCH(H17,书库!U:U,0),)</f>
        <v>#N/A</v>
      </c>
      <c r="F17" s="91" t="e">
        <f>INDEX(书库!R:R,MATCH(H17,书库!U:U,0),)</f>
        <v>#N/A</v>
      </c>
      <c r="G17" s="95" t="e">
        <f>INDEX(书库!T:T,MATCH(H17,书库!U:U,0),)</f>
        <v>#N/A</v>
      </c>
      <c r="H17" s="98">
        <f>SMALL(IF(书库!U:U&gt;0,书库!U:U),ROW(A1))</f>
        <v>0</v>
      </c>
      <c r="I17" s="93" t="e">
        <f>INDEX(书库!E:E,MATCH(H17,书库!U:U,0),)</f>
        <v>#N/A</v>
      </c>
      <c r="J17" s="94" t="e">
        <f>INDEX(书库!W:W,MATCH(H17,书库!U:U,0),)</f>
        <v>#N/A</v>
      </c>
    </row>
    <row r="18" spans="2:10" ht="18" customHeight="1" x14ac:dyDescent="0.25">
      <c r="B18" s="388"/>
      <c r="C18" s="85">
        <v>2</v>
      </c>
      <c r="D18" s="89" t="e">
        <f>"《"&amp;INDEX(书库!C:C,MATCH(H18,书库!U:U,0),)&amp;"》"</f>
        <v>#NUM!</v>
      </c>
      <c r="E18" s="90" t="e">
        <f>INDEX(书库!Q:Q,MATCH(H18,书库!U:U,0),)</f>
        <v>#NUM!</v>
      </c>
      <c r="F18" s="91" t="e">
        <f>INDEX(书库!R:R,MATCH(H18,书库!U:U,0),)</f>
        <v>#NUM!</v>
      </c>
      <c r="G18" s="95" t="e">
        <f>INDEX(书库!T:T,MATCH(H18,书库!U:U,0),)</f>
        <v>#NUM!</v>
      </c>
      <c r="H18" s="98" t="e">
        <f>SMALL(IF(书库!U:U&gt;0,书库!U:U),ROW(A2))</f>
        <v>#NUM!</v>
      </c>
      <c r="I18" s="93" t="e">
        <f>INDEX(书库!E:E,MATCH(H18,书库!U:U,0),)</f>
        <v>#NUM!</v>
      </c>
      <c r="J18" s="94" t="e">
        <f>INDEX(书库!W:W,MATCH(H18,书库!U:U,0),)</f>
        <v>#NUM!</v>
      </c>
    </row>
    <row r="19" spans="2:10" ht="18" customHeight="1" x14ac:dyDescent="0.25">
      <c r="B19" s="388"/>
      <c r="C19" s="85">
        <v>3</v>
      </c>
      <c r="D19" s="89" t="e">
        <f>"《"&amp;INDEX(书库!C:C,MATCH(H19,书库!U:U,0),)&amp;"》"</f>
        <v>#NUM!</v>
      </c>
      <c r="E19" s="90" t="e">
        <f>INDEX(书库!Q:Q,MATCH(H19,书库!U:U,0),)</f>
        <v>#NUM!</v>
      </c>
      <c r="F19" s="91" t="e">
        <f>INDEX(书库!R:R,MATCH(H19,书库!U:U,0),)</f>
        <v>#NUM!</v>
      </c>
      <c r="G19" s="95" t="e">
        <f>INDEX(书库!T:T,MATCH(H19,书库!U:U,0),)</f>
        <v>#NUM!</v>
      </c>
      <c r="H19" s="98" t="e">
        <f>SMALL(IF(书库!U:U&gt;0,书库!U:U),ROW(A3))</f>
        <v>#NUM!</v>
      </c>
      <c r="I19" s="93" t="e">
        <f>INDEX(书库!E:E,MATCH(H19,书库!U:U,0),)</f>
        <v>#NUM!</v>
      </c>
      <c r="J19" s="94" t="e">
        <f>INDEX(书库!W:W,MATCH(H19,书库!U:U,0),)</f>
        <v>#NUM!</v>
      </c>
    </row>
  </sheetData>
  <mergeCells count="4">
    <mergeCell ref="B2:B5"/>
    <mergeCell ref="B7:B9"/>
    <mergeCell ref="B11:B14"/>
    <mergeCell ref="B16:B19"/>
  </mergeCells>
  <phoneticPr fontId="1" type="noConversion"/>
  <conditionalFormatting sqref="A1:XFD1048576">
    <cfRule type="containsBlanks" dxfId="0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8BF197-D465-4455-A9F5-C3B91C5927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书库</vt:lpstr>
      <vt:lpstr>Sheet1</vt:lpstr>
      <vt:lpstr>基本信息</vt:lpstr>
      <vt:lpstr>Sheet2</vt:lpstr>
      <vt:lpstr>出版社</vt:lpstr>
      <vt:lpstr>类别</vt:lpstr>
      <vt:lpstr>系列</vt:lpstr>
      <vt:lpstr>图书公司</vt:lpstr>
      <vt:lpstr>作者</vt:lpstr>
      <vt:lpstr>译者</vt:lpstr>
      <vt:lpstr>编者</vt:lpstr>
      <vt:lpstr>版印</vt:lpstr>
      <vt:lpstr>页数</vt:lpstr>
      <vt:lpstr>字数</vt:lpstr>
      <vt:lpstr>装帧</vt:lpstr>
      <vt:lpstr>购入时间</vt:lpstr>
      <vt:lpstr>购入方式</vt:lpstr>
      <vt:lpstr>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朱雨晗</dc:creator>
  <cp:lastModifiedBy>黄国龙</cp:lastModifiedBy>
  <cp:lastPrinted>2016-08-27T18:53:37Z</cp:lastPrinted>
  <dcterms:created xsi:type="dcterms:W3CDTF">2016-08-27T15:25:43Z</dcterms:created>
  <dcterms:modified xsi:type="dcterms:W3CDTF">2021-07-30T12:09:42Z</dcterms:modified>
</cp:coreProperties>
</file>